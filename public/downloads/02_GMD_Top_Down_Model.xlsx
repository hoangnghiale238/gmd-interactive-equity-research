
<file path=[Content_Types].xml><?xml version="1.0" encoding="utf-8"?>
<Types xmlns="http://schemas.openxmlformats.org/package/2006/content-types">
  <Default Extension="xml" ContentType="application/vnd.openxmlformats-officedocument.spreadsheetml.sheet.main+xml"/>
  <Default Extension="vml" ContentType="application/vnd.openxmlformats-officedocument.vmlDrawing"/>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ables/table1.xml" ContentType="application/vnd.openxmlformats-officedocument.spreadsheetml.table+xml"/>
  <Override PartName="/xl/worksheets/sheet4.xml" ContentType="application/vnd.openxmlformats-officedocument.spreadsheetml.worksheet+xml"/>
  <Override PartName="/xl/comments1.xml" ContentType="application/vnd.openxmlformats-officedocument.spreadsheetml.comments+xml"/>
  <Override PartName="/xl/threadedcomments/threadedcomment.xml" ContentType="application/vnd.ms-excel.threadedcomments+xml"/>
  <Override PartName="/xl/tables/table2.xml" ContentType="application/vnd.openxmlformats-officedocument.spreadsheetml.table+xml"/>
  <Override PartName="/xl/worksheets/sheet5.xml" ContentType="application/vnd.openxmlformats-officedocument.spreadsheetml.worksheet+xml"/>
  <Override PartName="/xl/comments2.xml" ContentType="application/vnd.openxmlformats-officedocument.spreadsheetml.comments+xml"/>
  <Override PartName="/xl/threadedcomments/threadedcomment2.xml" ContentType="application/vnd.ms-excel.threadedcomments+xml"/>
  <Override PartName="/xl/tables/table3.xml" ContentType="application/vnd.openxmlformats-officedocument.spreadsheetml.table+xml"/>
  <Override PartName="/xl/worksheets/sheet6.xml" ContentType="application/vnd.openxmlformats-officedocument.spreadsheetml.worksheet+xml"/>
  <Override PartName="/xl/comments3.xml" ContentType="application/vnd.openxmlformats-officedocument.spreadsheetml.comments+xml"/>
  <Override PartName="/xl/threadedcomments/threadedcomment3.xml" ContentType="application/vnd.ms-excel.threadedcomments+xml"/>
  <Override PartName="/xl/tables/table4.xml" ContentType="application/vnd.openxmlformats-officedocument.spreadsheetml.table+xml"/>
  <Override PartName="/xl/worksheets/sheet7.xml" ContentType="application/vnd.openxmlformats-officedocument.spreadsheetml.worksheet+xml"/>
  <Override PartName="/xl/comments4.xml" ContentType="application/vnd.openxmlformats-officedocument.spreadsheetml.comments+xml"/>
  <Override PartName="/xl/threadedcomments/threadedcomment4.xml" ContentType="application/vnd.ms-excel.threadedcomments+xml"/>
  <Override PartName="/xl/tables/table5.xml" ContentType="application/vnd.openxmlformats-officedocument.spreadsheetml.table+xml"/>
  <Override PartName="/xl/tables/table6.xml" ContentType="application/vnd.openxmlformats-officedocument.spreadsheetml.table+xml"/>
  <Override PartName="/xl/worksheets/sheet8.xml" ContentType="application/vnd.openxmlformats-officedocument.spreadsheetml.worksheet+xml"/>
  <Override PartName="/xl/comments5.xml" ContentType="application/vnd.openxmlformats-officedocument.spreadsheetml.comments+xml"/>
  <Override PartName="/xl/threadedcomments/threadedcomment5.xml" ContentType="application/vnd.ms-excel.threadedcomments+xml"/>
  <Override PartName="/xl/tables/table7.xml" ContentType="application/vnd.openxmlformats-officedocument.spreadsheetml.table+xml"/>
  <Override PartName="/xl/worksheets/sheet9.xml" ContentType="application/vnd.openxmlformats-officedocument.spreadsheetml.worksheet+xml"/>
  <Override PartName="/xl/comments6.xml" ContentType="application/vnd.openxmlformats-officedocument.spreadsheetml.comments+xml"/>
  <Override PartName="/xl/threadedcomments/threadedcomment6.xml" ContentType="application/vnd.ms-excel.threadedcomments+xml"/>
  <Override PartName="/xl/tables/table8.xml" ContentType="application/vnd.openxmlformats-officedocument.spreadsheetml.table+xml"/>
  <Override PartName="/xl/tables/table9.xml" ContentType="application/vnd.openxmlformats-officedocument.spreadsheetml.table+xml"/>
  <Override PartName="/xl/worksheets/sheet10.xml" ContentType="application/vnd.openxmlformats-officedocument.spreadsheetml.worksheet+xml"/>
  <Override PartName="/xl/tables/table10.xml" ContentType="application/vnd.openxmlformats-officedocument.spreadsheetml.table+xml"/>
  <Override PartName="/xl/worksheets/sheet11.xml" ContentType="application/vnd.openxmlformats-officedocument.spreadsheetml.worksheet+xml"/>
  <Override PartName="/xl/tables/table11.xml" ContentType="application/vnd.openxmlformats-officedocument.spreadsheetml.table+xml"/>
  <Override PartName="/xl/worksheets/sheet12.xml" ContentType="application/vnd.openxmlformats-officedocument.spreadsheetml.worksheet+xml"/>
  <Override PartName="/xl/tables/table12.xml" ContentType="application/vnd.openxmlformats-officedocument.spreadsheetml.table+xml"/>
  <Override PartName="/xl/worksheets/sheet13.xml" ContentType="application/vnd.openxmlformats-officedocument.spreadsheetml.worksheet+xml"/>
  <Override PartName="/xl/tables/table13.xml" ContentType="application/vnd.openxmlformats-officedocument.spreadsheetml.table+xml"/>
  <Override PartName="/xl/worksheets/sheet14.xml" ContentType="application/vnd.openxmlformats-officedocument.spreadsheetml.worksheet+xml"/>
  <Override PartName="/xl/comments7.xml" ContentType="application/vnd.openxmlformats-officedocument.spreadsheetml.comments+xml"/>
  <Override PartName="/xl/threadedcomments/threadedcomment7.xml" ContentType="application/vnd.ms-excel.threadedcomments+xml"/>
  <Override PartName="/xl/tables/table14.xml" ContentType="application/vnd.openxmlformats-officedocument.spreadsheetml.table+xml"/>
  <Override PartName="/xl/tables/table15.xml" ContentType="application/vnd.openxmlformats-officedocument.spreadsheetml.table+xml"/>
  <Override PartName="/xl/worksheets/sheet15.xml" ContentType="application/vnd.openxmlformats-officedocument.spreadsheetml.worksheet+xml"/>
  <Override PartName="/xl/drawings/drawing1.xml" ContentType="application/vnd.openxmlformats-officedocument.drawing+xml"/>
  <Override PartName="/xl/drawings/charts/chart1.xml" ContentType="application/vnd.openxmlformats-officedocument.drawingml.chart+xml"/>
  <Override PartName="/xl/tables/table16.xml" ContentType="application/vnd.openxmlformats-officedocument.spreadsheetml.table+xml"/>
  <Override PartName="/xl/tables/table17.xml" ContentType="application/vnd.openxmlformats-officedocument.spreadsheetml.table+xml"/>
  <Override PartName="/xl/worksheets/sheet16.xml" ContentType="application/vnd.openxmlformats-officedocument.spreadsheetml.worksheet+xml"/>
  <Override PartName="/xl/tables/table18.xml" ContentType="application/vnd.openxmlformats-officedocument.spreadsheetml.table+xml"/>
  <Override PartName="/xl/tables/table19.xml" ContentType="application/vnd.openxmlformats-officedocument.spreadsheetml.table+xml"/>
  <Override PartName="/xl/worksheets/sheet17.xml" ContentType="application/vnd.openxmlformats-officedocument.spreadsheetml.worksheet+xml"/>
  <Override PartName="/xl/tables/table20.xml" ContentType="application/vnd.openxmlformats-officedocument.spreadsheetml.table+xml"/>
  <Override PartName="/xl/worksheets/sheet18.xml" ContentType="application/vnd.openxmlformats-officedocument.spreadsheetml.worksheet+xml"/>
  <Override PartName="/xl/tables/table21.xml" ContentType="application/vnd.openxmlformats-officedocument.spreadsheetml.table+xml"/>
  <Override PartName="/xl/worksheets/sheet19.xml" ContentType="application/vnd.openxmlformats-officedocument.spreadsheetml.worksheet+xml"/>
  <Override PartName="/xl/tables/table22.xml" ContentType="application/vnd.openxmlformats-officedocument.spreadsheetml.table+xml"/>
  <Override PartName="/xl/worksheets/sheet20.xml" ContentType="application/vnd.openxmlformats-officedocument.spreadsheetml.worksheet+xml"/>
  <Override PartName="/xl/drawings/drawing2.xml" ContentType="application/vnd.openxmlformats-officedocument.drawing+xml"/>
  <Override PartName="/xl/drawings/charts/chart2.xml" ContentType="application/vnd.openxmlformats-officedocument.drawingml.chart+xml"/>
  <Override PartName="/xl/drawings/charts/chart3.xml" ContentType="application/vnd.openxmlformats-officedocument.drawingml.chart+xml"/>
  <Override PartName="/xl/worksheets/sheet21.xml" ContentType="application/vnd.openxmlformats-officedocument.spreadsheetml.worksheet+xml"/>
  <Override PartName="/xl/comments8.xml" ContentType="application/vnd.openxmlformats-officedocument.spreadsheetml.comments+xml"/>
  <Override PartName="/xl/threadedcomments/threadedcomment8.xml" ContentType="application/vnd.ms-excel.threadedcomments+xml"/>
  <Override PartName="/xl/worksheets/sheet22.xml" ContentType="application/vnd.openxmlformats-officedocument.spreadsheetml.worksheet+xml"/>
  <Override PartName="/xl/comments9.xml" ContentType="application/vnd.openxmlformats-officedocument.spreadsheetml.comments+xml"/>
  <Override PartName="/xl/threadedcomments/threadedcomment9.xml" ContentType="application/vnd.ms-excel.threadedcomments+xml"/>
  <Override PartName="/xl/worksheets/sheet23.xml" ContentType="application/vnd.openxmlformats-officedocument.spreadsheetml.worksheet+xml"/>
  <Override PartName="/xl/comments10.xml" ContentType="application/vnd.openxmlformats-officedocument.spreadsheetml.comments+xml"/>
  <Override PartName="/xl/threadedcomments/threadedcomment10.xml" ContentType="application/vnd.ms-excel.threadedcomments+xml"/>
  <Override PartName="/xl/worksheets/sheet24.xml" ContentType="application/vnd.openxmlformats-officedocument.spreadsheetml.worksheet+xml"/>
  <Override PartName="/xl/comments11.xml" ContentType="application/vnd.openxmlformats-officedocument.spreadsheetml.comments+xml"/>
  <Override PartName="/xl/threadedcomments/threadedcomment11.xml" ContentType="application/vnd.ms-excel.threadedcomments+xml"/>
  <Override PartName="/xl/worksheets/sheet25.xml" ContentType="application/vnd.openxmlformats-officedocument.spreadsheetml.worksheet+xml"/>
  <Override PartName="/xl/comments12.xml" ContentType="application/vnd.openxmlformats-officedocument.spreadsheetml.comments+xml"/>
  <Override PartName="/xl/threadedcomments/threadedcomment12.xml" ContentType="application/vnd.ms-excel.threadedcomments+xml"/>
  <Override PartName="/xl/worksheets/sheet26.xml" ContentType="application/vnd.openxmlformats-officedocument.spreadsheetml.worksheet+xml"/>
  <Override PartName="/xl/worksheets/sheet27.xml" ContentType="application/vnd.openxmlformats-officedocument.spreadsheetml.worksheet+xml"/>
  <Override PartName="/xl/comments13.xml" ContentType="application/vnd.openxmlformats-officedocument.spreadsheetml.comments+xml"/>
  <Override PartName="/xl/threadedcomments/threadedcomment13.xml" ContentType="application/vnd.ms-excel.threadedcomments+xml"/>
  <Override PartName="/xl/tables/table23.xml" ContentType="application/vnd.openxmlformats-officedocument.spreadsheetml.table+xml"/>
  <Override PartName="/xl/tables/table24.xml" ContentType="application/vnd.openxmlformats-officedocument.spreadsheetml.table+xml"/>
  <Override PartName="/xl/worksheets/sheet28.xml" ContentType="application/vnd.openxmlformats-officedocument.spreadsheetml.worksheet+xml"/>
  <Override PartName="/xl/comments14.xml" ContentType="application/vnd.openxmlformats-officedocument.spreadsheetml.comments+xml"/>
  <Override PartName="/xl/threadedcomments/threadedcomment14.xml" ContentType="application/vnd.ms-excel.threadedcomments+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drawings/drawing3.xml" ContentType="application/vnd.openxmlformats-officedocument.drawing+xml"/>
  <Override PartName="/xl/drawings/charts/chart4.xml" ContentType="application/vnd.openxmlformats-officedocument.drawingml.chart+xml"/>
  <Override PartName="/xl/drawings/charts/chart5.xml" ContentType="application/vnd.openxmlformats-officedocument.drawingml.chart+xml"/>
  <Override PartName="/xl/drawings/charts/chart6.xml" ContentType="application/vnd.openxmlformats-officedocument.drawingml.chart+xml"/>
  <Override PartName="/xl/worksheets/sheet35.xml" ContentType="application/vnd.openxmlformats-officedocument.spreadsheetml.worksheet+xml"/>
  <Override PartName="/xl/persons/person.xml" ContentType="application/vnd.ms-excel.person+xml"/>
</Types>
</file>

<file path=_rels/.rels>&#65279;<?xml version="1.0" encoding="utf-8"?><Relationships xmlns="http://schemas.openxmlformats.org/package/2006/relationships"><Relationship Type="http://schemas.openxmlformats.org/officeDocument/2006/relationships/officeDocument" Target="/xl/workbook.xml" Id="Rd17c4ea202394294" /></Relationships>
</file>

<file path=xl/workbook.xml><?xml version="1.0" encoding="utf-8"?>
<x:workbook xmlns:x="http://schemas.openxmlformats.org/spreadsheetml/2006/main">
  <x:sheets>
    <x:sheet xmlns:r="http://schemas.openxmlformats.org/officeDocument/2006/relationships" name="Cover" sheetId="1" r:id="Rf3f8b9e7c1024399"/>
    <x:sheet xmlns:r="http://schemas.openxmlformats.org/officeDocument/2006/relationships" name="Phase 0 Brief" sheetId="2" r:id="R3176d9e061994f25"/>
    <x:sheet xmlns:r="http://schemas.openxmlformats.org/officeDocument/2006/relationships" name="Source Audit" sheetId="3" r:id="R8de85d314ff940b1"/>
    <x:sheet xmlns:r="http://schemas.openxmlformats.org/officeDocument/2006/relationships" name="Macro Annual" sheetId="4" r:id="R2b9f477a4dbe488d"/>
    <x:sheet xmlns:r="http://schemas.openxmlformats.org/officeDocument/2006/relationships" name="Macro H1 2026" sheetId="5" r:id="R5eacc6c52f504207"/>
    <x:sheet xmlns:r="http://schemas.openxmlformats.org/officeDocument/2006/relationships" name="Industry Facts" sheetId="6" r:id="Ra264b3d15d244bfa"/>
    <x:sheet xmlns:r="http://schemas.openxmlformats.org/officeDocument/2006/relationships" name="GMD Historical" sheetId="7" r:id="Rad5bc41fc6ef4a69"/>
    <x:sheet xmlns:r="http://schemas.openxmlformats.org/officeDocument/2006/relationships" name="GMD Operations" sheetId="8" r:id="R1a616eb5ff454433"/>
    <x:sheet xmlns:r="http://schemas.openxmlformats.org/officeDocument/2006/relationships" name="Peer Registry" sheetId="9" r:id="R58c7b62524b34143"/>
    <x:sheet xmlns:r="http://schemas.openxmlformats.org/officeDocument/2006/relationships" name="Data Dictionary" sheetId="10" r:id="R8ea025253d134972"/>
    <x:sheet xmlns:r="http://schemas.openxmlformats.org/officeDocument/2006/relationships" name="Gap Log" sheetId="11" r:id="R3cbec94f685d4760"/>
    <x:sheet xmlns:r="http://schemas.openxmlformats.org/officeDocument/2006/relationships" name="Checks" sheetId="12" r:id="Rfb6f3a93a83248ad"/>
    <x:sheet xmlns:r="http://schemas.openxmlformats.org/officeDocument/2006/relationships" name="P2 Regional Map" sheetId="13" r:id="R69f5e4d3cf0f4e44"/>
    <x:sheet xmlns:r="http://schemas.openxmlformats.org/officeDocument/2006/relationships" name="P2 Peer Raw" sheetId="14" r:id="R3cbb8848f7fc4768"/>
    <x:sheet xmlns:r="http://schemas.openxmlformats.org/officeDocument/2006/relationships" name="P2 Scorecard" sheetId="15" r:id="Rb7984438c8294b3f"/>
    <x:sheet xmlns:r="http://schemas.openxmlformats.org/officeDocument/2006/relationships" name="P2 Conclusion" sheetId="16" r:id="R78c62339e15341b1"/>
    <x:sheet xmlns:r="http://schemas.openxmlformats.org/officeDocument/2006/relationships" name="P2 Checks" sheetId="17" r:id="Rbb308c0f67054e04"/>
    <x:sheet xmlns:r="http://schemas.openxmlformats.org/officeDocument/2006/relationships" name="Raw GMD VNStock" sheetId="18" r:id="Raf1a960122a54620"/>
    <x:sheet xmlns:r="http://schemas.openxmlformats.org/officeDocument/2006/relationships" name="Raw GMD Disclosures" sheetId="19" r:id="R778aba39f56945d5"/>
    <x:sheet xmlns:r="http://schemas.openxmlformats.org/officeDocument/2006/relationships" name="P3 Dashboard" sheetId="20" r:id="R91bdab765d2a4b04"/>
    <x:sheet xmlns:r="http://schemas.openxmlformats.org/officeDocument/2006/relationships" name="P3 Historical IS" sheetId="21" r:id="R7ad876bd210d4e97"/>
    <x:sheet xmlns:r="http://schemas.openxmlformats.org/officeDocument/2006/relationships" name="P3 Port Drivers" sheetId="22" r:id="R500d0ecc51534b4a"/>
    <x:sheet xmlns:r="http://schemas.openxmlformats.org/officeDocument/2006/relationships" name="P3 Associates" sheetId="23" r:id="R6a67338273d04ff5"/>
    <x:sheet xmlns:r="http://schemas.openxmlformats.org/officeDocument/2006/relationships" name="P3 Cash Flow" sheetId="24" r:id="R2e599f72a4a7424e"/>
    <x:sheet xmlns:r="http://schemas.openxmlformats.org/officeDocument/2006/relationships" name="P3 Guidance" sheetId="25" r:id="R452d660abc7044ef"/>
    <x:sheet xmlns:r="http://schemas.openxmlformats.org/officeDocument/2006/relationships" name="P3 Checks" sheetId="26" r:id="R13c66ef0b3d14e19"/>
    <x:sheet xmlns:r="http://schemas.openxmlformats.org/officeDocument/2006/relationships" name="Raw GMD Market" sheetId="27" r:id="R26bb44c166fb47d7"/>
    <x:sheet xmlns:r="http://schemas.openxmlformats.org/officeDocument/2006/relationships" name="P4 Assumptions" sheetId="28" r:id="Rf2826193f0ea4b5f"/>
    <x:sheet xmlns:r="http://schemas.openxmlformats.org/officeDocument/2006/relationships" name="P4 Forecast" sheetId="29" r:id="Rf13b519a52c44091"/>
    <x:sheet xmlns:r="http://schemas.openxmlformats.org/officeDocument/2006/relationships" name="P4 DCF" sheetId="30" r:id="R4d7dfd2b88f24fcb"/>
    <x:sheet xmlns:r="http://schemas.openxmlformats.org/officeDocument/2006/relationships" name="P4 Valuation" sheetId="31" r:id="R16f5be2fcc7f4456"/>
    <x:sheet xmlns:r="http://schemas.openxmlformats.org/officeDocument/2006/relationships" name="P4 Investment View" sheetId="32" r:id="R3f834aeeb2eb46ae"/>
    <x:sheet xmlns:r="http://schemas.openxmlformats.org/officeDocument/2006/relationships" name="P4 Checks" sheetId="33" r:id="Ra79453459b1f43de"/>
    <x:sheet xmlns:r="http://schemas.openxmlformats.org/officeDocument/2006/relationships" name="P4 Dashboard" sheetId="34" r:id="R9b86f74204b44277"/>
    <x:sheet xmlns:r="http://schemas.openxmlformats.org/officeDocument/2006/relationships" name="P5 QC" sheetId="35" r:id="R176def7ff31345dc"/>
  </x:sheets>
</x:workbook>
</file>

<file path=xl/comments1.xml><?xml version="1.0" encoding="utf-8"?>
<x:comments xmlns:x="http://schemas.openxmlformats.org/spreadsheetml/2006/main">
  <x:authors>
    <x:author>tc={63146D7A-0999-1846-B25E-1DC3CA53E368}</x:author>
    <x:author>tc={87A70166-A5EE-2EAB-EA4E-7E3AB718A731}</x:author>
    <x:author>tc={3A5AC678-6081-2310-168C-3DCE65CFAD5B}</x:author>
    <x:author>tc={F86A5D85-A28F-1BFB-AF63-38A380FB2B4F}</x:author>
    <x:author>tc={5C27274A-DB57-49C6-B99E-00B6B1F86185}</x:author>
    <x:author>tc={BDBB4277-F3A1-AF6B-D0C0-E0B0F87278FC}</x:author>
    <x:author>tc={6CB1AC40-58F4-F956-2E99-A06C26B648E5}</x:author>
    <x:author>tc={5F97D693-7C94-D69D-017B-FAE1124A7035}</x:author>
    <x:author>tc={36359563-E6BE-EF6F-708E-B37B9B3BAB81}</x:author>
    <x:author>tc={9B3EDD4A-E3CF-90F7-FFBD-91C10D776252}</x:author>
  </x:authors>
  <x:commentList>
    <x:comment ref="B7" authorId="0">
      <x:text>
        <x:r>
          <x:t>[Threaded comment]
Your version of Excel allows you to read this threaded comment; however, any edits to it will get removed if the file is opened in a newer version of Excel. Learn more: https://go.microsoft.com/fwlink/?linkid=870924
Comment:
    Source SRC-M07 / SRC-M08: National Statistics Office annual releases. See Source Audit for the exact URL. Caveat: Trade value is not container throughput.</x:t>
        </x:r>
      </x:text>
    </x:comment>
    <x:comment ref="F7" authorId="1">
      <x:text>
        <x:r>
          <x:t>[Threaded comment]
Your version of Excel allows you to read this threaded comment; however, any edits to it will get removed if the file is opened in a newer version of Excel. Learn more: https://go.microsoft.com/fwlink/?linkid=870924
Comment:
    Source SRC-M07 / SRC-M08: National Statistics Office annual releases. See Source Audit for the exact URL. Caveat: Registered FDI is not realized activity.</x:t>
        </x:r>
      </x:text>
    </x:comment>
    <x:comment ref="B8" authorId="2">
      <x:text>
        <x:r>
          <x:t>[Threaded comment]
Your version of Excel allows you to read this threaded comment; however, any edits to it will get removed if the file is opened in a newer version of Excel. Learn more: https://go.microsoft.com/fwlink/?linkid=870924
Comment:
    Source SRC-M05 / SRC-M06: National Statistics Office annual releases. See Source Audit for the exact URL. Caveat: Trade value is not container throughput.</x:t>
        </x:r>
      </x:text>
    </x:comment>
    <x:comment ref="F8" authorId="3">
      <x:text>
        <x:r>
          <x:t>[Threaded comment]
Your version of Excel allows you to read this threaded comment; however, any edits to it will get removed if the file is opened in a newer version of Excel. Learn more: https://go.microsoft.com/fwlink/?linkid=870924
Comment:
    Source SRC-M05 / SRC-M06: National Statistics Office annual releases. See Source Audit for the exact URL. Caveat: Registered FDI is not realized activity.</x:t>
        </x:r>
      </x:text>
    </x:comment>
    <x:comment ref="B9" authorId="4">
      <x:text>
        <x:r>
          <x:t>[Threaded comment]
Your version of Excel allows you to read this threaded comment; however, any edits to it will get removed if the file is opened in a newer version of Excel. Learn more: https://go.microsoft.com/fwlink/?linkid=870924
Comment:
    Source SRC-M04: National Statistics Office annual releases. See Source Audit for the exact URL. Caveat: Trade value is not container throughput.</x:t>
        </x:r>
      </x:text>
    </x:comment>
    <x:comment ref="F9" authorId="5">
      <x:text>
        <x:r>
          <x:t>[Threaded comment]
Your version of Excel allows you to read this threaded comment; however, any edits to it will get removed if the file is opened in a newer version of Excel. Learn more: https://go.microsoft.com/fwlink/?linkid=870924
Comment:
    Source SRC-M04: National Statistics Office annual releases. See Source Audit for the exact URL. Caveat: Registered FDI is not realized activity.</x:t>
        </x:r>
      </x:text>
    </x:comment>
    <x:comment ref="B10" authorId="6">
      <x:text>
        <x:r>
          <x:t>[Threaded comment]
Your version of Excel allows you to read this threaded comment; however, any edits to it will get removed if the file is opened in a newer version of Excel. Learn more: https://go.microsoft.com/fwlink/?linkid=870924
Comment:
    Source SRC-M03: National Statistics Office annual releases. See Source Audit for the exact URL. Caveat: Trade value is not container throughput.</x:t>
        </x:r>
      </x:text>
    </x:comment>
    <x:comment ref="F10" authorId="7">
      <x:text>
        <x:r>
          <x:t>[Threaded comment]
Your version of Excel allows you to read this threaded comment; however, any edits to it will get removed if the file is opened in a newer version of Excel. Learn more: https://go.microsoft.com/fwlink/?linkid=870924
Comment:
    Source SRC-M03: National Statistics Office annual releases. See Source Audit for the exact URL. Caveat: Registered FDI is not realized activity.</x:t>
        </x:r>
      </x:text>
    </x:comment>
    <x:comment ref="B11" authorId="8">
      <x:text>
        <x:r>
          <x:t>[Threaded comment]
Your version of Excel allows you to read this threaded comment; however, any edits to it will get removed if the file is opened in a newer version of Excel. Learn more: https://go.microsoft.com/fwlink/?linkid=870924
Comment:
    Source SRC-M02: National Statistics Office annual releases. See Source Audit for the exact URL. Caveat: Trade value is not container throughput.</x:t>
        </x:r>
      </x:text>
    </x:comment>
    <x:comment ref="F11" authorId="9">
      <x:text>
        <x:r>
          <x:t>[Threaded comment]
Your version of Excel allows you to read this threaded comment; however, any edits to it will get removed if the file is opened in a newer version of Excel. Learn more: https://go.microsoft.com/fwlink/?linkid=870924
Comment:
    Source SRC-M02: National Statistics Office annual releases. See Source Audit for the exact URL. Caveat: Registered FDI is not realized activity.</x:t>
        </x:r>
      </x:text>
    </x:comment>
  </x:commentList>
</x:comments>
</file>

<file path=xl/comments2.xml><?xml version="1.0" encoding="utf-8"?>
<x:comments xmlns:x="http://schemas.openxmlformats.org/spreadsheetml/2006/main">
  <x:authors>
    <x:author>tc={7D145A6F-2FCE-AB7F-712D-6F125BC4C0C4}</x:author>
    <x:author>tc={97BE1A17-849D-6BBC-336F-235CFB05A45F}</x:author>
    <x:author>tc={BA0CE728-5612-6E79-AFAE-74E84BD876AD}</x:author>
    <x:author>tc={1F8FA1DD-FF11-EDCE-083E-5A9E8C1F5F43}</x:author>
    <x:author>tc={45D4ADE2-26D8-5327-5FB9-6E836546A9D6}</x:author>
  </x:authors>
  <x:commentList>
    <x:comment ref="C7" authorId="0">
      <x:text>
        <x:r>
          <x:t>[Threaded comment]
Your version of Excel allows you to read this threaded comment; however, any edits to it will get removed if the file is opened in a newer version of Excel. Learn more: https://go.microsoft.com/fwlink/?linkid=870924
Comment:
    Source SRC-M01: National Statistics Office 1H2026 release. https://www.nso.gov.vn/wp-content/uploads/2026/07/VN.-T6.2026-final.pdf. Caveat: Aggregate trade value is not container volume.</x:t>
        </x:r>
      </x:text>
    </x:comment>
    <x:comment ref="C8" authorId="1">
      <x:text>
        <x:r>
          <x:t>[Threaded comment]
Your version of Excel allows you to read this threaded comment; however, any edits to it will get removed if the file is opened in a newer version of Excel. Learn more: https://go.microsoft.com/fwlink/?linkid=870924
Comment:
    Source SRC-M01: National Statistics Office 1H2026 release. https://www.nso.gov.vn/wp-content/uploads/2026/07/VN.-T6.2026-final.pdf. Caveat: Product mix and prices can break the link to TEU.</x:t>
        </x:r>
      </x:text>
    </x:comment>
    <x:comment ref="C9" authorId="2">
      <x:text>
        <x:r>
          <x:t>[Threaded comment]
Your version of Excel allows you to read this threaded comment; however, any edits to it will get removed if the file is opened in a newer version of Excel. Learn more: https://go.microsoft.com/fwlink/?linkid=870924
Comment:
    Source SRC-M01: National Statistics Office 1H2026 release. https://www.nso.gov.vn/wp-content/uploads/2026/07/VN.-T6.2026-final.pdf. Caveat: Product mix and prices can break the link to TEU.</x:t>
        </x:r>
      </x:text>
    </x:comment>
    <x:comment ref="C10" authorId="3">
      <x:text>
        <x:r>
          <x:t>[Threaded comment]
Your version of Excel allows you to read this threaded comment; however, any edits to it will get removed if the file is opened in a newer version of Excel. Learn more: https://go.microsoft.com/fwlink/?linkid=870924
Comment:
    Source SRC-M01: National Statistics Office 1H2026 release. https://www.nso.gov.vn/wp-content/uploads/2026/07/VN.-T6.2026-final.pdf. Caveat: Not a near-term throughput proxy.</x:t>
        </x:r>
      </x:text>
    </x:comment>
    <x:comment ref="C11" authorId="4">
      <x:text>
        <x:r>
          <x:t>[Threaded comment]
Your version of Excel allows you to read this threaded comment; however, any edits to it will get removed if the file is opened in a newer version of Excel. Learn more: https://go.microsoft.com/fwlink/?linkid=870924
Comment:
    Source SRC-M01: National Statistics Office 1H2026 release. https://www.nso.gov.vn/wp-content/uploads/2026/07/VN.-T6.2026-final.pdf. Caveat: More relevant than registered FDI, but still indirect.</x:t>
        </x:r>
      </x:text>
    </x:comment>
  </x:commentList>
</x:comments>
</file>

<file path=xl/comments3.xml><?xml version="1.0" encoding="utf-8"?>
<x:comments xmlns:x="http://schemas.openxmlformats.org/spreadsheetml/2006/main">
  <x:authors>
    <x:author>tc={97B67ECE-BB22-C133-EB89-E3B37490B2C5}</x:author>
    <x:author>tc={8BA8C446-50DC-0EDB-C1F6-E6D767A63C00}</x:author>
    <x:author>tc={66EE6F11-650B-A9BA-27D6-88C04027AC1A}</x:author>
    <x:author>tc={EAF517EB-9888-FA03-3FE6-28ECA06B3827}</x:author>
    <x:author>tc={B890A45D-BC8F-1BB4-4E49-8B5BBD1FA5C6}</x:author>
    <x:author>tc={36AB642D-2B83-863F-EB62-DD8DF3E3CC72}</x:author>
    <x:author>tc={7BDE2E93-039C-D715-E9D5-D94C9B70FEF2}</x:author>
    <x:author>tc={C7442947-FFB4-BC6C-C7A2-F7CDE2DD1AD8}</x:author>
    <x:author>tc={0E5FE202-9084-6BFC-2D16-384A247DC0F2}</x:author>
    <x:author>tc={15F86856-04F6-E333-46D9-9492935FB546}</x:author>
    <x:author>tc={9D46B2F1-BA80-D25B-D983-A3708F1D56CC}</x:author>
  </x:authors>
  <x:commentList>
    <x:comment ref="C7" authorId="0">
      <x:text>
        <x:r>
          <x:t>[Threaded comment]
Your version of Excel allows you to read this threaded comment; however, any edits to it will get removed if the file is opened in a newer version of Excel. Learn more: https://go.microsoft.com/fwlink/?linkid=870924
Comment:
    Source SRC-I01: Vietnam Maritime and Waterway Administration. https://vimawa.gov.vn/vi/node/15301. Caveat: Scope is broader than seaports.</x:t>
        </x:r>
      </x:text>
    </x:comment>
    <x:comment ref="C8" authorId="1">
      <x:text>
        <x:r>
          <x:t>[Threaded comment]
Your version of Excel allows you to read this threaded comment; however, any edits to it will get removed if the file is opened in a newer version of Excel. Learn more: https://go.microsoft.com/fwlink/?linkid=870924
Comment:
    Source SRC-I01: Vietnam Maritime and Waterway Administration. https://vimawa.gov.vn/vi/node/15301. Caveat: Scope definition must stay unchanged.</x:t>
        </x:r>
      </x:text>
    </x:comment>
    <x:comment ref="C9" authorId="2">
      <x:text>
        <x:r>
          <x:t>[Threaded comment]
Your version of Excel allows you to read this threaded comment; however, any edits to it will get removed if the file is opened in a newer version of Excel. Learn more: https://go.microsoft.com/fwlink/?linkid=870924
Comment:
    Source SRC-I02: Vietnam Maritime Administration. https://vimawa.gov.vn/vi/node/14557. Caveat: Partial year; not annualized in Phase 1.</x:t>
        </x:r>
      </x:text>
    </x:comment>
    <x:comment ref="C10" authorId="3">
      <x:text>
        <x:r>
          <x:t>[Threaded comment]
Your version of Excel allows you to read this threaded comment; however, any edits to it will get removed if the file is opened in a newer version of Excel. Learn more: https://go.microsoft.com/fwlink/?linkid=870924
Comment:
    Source SRC-I02: Vietnam Maritime Administration. https://vimawa.gov.vn/vi/node/14557. Caveat: Route count can change; refresh before final report.</x:t>
        </x:r>
      </x:text>
    </x:comment>
    <x:comment ref="C11" authorId="4">
      <x:text>
        <x:r>
          <x:t>[Threaded comment]
Your version of Excel allows you to read this threaded comment; however, any edits to it will get removed if the file is opened in a newer version of Excel. Learn more: https://go.microsoft.com/fwlink/?linkid=870924
Comment:
    Source SRC-I02: Vietnam Maritime Administration. https://vimawa.gov.vn/vi/node/14557. Caveat: Includes Europe, America and intra-Asia.</x:t>
        </x:r>
      </x:text>
    </x:comment>
    <x:comment ref="C12" authorId="5">
      <x:text>
        <x:r>
          <x:t>[Threaded comment]
Your version of Excel allows you to read this threaded comment; however, any edits to it will get removed if the file is opened in a newer version of Excel. Learn more: https://go.microsoft.com/fwlink/?linkid=870924
Comment:
    Source SRC-I03: Vietnam Maritime and Waterway Administration. https://vimawa.gov.vn/vi/tin-tuc/quy-hoach-cang-bien-moi-ca-nuoc-con-23-cang-bien-uu-tien-can-gio-lien-chieu-nam-do-son-0. Caveat: Not a forecast or actual.</x:t>
        </x:r>
      </x:text>
    </x:comment>
    <x:comment ref="C13" authorId="6">
      <x:text>
        <x:r>
          <x:t>[Threaded comment]
Your version of Excel allows you to read this threaded comment; however, any edits to it will get removed if the file is opened in a newer version of Excel. Learn more: https://go.microsoft.com/fwlink/?linkid=870924
Comment:
    Source SRC-I03: Vietnam Maritime and Waterway Administration. https://vimawa.gov.vn/vi/tin-tuc/quy-hoach-cang-bien-moi-ca-nuoc-con-23-cang-bien-uu-tien-can-gio-lien-chieu-nam-do-son-0. Caveat: Excludes transshipment.</x:t>
        </x:r>
      </x:text>
    </x:comment>
    <x:comment ref="C14" authorId="7">
      <x:text>
        <x:r>
          <x:t>[Threaded comment]
Your version of Excel allows you to read this threaded comment; however, any edits to it will get removed if the file is opened in a newer version of Excel. Learn more: https://go.microsoft.com/fwlink/?linkid=870924
Comment:
    Source SRC-I04: Prime Minister / Maritime Administration. https://www.vimawa.gov.vn/f/250116%20TTg%20140%20QD%20duyet%20QHCT%20Nhom.pdf. Caveat: Not a forecast or actual.</x:t>
        </x:r>
      </x:text>
    </x:comment>
    <x:comment ref="C15" authorId="8">
      <x:text>
        <x:r>
          <x:t>[Threaded comment]
Your version of Excel allows you to read this threaded comment; however, any edits to it will get removed if the file is opened in a newer version of Excel. Learn more: https://go.microsoft.com/fwlink/?linkid=870924
Comment:
    Source SRC-I04: Prime Minister / Maritime Administration. https://www.vimawa.gov.vn/f/250116%20TTg%20140%20QD%20duyet%20QHCT%20Nhom.pdf. Caveat: Not a forecast or actual.</x:t>
        </x:r>
      </x:text>
    </x:comment>
    <x:comment ref="C16" authorId="9">
      <x:text>
        <x:r>
          <x:t>[Threaded comment]
Your version of Excel allows you to read this threaded comment; however, any edits to it will get removed if the file is opened in a newer version of Excel. Learn more: https://go.microsoft.com/fwlink/?linkid=870924
Comment:
    Source SRC-I05: Vietnam Maritime and Waterway Administration. https://www.vimawa.gov.vn/vi/tin-tuc/bo-truong-nguyen-van-thang-phat-huy-toi-da-tiem-nang-loi-cang-bien. Caveat: Do not use the page's broad national-share wording without clarification.</x:t>
        </x:r>
      </x:text>
    </x:comment>
    <x:comment ref="C17" authorId="10">
      <x:text>
        <x:r>
          <x:t>[Threaded comment]
Your version of Excel allows you to read this threaded comment; however, any edits to it will get removed if the file is opened in a newer version of Excel. Learn more: https://go.microsoft.com/fwlink/?linkid=870924
Comment:
    Source SRC-I05: Vietnam Maritime and Waterway Administration. https://www.vimawa.gov.vn/vi/tin-tuc/bo-truong-nguyen-van-thang-phat-huy-toi-da-tiem-nang-loi-cang-bien. Caveat: Vessel size is not annual capacity.</x:t>
        </x:r>
      </x:text>
    </x:comment>
  </x:commentList>
</x:comments>
</file>

<file path=xl/comments4.xml><?xml version="1.0" encoding="utf-8"?>
<x:comments xmlns:x="http://schemas.openxmlformats.org/spreadsheetml/2006/main">
  <x:authors>
    <x:author>tc={373FBC55-CDD5-0011-F04D-2B1C69ECFA46}</x:author>
    <x:author>tc={32D28A74-5554-297B-7E2C-2DD2FB815083}</x:author>
    <x:author>tc={F9271A12-C674-428E-A32A-5A14D94FAFEB}</x:author>
    <x:author>tc={874AA304-F17B-AAB4-4745-5826F73962C4}</x:author>
    <x:author>tc={96AF83E1-72FA-C40A-3DF6-E806C7E2FD38}</x:author>
    <x:author>tc={98127C0F-A01C-EC1A-7631-5990595AA9E8}</x:author>
  </x:authors>
  <x:commentList>
    <x:comment ref="B7" authorId="0">
      <x:text>
        <x:r>
          <x:t>[Threaded comment]
Your version of Excel allows you to read this threaded comment; however, any edits to it will get removed if the file is opened in a newer version of Excel. Learn more: https://go.microsoft.com/fwlink/?linkid=870924
Comment:
    Source SRC-G01: Gemadept Annual Report 2025. https://www.gemadept.com.vn/wp-content/uploads/2026/04/GMD-AR-2025_EN.pdf. Caveat: Reported actual</x:t>
        </x:r>
      </x:text>
    </x:comment>
    <x:comment ref="B8" authorId="1">
      <x:text>
        <x:r>
          <x:t>[Threaded comment]
Your version of Excel allows you to read this threaded comment; however, any edits to it will get removed if the file is opened in a newer version of Excel. Learn more: https://go.microsoft.com/fwlink/?linkid=870924
Comment:
    Source SRC-G01: Gemadept Annual Report 2025. https://www.gemadept.com.vn/wp-content/uploads/2026/04/GMD-AR-2025_EN.pdf. Caveat: Reported actual</x:t>
        </x:r>
      </x:text>
    </x:comment>
    <x:comment ref="B9" authorId="2">
      <x:text>
        <x:r>
          <x:t>[Threaded comment]
Your version of Excel allows you to read this threaded comment; however, any edits to it will get removed if the file is opened in a newer version of Excel. Learn more: https://go.microsoft.com/fwlink/?linkid=870924
Comment:
    Source SRC-G01: Gemadept Annual Report 2025. https://www.gemadept.com.vn/wp-content/uploads/2026/04/GMD-AR-2025_EN.pdf. Caveat: Reported actual</x:t>
        </x:r>
      </x:text>
    </x:comment>
    <x:comment ref="B10" authorId="3">
      <x:text>
        <x:r>
          <x:t>[Threaded comment]
Your version of Excel allows you to read this threaded comment; however, any edits to it will get removed if the file is opened in a newer version of Excel. Learn more: https://go.microsoft.com/fwlink/?linkid=870924
Comment:
    Source SRC-G01: Gemadept Annual Report 2025. https://www.gemadept.com.vn/wp-content/uploads/2026/04/GMD-AR-2025_EN.pdf. Caveat: Core PBT series disclosed by GMD</x:t>
        </x:r>
      </x:text>
    </x:comment>
    <x:comment ref="B11" authorId="4">
      <x:text>
        <x:r>
          <x:t>[Threaded comment]
Your version of Excel allows you to read this threaded comment; however, any edits to it will get removed if the file is opened in a newer version of Excel. Learn more: https://go.microsoft.com/fwlink/?linkid=870924
Comment:
    Source SRC-G01: Gemadept Annual Report 2025. https://www.gemadept.com.vn/wp-content/uploads/2026/04/GMD-AR-2025_EN.pdf. Caveat: Core PBT series disclosed by GMD</x:t>
        </x:r>
      </x:text>
    </x:comment>
    <x:comment ref="B12" authorId="5">
      <x:text>
        <x:r>
          <x:t>[Threaded comment]
Your version of Excel allows you to read this threaded comment; however, any edits to it will get removed if the file is opened in a newer version of Excel. Learn more: https://go.microsoft.com/fwlink/?linkid=870924
Comment:
    Source SRC-G01: Gemadept Annual Report 2025. https://www.gemadept.com.vn/wp-content/uploads/2026/04/GMD-AR-2025_EN.pdf. Caveat: Reported actual</x:t>
        </x:r>
      </x:text>
    </x:comment>
  </x:commentList>
</x:comments>
</file>

<file path=xl/comments5.xml><?xml version="1.0" encoding="utf-8"?>
<x:comments xmlns:x="http://schemas.openxmlformats.org/spreadsheetml/2006/main">
  <x:authors>
    <x:author>tc={EA11A6B5-7952-0D13-43FD-C0407FC64778}</x:author>
    <x:author>tc={C4307CA9-F4BC-AE05-FFA9-40675E2FA248}</x:author>
    <x:author>tc={F40D0088-D1FB-9B35-3F7D-54CFB53D4D30}</x:author>
    <x:author>tc={22E90AB2-3669-E9B1-4E09-BB0CA19B93AC}</x:author>
    <x:author>tc={BC098978-F47E-0100-B3B4-A1D2ACB9F8B3}</x:author>
    <x:author>tc={32F5CB9F-2804-CB38-F737-0A64EB58C1F8}</x:author>
    <x:author>tc={1646D617-4F86-C259-1C97-F42769AD0424}</x:author>
    <x:author>tc={AAE611C2-A7EC-E8DD-6323-11AFD193A2C2}</x:author>
    <x:author>tc={61CDB7F2-40E4-D1D3-6657-F0DB71CCBD98}</x:author>
    <x:author>tc={3F68ABF2-8680-B6CC-7FFE-B15C40693A96}</x:author>
    <x:author>tc={5E8C4F19-A2E1-ED82-AA91-EA8E91CBF60F}</x:author>
    <x:author>tc={20772687-4BF6-EE75-C92F-6BBD2D220C6C}</x:author>
    <x:author>tc={017143B6-7B0D-202E-8FDC-676C83551F56}</x:author>
    <x:author>tc={1F8BDD36-29DF-7A3E-A15C-878AE3899A8A}</x:author>
    <x:author>tc={5DBFBB39-E7D5-4655-3EB1-9B2A16F16AFC}</x:author>
    <x:author>tc={A63E6667-0D0F-7B0C-F854-E6DBEB8E8FB5}</x:author>
    <x:author>tc={A76BD4B4-5CC9-7DB1-4EF0-EBD8A161F144}</x:author>
    <x:author>tc={307A7913-8C36-4FE0-EF94-969B7EAAEB59}</x:author>
    <x:author>tc={FC403222-F35E-1099-D316-8E06E53B06C4}</x:author>
    <x:author>tc={8F2D22BF-001D-FF97-3B0B-964DF610BF51}</x:author>
  </x:authors>
  <x:commentList>
    <x:comment ref="E7" authorId="0">
      <x:text>
        <x:r>
          <x:t>[Threaded comment]
Your version of Excel allows you to read this threaded comment; however, any edits to it will get removed if the file is opened in a newer version of Excel. Learn more: https://go.microsoft.com/fwlink/?linkid=870924
Comment:
    Source SRC-G01: Gemadept. https://www.gemadept.com.vn/wp-content/uploads/2026/04/GMD-AR-2025_EN.pdf. Caveat: Annual-report chart; exceeds 5m TEU.</x:t>
        </x:r>
      </x:text>
    </x:comment>
    <x:comment ref="E8" authorId="1">
      <x:text>
        <x:r>
          <x:t>[Threaded comment]
Your version of Excel allows you to read this threaded comment; however, any edits to it will get removed if the file is opened in a newer version of Excel. Learn more: https://go.microsoft.com/fwlink/?linkid=870924
Comment:
    Source SRC-G01: Gemadept. https://www.gemadept.com.vn/wp-content/uploads/2026/04/GMD-AR-2025_EN.pdf. Caveat: Approximate share disclosed by company.</x:t>
        </x:r>
      </x:text>
    </x:comment>
    <x:comment ref="E9" authorId="2">
      <x:text>
        <x:r>
          <x:t>[Threaded comment]
Your version of Excel allows you to read this threaded comment; however, any edits to it will get removed if the file is opened in a newer version of Excel. Learn more: https://go.microsoft.com/fwlink/?linkid=870924
Comment:
    Source SRC-G02: Gemadept. https://www.gemadept.com.vn/wp-content/uploads/2026/05/IR-NEWSLETTER-Q12026.pdf. Caveat: Approximately +8% YoY.</x:t>
        </x:r>
      </x:text>
    </x:comment>
    <x:comment ref="E10" authorId="3">
      <x:text>
        <x:r>
          <x:t>[Threaded comment]
Your version of Excel allows you to read this threaded comment; however, any edits to it will get removed if the file is opened in a newer version of Excel. Learn more: https://go.microsoft.com/fwlink/?linkid=870924
Comment:
    Source SRC-G02: Gemadept. https://www.gemadept.com.vn/wp-content/uploads/2026/05/IR-NEWSLETTER-Q12026.pdf. Caveat: Regional map disclosure.</x:t>
        </x:r>
      </x:text>
    </x:comment>
    <x:comment ref="E11" authorId="4">
      <x:text>
        <x:r>
          <x:t>[Threaded comment]
Your version of Excel allows you to read this threaded comment; however, any edits to it will get removed if the file is opened in a newer version of Excel. Learn more: https://go.microsoft.com/fwlink/?linkid=870924
Comment:
    Source SRC-G02: Gemadept. https://www.gemadept.com.vn/wp-content/uploads/2026/05/IR-NEWSLETTER-Q12026.pdf. Caveat: Regional map disclosure.</x:t>
        </x:r>
      </x:text>
    </x:comment>
    <x:comment ref="E12" authorId="5">
      <x:text>
        <x:r>
          <x:t>[Threaded comment]
Your version of Excel allows you to read this threaded comment; however, any edits to it will get removed if the file is opened in a newer version of Excel. Learn more: https://go.microsoft.com/fwlink/?linkid=870924
Comment:
    Source SRC-G02: Gemadept. https://www.gemadept.com.vn/wp-content/uploads/2026/05/IR-NEWSLETTER-Q12026.pdf. Caveat: Unit is tonnes, not TEU.</x:t>
        </x:r>
      </x:text>
    </x:comment>
    <x:comment ref="E13" authorId="6">
      <x:text>
        <x:r>
          <x:t>[Threaded comment]
Your version of Excel allows you to read this threaded comment; however, any edits to it will get removed if the file is opened in a newer version of Excel. Learn more: https://go.microsoft.com/fwlink/?linkid=870924
Comment:
    Source SRC-G02: Gemadept. https://www.gemadept.com.vn/wp-content/uploads/2026/05/IR-NEWSLETTER-Q12026.pdf. Caveat: Regional map disclosure.</x:t>
        </x:r>
      </x:text>
    </x:comment>
    <x:comment ref="E14" authorId="7">
      <x:text>
        <x:r>
          <x:t>[Threaded comment]
Your version of Excel allows you to read this threaded comment; however, any edits to it will get removed if the file is opened in a newer version of Excel. Learn more: https://go.microsoft.com/fwlink/?linkid=870924
Comment:
    Source SRC-G02: Gemadept. https://www.gemadept.com.vn/wp-content/uploads/2026/05/IR-NEWSLETTER-Q12026.pdf. Caveat: Regional map disclosure.</x:t>
        </x:r>
      </x:text>
    </x:comment>
    <x:comment ref="E15" authorId="8">
      <x:text>
        <x:r>
          <x:t>[Threaded comment]
Your version of Excel allows you to read this threaded comment; however, any edits to it will get removed if the file is opened in a newer version of Excel. Learn more: https://go.microsoft.com/fwlink/?linkid=870924
Comment:
    Source SRC-G02: Gemadept. https://www.gemadept.com.vn/wp-content/uploads/2026/05/IR-NEWSLETTER-Q12026.pdf. Caveat: Regional map disclosure.</x:t>
        </x:r>
      </x:text>
    </x:comment>
    <x:comment ref="E16" authorId="9">
      <x:text>
        <x:r>
          <x:t>[Threaded comment]
Your version of Excel allows you to read this threaded comment; however, any edits to it will get removed if the file is opened in a newer version of Excel. Learn more: https://go.microsoft.com/fwlink/?linkid=870924
Comment:
    Source SRC-G01: Gemadept. https://www.gemadept.com.vn/wp-content/uploads/2026/04/GMD-AR-2025_EN.pdf. Caveat: Capacity is not throughput.</x:t>
        </x:r>
      </x:text>
    </x:comment>
    <x:comment ref="E17" authorId="10">
      <x:text>
        <x:r>
          <x:t>[Threaded comment]
Your version of Excel allows you to read this threaded comment; however, any edits to it will get removed if the file is opened in a newer version of Excel. Learn more: https://go.microsoft.com/fwlink/?linkid=870924
Comment:
    Source SRC-G01: Gemadept. https://www.gemadept.com.vn/wp-content/uploads/2026/04/GMD-AR-2025_EN.pdf. Caveat: Capacity is not throughput.</x:t>
        </x:r>
      </x:text>
    </x:comment>
    <x:comment ref="E18" authorId="11">
      <x:text>
        <x:r>
          <x:t>[Threaded comment]
Your version of Excel allows you to read this threaded comment; however, any edits to it will get removed if the file is opened in a newer version of Excel. Learn more: https://go.microsoft.com/fwlink/?linkid=870924
Comment:
    Source SRC-G01: Gemadept. https://www.gemadept.com.vn/wp-content/uploads/2026/04/GMD-AR-2025_EN.pdf. Caveat: Annual-report table; differs from issuer press release's ~650k TEU added.</x:t>
        </x:r>
      </x:text>
    </x:comment>
    <x:comment ref="E19" authorId="12">
      <x:text>
        <x:r>
          <x:t>[Threaded comment]
Your version of Excel allows you to read this threaded comment; however, any edits to it will get removed if the file is opened in a newer version of Excel. Learn more: https://go.microsoft.com/fwlink/?linkid=870924
Comment:
    Source SRC-G04: Gemadept. https://www.gemadept.com.vn/en/gemadept-officially-puts-phase-3-of-the-nam-dinh-vu-port-cluster-into-operation/. Caveat: Definition variance versus 0.8m TEU in annual report.</x:t>
        </x:r>
      </x:text>
    </x:comment>
    <x:comment ref="E20" authorId="13">
      <x:text>
        <x:r>
          <x:t>[Threaded comment]
Your version of Excel allows you to read this threaded comment; however, any edits to it will get removed if the file is opened in a newer version of Excel. Learn more: https://go.microsoft.com/fwlink/?linkid=870924
Comment:
    Source SRC-G01: Gemadept. https://www.gemadept.com.vn/wp-content/uploads/2026/04/GMD-AR-2025_EN.pdf. Caveat: Historical disclosed capex.</x:t>
        </x:r>
      </x:text>
    </x:comment>
    <x:comment ref="E21" authorId="14">
      <x:text>
        <x:r>
          <x:t>[Threaded comment]
Your version of Excel allows you to read this threaded comment; however, any edits to it will get removed if the file is opened in a newer version of Excel. Learn more: https://go.microsoft.com/fwlink/?linkid=870924
Comment:
    Source SRC-G01: Gemadept. https://www.gemadept.com.vn/wp-content/uploads/2026/04/GMD-AR-2025_EN.pdf. Caveat: Historical disclosed capex.</x:t>
        </x:r>
      </x:text>
    </x:comment>
    <x:comment ref="E22" authorId="15">
      <x:text>
        <x:r>
          <x:t>[Threaded comment]
Your version of Excel allows you to read this threaded comment; however, any edits to it will get removed if the file is opened in a newer version of Excel. Learn more: https://go.microsoft.com/fwlink/?linkid=870924
Comment:
    Source SRC-G01 / SRC-G07: Gemadept. https://www.gemadept.com.vn/wp-content/uploads/2026/04/GMD-AR-2025_EN.pdf. Caveat: Disclosed project investment.</x:t>
        </x:r>
      </x:text>
    </x:comment>
    <x:comment ref="E23" authorId="16">
      <x:text>
        <x:r>
          <x:t>[Threaded comment]
Your version of Excel allows you to read this threaded comment; however, any edits to it will get removed if the file is opened in a newer version of Excel. Learn more: https://go.microsoft.com/fwlink/?linkid=870924
Comment:
    Source SRC-G06: Gemadept. https://www.gemadept.com.vn/en/gemalink-port-licensed-to-receive-container-vessels-up-to-2324945-dwt/. Caveat: Gemadept 75%; CMA Terminals 25%.</x:t>
        </x:r>
      </x:text>
    </x:comment>
    <x:comment ref="E24" authorId="17">
      <x:text>
        <x:r>
          <x:t>[Threaded comment]
Your version of Excel allows you to read this threaded comment; however, any edits to it will get removed if the file is opened in a newer version of Excel. Learn more: https://go.microsoft.com/fwlink/?linkid=870924
Comment:
    Source SRC-G05: Gemadept. https://www.gemadept.com.vn/en/services/port-operation/. Caveat: Marketing page; separate from 2025 actual throughput.</x:t>
        </x:r>
      </x:text>
    </x:comment>
    <x:comment ref="E25" authorId="18">
      <x:text>
        <x:r>
          <x:t>[Threaded comment]
Your version of Excel allows you to read this threaded comment; however, any edits to it will get removed if the file is opened in a newer version of Excel. Learn more: https://go.microsoft.com/fwlink/?linkid=870924
Comment:
    Source SRC-G01: Gemadept. https://www.gemadept.com.vn/wp-content/uploads/2026/04/GMD-AR-2025_EN.pdf. Caveat: Company says more than this level; +24% YoY.</x:t>
        </x:r>
      </x:text>
    </x:comment>
    <x:comment ref="E26" authorId="19">
      <x:text>
        <x:r>
          <x:t>[Threaded comment]
Your version of Excel allows you to read this threaded comment; however, any edits to it will get removed if the file is opened in a newer version of Excel. Learn more: https://go.microsoft.com/fwlink/?linkid=870924
Comment:
    Source SRC-G01: Gemadept. https://www.gemadept.com.vn/wp-content/uploads/2026/04/GMD-AR-2025_EN.pdf. Caveat: 2024 actual was 1.145m TEU.</x:t>
        </x:r>
      </x:text>
    </x:comment>
  </x:commentList>
</x:comments>
</file>

<file path=xl/comments6.xml><?xml version="1.0" encoding="utf-8"?>
<x:comments xmlns:x="http://schemas.openxmlformats.org/spreadsheetml/2006/main">
  <x:authors>
    <x:author>tc={0C874926-9C93-FD1C-B74D-2D69FD27292F}</x:author>
    <x:author>tc={8C7FA544-0653-9B33-1AF3-6983CD1F9EBD}</x:author>
    <x:author>tc={1D2D15EB-0C34-D836-EBE9-DDCBCBE1FE0D}</x:author>
    <x:author>tc={1BA9A335-5CFC-1DC5-96C1-A7977DFA81D6}</x:author>
    <x:author>tc={2ED3167E-4877-7FAB-C53B-90D31DD6CB53}</x:author>
    <x:author>tc={658133C9-E2EB-4BDB-8224-A3EB2F4CB925}</x:author>
    <x:author>tc={335F6AEA-7423-0F55-CAA6-E61368CA0B7C}</x:author>
  </x:authors>
  <x:commentList>
    <x:comment ref="C17" authorId="0">
      <x:text>
        <x:r>
          <x:t>[Threaded comment]
Your version of Excel allows you to read this threaded comment; however, any edits to it will get removed if the file is opened in a newer version of Excel. Learn more: https://go.microsoft.com/fwlink/?linkid=870924
Comment:
    Source SRC-P02: Port of Hai Phong Annual Report 2025. https://haiphongport.com.vn/FileUpload/Documents/annual_report_2025pdf.pdf. Caveat: 98.8% of 2024; 83.4% of plan.</x:t>
        </x:r>
      </x:text>
    </x:comment>
    <x:comment ref="C18" authorId="1">
      <x:text>
        <x:r>
          <x:t>[Threaded comment]
Your version of Excel allows you to read this threaded comment; however, any edits to it will get removed if the file is opened in a newer version of Excel. Learn more: https://go.microsoft.com/fwlink/?linkid=870924
Comment:
    Source SRC-P02: Port of Hai Phong Annual Report 2025. https://haiphongport.com.vn/FileUpload/Documents/annual_report_2025pdf.pdf. Caveat: 97.4% of 2024; 85.8% of plan.</x:t>
        </x:r>
      </x:text>
    </x:comment>
    <x:comment ref="C19" authorId="2">
      <x:text>
        <x:r>
          <x:t>[Threaded comment]
Your version of Excel allows you to read this threaded comment; however, any edits to it will get removed if the file is opened in a newer version of Excel. Learn more: https://go.microsoft.com/fwlink/?linkid=870924
Comment:
    Source SRC-P02: Port of Hai Phong Annual Report 2025. https://haiphongport.com.vn/FileUpload/Documents/annual_report_2025pdf.pdf. Caveat: +33.8% YoY.</x:t>
        </x:r>
      </x:text>
    </x:comment>
    <x:comment ref="C20" authorId="3">
      <x:text>
        <x:r>
          <x:t>[Threaded comment]
Your version of Excel allows you to read this threaded comment; however, any edits to it will get removed if the file is opened in a newer version of Excel. Learn more: https://go.microsoft.com/fwlink/?linkid=870924
Comment:
    Source SRC-P02: Port of Hai Phong Annual Report 2025. https://haiphongport.com.vn/FileUpload/Documents/annual_report_2025pdf.pdf. Caveat: Annual report labels this 'profit'; verify PBT/net-profit definition before valuation use.</x:t>
        </x:r>
      </x:text>
    </x:comment>
    <x:comment ref="C21" authorId="4">
      <x:text>
        <x:r>
          <x:t>[Threaded comment]
Your version of Excel allows you to read this threaded comment; however, any edits to it will get removed if the file is opened in a newer version of Excel. Learn more: https://go.microsoft.com/fwlink/?linkid=870924
Comment:
    Source SRC-P02: Port of Hai Phong Annual Report 2025. https://haiphongport.com.vn/FileUpload/Documents/annual_report_2025pdf.pdf. Caveat: +6.9% YoY.</x:t>
        </x:r>
      </x:text>
    </x:comment>
    <x:comment ref="C22" authorId="5">
      <x:text>
        <x:r>
          <x:t>[Threaded comment]
Your version of Excel allows you to read this threaded comment; however, any edits to it will get removed if the file is opened in a newer version of Excel. Learn more: https://go.microsoft.com/fwlink/?linkid=870924
Comment:
    Source SRC-P02: Port of Hai Phong Annual Report 2025. https://haiphongport.com.vn/FileUpload/Documents/annual_report_2025pdf.pdf. Caveat: 98.16% of 2024.</x:t>
        </x:r>
      </x:text>
    </x:comment>
    <x:comment ref="C23" authorId="6">
      <x:text>
        <x:r>
          <x:t>[Threaded comment]
Your version of Excel allows you to read this threaded comment; however, any edits to it will get removed if the file is opened in a newer version of Excel. Learn more: https://go.microsoft.com/fwlink/?linkid=870924
Comment:
    Source SRC-P02: Port of Hai Phong Annual Report 2025. https://haiphongport.com.vn/FileUpload/Documents/annual_report_2025pdf.pdf. Caveat: +4.8% YoY; verify profit definition before valuation use.</x:t>
        </x:r>
      </x:text>
    </x:comment>
  </x:commentList>
</x:comments>
</file>

<file path=xl/comments7.xml><?xml version="1.0" encoding="utf-8"?>
<x:comments xmlns:x="http://schemas.openxmlformats.org/spreadsheetml/2006/main">
  <x:authors>
    <x:author>tc={FC752BB6-D280-BDCA-E255-F60AF9509B2C}</x:author>
    <x:author>tc={ED6EEA5F-F687-F63D-F1F9-A2BFB3A17DD0}</x:author>
    <x:author>tc={DABC32AC-8466-9C29-8592-031290643177}</x:author>
    <x:author>tc={6F621AEF-404D-2851-E865-2B5ED5A60839}</x:author>
    <x:author>tc={B4928E55-6BE8-4FFC-A93C-6D41F7E45376}</x:author>
    <x:author>tc={77474E38-1815-E71F-B3AB-C4E555B133A2}</x:author>
    <x:author>tc={D5F3643C-B274-4A00-DF46-458C5430B374}</x:author>
    <x:author>tc={F3355021-BE91-82D3-366D-5E865300E09A}</x:author>
  </x:authors>
  <x:commentList>
    <x:comment ref="D7" authorId="0">
      <x:text>
        <x:r>
          <x:t>[Threaded comment]
Your version of Excel allows you to read this threaded comment; however, any edits to it will get removed if the file is opened in a newer version of Excel. Learn more: https://go.microsoft.com/fwlink/?linkid=870924
Comment:
    Source SRC-G01: Gemadept Annual Report 2025. https://www.gemadept.com.vn/wp-content/uploads/2026/04/GMD-AR-2025_EN.pdf.</x:t>
        </x:r>
      </x:text>
    </x:comment>
    <x:comment ref="D8" authorId="1">
      <x:text>
        <x:r>
          <x:t>[Threaded comment]
Your version of Excel allows you to read this threaded comment; however, any edits to it will get removed if the file is opened in a newer version of Excel. Learn more: https://go.microsoft.com/fwlink/?linkid=870924
Comment:
    Source SRC-P06: Viconship audited consolidated financial statements 2025. https://viconship.com/wp-content/uploads/2026/03/VSC_Consolidated-FS-31.12.2025_VN.pdf.</x:t>
        </x:r>
      </x:text>
    </x:comment>
    <x:comment ref="D9" authorId="2">
      <x:text>
        <x:r>
          <x:t>[Threaded comment]
Your version of Excel allows you to read this threaded comment; however, any edits to it will get removed if the file is opened in a newer version of Excel. Learn more: https://go.microsoft.com/fwlink/?linkid=870924
Comment:
    Source SRC-P02: Port of Hai Phong Annual Report 2025. https://haiphongport.com.vn/FileUpload/Documents/annual_report_2025pdf.pdf. Caveat: Parent-company financial basis.</x:t>
        </x:r>
      </x:text>
    </x:comment>
    <x:comment ref="D10" authorId="3">
      <x:text>
        <x:r>
          <x:t>[Threaded comment]
Your version of Excel allows you to read this threaded comment; however, any edits to it will get removed if the file is opened in a newer version of Excel. Learn more: https://go.microsoft.com/fwlink/?linkid=870924
Comment:
    Source SRC-P09: Dinh Vu Port 2025 business-result proposal. https://dinhvuport.com.vn/aj/Download.ashx?Key=885.</x:t>
        </x:r>
      </x:text>
    </x:comment>
    <x:comment ref="D15" authorId="4">
      <x:text>
        <x:r>
          <x:t>[Threaded comment]
Your version of Excel allows you to read this threaded comment; however, any edits to it will get removed if the file is opened in a newer version of Excel. Learn more: https://go.microsoft.com/fwlink/?linkid=870924
Comment:
    Source SRC-G01: Gemadept Annual Report 2025. https://www.gemadept.com.vn/wp-content/uploads/2026/04/GMD-AR-2025_EN.pdf.</x:t>
        </x:r>
      </x:text>
    </x:comment>
    <x:comment ref="D16" authorId="5">
      <x:text>
        <x:r>
          <x:t>[Threaded comment]
Your version of Excel allows you to read this threaded comment; however, any edits to it will get removed if the file is opened in a newer version of Excel. Learn more: https://go.microsoft.com/fwlink/?linkid=870924
Comment:
    Source SRC-P05 / SRC-P07: Viconship issuer disclosures. https://viconship.com/wp-content/uploads/2026/04/CBTT-Bao-cao-thuong-nien-nam-2025.pdf. Caveat: The 1m TEU system milestone is the latest clearly attributable issuer-level operating fact used here.</x:t>
        </x:r>
      </x:text>
    </x:comment>
    <x:comment ref="D17" authorId="6">
      <x:text>
        <x:r>
          <x:t>[Threaded comment]
Your version of Excel allows you to read this threaded comment; however, any edits to it will get removed if the file is opened in a newer version of Excel. Learn more: https://go.microsoft.com/fwlink/?linkid=870924
Comment:
    Source SRC-P02: Port of Hai Phong Annual Report 2025. https://haiphongport.com.vn/FileUpload/Documents/annual_report_2025pdf.pdf.</x:t>
        </x:r>
      </x:text>
    </x:comment>
    <x:comment ref="D19" authorId="7">
      <x:text>
        <x:r>
          <x:t>[Threaded comment]
Your version of Excel allows you to read this threaded comment; however, any edits to it will get removed if the file is opened in a newer version of Excel. Learn more: https://go.microsoft.com/fwlink/?linkid=870924
Comment:
    Source SRC-P09: Dinh Vu Port 2025 business-result proposal. https://dinhvuport.com.vn/aj/Download.ashx?Key=885.</x:t>
        </x:r>
      </x:text>
    </x:comment>
  </x:commentList>
</x:comments>
</file>

<file path=xl/comments8.xml><?xml version="1.0" encoding="utf-8"?>
<x:comments xmlns:x="http://schemas.openxmlformats.org/spreadsheetml/2006/main">
  <x:authors>
    <x:author>tc={C4E0B7B3-DEF0-9B37-55BD-3541A1680E67}</x:author>
    <x:author>tc={75D34924-D273-1A86-37FC-E0F130283C0F}</x:author>
    <x:author>tc={182C1A1F-38A6-FDBB-6398-E3A424213E61}</x:author>
    <x:author>tc={62C864BF-75F2-A126-4BB8-2B6BF5664D91}</x:author>
  </x:authors>
  <x:commentList>
    <x:comment ref="C6" authorId="0">
      <x:text>
        <x:r>
          <x:t>[Threaded comment]
Your version of Excel allows you to read this threaded comment; however, any edits to it will get removed if the file is opened in a newer version of Excel. Learn more: https://go.microsoft.com/fwlink/?linkid=870924
Comment:
    Source SRC-API01: VNStock 4.0.5 Finance API. https://vnstocks.com/docs/vnstock/phan-tich-co-ban-fundamental. Caveat: 2021 net sales linked from Raw GMD VNStock and divided by the visible unit divisor.</x:t>
        </x:r>
      </x:text>
    </x:comment>
    <x:comment ref="G6" authorId="1">
      <x:text>
        <x:r>
          <x:t>[Threaded comment]
Your version of Excel allows you to read this threaded comment; however, any edits to it will get removed if the file is opened in a newer version of Excel. Learn more: https://go.microsoft.com/fwlink/?linkid=870924
Comment:
    Source SRC-API01: VNStock 4.0.5 Finance API. https://vnstocks.com/docs/vnstock/phan-tich-co-ban-fundamental. Caveat: 2025 net sales linked from Raw GMD VNStock; reconciled to the 2025 audited annual report.</x:t>
        </x:r>
      </x:text>
    </x:comment>
    <x:comment ref="C25" authorId="2">
      <x:text>
        <x:r>
          <x:t>[Threaded comment]
Your version of Excel allows you to read this threaded comment; however, any edits to it will get removed if the file is opened in a newer version of Excel. Learn more: https://go.microsoft.com/fwlink/?linkid=870924
Comment:
    Source SRC-G10: Gemadept Annual Report 2022. https://www.gemadept.com.vn/wp-content/uploads/2023/04/2022-Annual-Report.pdf. Caveat: 2021–2022 core PBT equals reported PBT.</x:t>
        </x:r>
      </x:text>
    </x:comment>
    <x:comment ref="G25" authorId="3">
      <x:text>
        <x:r>
          <x:t>[Threaded comment]
Your version of Excel allows you to read this threaded comment; however, any edits to it will get removed if the file is opened in a newer version of Excel. Learn more: https://go.microsoft.com/fwlink/?linkid=870924
Comment:
    Source SRC-G01: Gemadept Annual Report 2025. https://www.gemadept.com.vn/wp-content/uploads/2026/04/GMD-AR-2025_EN.pdf. Caveat: 2025 core PBT benchmark.</x:t>
        </x:r>
      </x:text>
    </x:comment>
  </x:commentList>
</x:comments>
</file>

<file path=xl/comments9.xml><?xml version="1.0" encoding="utf-8"?>
<x:comments xmlns:x="http://schemas.openxmlformats.org/spreadsheetml/2006/main">
  <x:authors>
    <x:author>tc={8CA5FA56-F7CE-9B27-E245-22BDBC07340C}</x:author>
    <x:author>tc={FAF2C895-70F7-6B6D-C0A2-B07FC0F81BC5}</x:author>
  </x:authors>
  <x:commentList>
    <x:comment ref="C6" authorId="0">
      <x:text>
        <x:r>
          <x:t>[Threaded comment]
Your version of Excel allows you to read this threaded comment; however, any edits to it will get removed if the file is opened in a newer version of Excel. Learn more: https://go.microsoft.com/fwlink/?linkid=870924
Comment:
    Source SRC-G01: Gemadept Annual Report 2025. https://www.gemadept.com.vn/wp-content/uploads/2026/04/GMD-AR-2025_EN.pdf. Caveat: 2021 point is chart-derived from a rounded growth label.</x:t>
        </x:r>
      </x:text>
    </x:comment>
    <x:comment ref="G6" authorId="1">
      <x:text>
        <x:r>
          <x:t>[Threaded comment]
Your version of Excel allows you to read this threaded comment; however, any edits to it will get removed if the file is opened in a newer version of Excel. Learn more: https://go.microsoft.com/fwlink/?linkid=870924
Comment:
    Source SRC-G01: Gemadept Annual Report 2025. https://www.gemadept.com.vn/wp-content/uploads/2026/04/GMD-AR-2025_EN.pdf. Caveat: 2025 exact system throughput.</x:t>
        </x:r>
      </x:text>
    </x:comment>
  </x:commentList>
</x:comments>
</file>

<file path=xl/comments10.xml><?xml version="1.0" encoding="utf-8"?>
<x:comments xmlns:x="http://schemas.openxmlformats.org/spreadsheetml/2006/main">
  <x:authors>
    <x:author>tc={BC39D41E-2F4F-258A-3F90-21E594CFEF02}</x:author>
    <x:author>tc={C0AAB08D-DEF6-AA97-84F6-1FA429412A5A}</x:author>
  </x:authors>
  <x:commentList>
    <x:comment ref="C6" authorId="0">
      <x:text>
        <x:r>
          <x:t>[Threaded comment]
Your version of Excel allows you to read this threaded comment; however, any edits to it will get removed if the file is opened in a newer version of Excel. Learn more: https://go.microsoft.com/fwlink/?linkid=870924
Comment:
    Source SRC-API01: VNStock 4.0.5 Finance API. https://vnstocks.com/docs/vnstock/phan-tich-co-ban-fundamental. Caveat: 2021 audited associate/JV profit.</x:t>
        </x:r>
      </x:text>
    </x:comment>
    <x:comment ref="G6" authorId="1">
      <x:text>
        <x:r>
          <x:t>[Threaded comment]
Your version of Excel allows you to read this threaded comment; however, any edits to it will get removed if the file is opened in a newer version of Excel. Learn more: https://go.microsoft.com/fwlink/?linkid=870924
Comment:
    Source SRC-API01: VNStock 4.0.5 Finance API. https://vnstocks.com/docs/vnstock/phan-tich-co-ban-fundamental. Caveat: 2025 audited associate/JV profit.</x:t>
        </x:r>
      </x:text>
    </x:comment>
  </x:commentList>
</x:comments>
</file>

<file path=xl/comments11.xml><?xml version="1.0" encoding="utf-8"?>
<x:comments xmlns:x="http://schemas.openxmlformats.org/spreadsheetml/2006/main">
  <x:authors>
    <x:author>tc={7A10BAB9-B95F-B154-7F79-6CB77D6455F4}</x:author>
    <x:author>tc={1D2AA77F-0343-628A-C1B2-239EFB201F1B}</x:author>
  </x:authors>
  <x:commentList>
    <x:comment ref="C6" authorId="0">
      <x:text>
        <x:r>
          <x:t>[Threaded comment]
Your version of Excel allows you to read this threaded comment; however, any edits to it will get removed if the file is opened in a newer version of Excel. Learn more: https://go.microsoft.com/fwlink/?linkid=870924
Comment:
    Source SRC-API01: VNStock 4.0.5 Finance API. https://vnstocks.com/docs/vnstock/phan-tich-co-ban-fundamental. Caveat: 2021 audited CFO.</x:t>
        </x:r>
      </x:text>
    </x:comment>
    <x:comment ref="G6" authorId="1">
      <x:text>
        <x:r>
          <x:t>[Threaded comment]
Your version of Excel allows you to read this threaded comment; however, any edits to it will get removed if the file is opened in a newer version of Excel. Learn more: https://go.microsoft.com/fwlink/?linkid=870924
Comment:
    Source SRC-API01: VNStock 4.0.5 Finance API. https://vnstocks.com/docs/vnstock/phan-tich-co-ban-fundamental. Caveat: 2025 audited CFO.</x:t>
        </x:r>
      </x:text>
    </x:comment>
  </x:commentList>
</x:comments>
</file>

<file path=xl/comments12.xml><?xml version="1.0" encoding="utf-8"?>
<x:comments xmlns:x="http://schemas.openxmlformats.org/spreadsheetml/2006/main">
  <x:authors>
    <x:author>tc={7E7DD16F-1E09-C775-3565-4D07DCBD78B0}</x:author>
    <x:author>tc={F1C288FD-F6A2-858F-C8BB-29DF5F882A68}</x:author>
  </x:authors>
  <x:commentList>
    <x:comment ref="C6" authorId="0">
      <x:text>
        <x:r>
          <x:t>[Threaded comment]
Your version of Excel allows you to read this threaded comment; however, any edits to it will get removed if the file is opened in a newer version of Excel. Learn more: https://go.microsoft.com/fwlink/?linkid=870924
Comment:
    Source SRC-G03: Gemadept 2026 AGM business-plan submission. https://www.gemadept.com.vn/wp-content/uploads/2026/04/AGM-2026-7.3.-Submission-03-Business-Plan-2026.pdf. Caveat: Management registered plan, not analyst forecast.</x:t>
        </x:r>
      </x:text>
    </x:comment>
    <x:comment ref="H6" authorId="1">
      <x:text>
        <x:r>
          <x:t>[Threaded comment]
Your version of Excel allows you to read this threaded comment; however, any edits to it will get removed if the file is opened in a newer version of Excel. Learn more: https://go.microsoft.com/fwlink/?linkid=870924
Comment:
    Source SRC-G02: Gemadept Q1 2026 IR Newsletter. https://www.gemadept.com.vn/wp-content/uploads/2026/05/IR-NEWSLETTER-Q12026.pdf. Caveat: Q1 issuer actual.</x:t>
        </x:r>
      </x:text>
    </x:comment>
  </x:commentList>
</x:comments>
</file>

<file path=xl/comments13.xml><?xml version="1.0" encoding="utf-8"?>
<x:comments xmlns:x="http://schemas.openxmlformats.org/spreadsheetml/2006/main">
  <x:authors>
    <x:author>tc={158BFD68-A27A-39D4-A841-9C2BEFFDF869}</x:author>
    <x:author>tc={014C832A-C380-049B-B978-CC4BF7087F1E}</x:author>
    <x:author>tc={7F227A6B-E00E-7FAE-B15D-602F20F8FAA6}</x:author>
  </x:authors>
  <x:commentList>
    <x:comment ref="C15" authorId="0">
      <x:text>
        <x:r>
          <x:t>[Threaded comment]
Your version of Excel allows you to read this threaded comment; however, any edits to it will get removed if the file is opened in a newer version of Excel. Learn more: https://go.microsoft.com/fwlink/?linkid=870924
Comment:
    Source SRC-P401: VNStock VCI and KBS daily OHLCV. https://vnstocks.com/docs/vnstock/du-lieu-thi-truong-market-data. Close on 24-Jul-2026: VND 73,200.</x:t>
        </x:r>
      </x:text>
    </x:comment>
    <x:comment ref="C16" authorId="1">
      <x:text>
        <x:r>
          <x:t>[Threaded comment]
Your version of Excel allows you to read this threaded comment; however, any edits to it will get removed if the file is opened in a newer version of Excel. Learn more: https://go.microsoft.com/fwlink/?linkid=870924
Comment:
    Source SRC-P402: Gemadept shareholders page. https://www.gemadept.com.vn/en/shareholders/. 426,495,109 listed shares.</x:t>
        </x:r>
      </x:text>
    </x:comment>
    <x:comment ref="C24" authorId="2">
      <x:text>
        <x:r>
          <x:t>[Threaded comment]
Your version of Excel allows you to read this threaded comment; however, any edits to it will get removed if the file is opened in a newer version of Excel. Learn more: https://go.microsoft.com/fwlink/?linkid=870924
Comment:
    Source SRC-P403: AsianBondsOnline / Asian Development Bank. https://asianbondsonline.adb.org/vietnam/. Vietnam 10-year government bond yield: 4.409% at 23-Jul-2026.</x:t>
        </x:r>
      </x:text>
    </x:comment>
  </x:commentList>
</x:comments>
</file>

<file path=xl/comments14.xml><?xml version="1.0" encoding="utf-8"?>
<x:comments xmlns:x="http://schemas.openxmlformats.org/spreadsheetml/2006/main">
  <x:authors>
    <x:author>tc={D42E95D8-F5DD-4265-6E5B-0BD62C21AA94}</x:author>
    <x:author>tc={4851AEA8-6C17-69D0-5E60-3B176DE53A20}</x:author>
    <x:author>tc={B8C2AFBA-704B-AE06-23F6-62F198DAD230}</x:author>
    <x:author>tc={21A2B83B-E9F9-A4B1-CA7C-3F5279C60223}</x:author>
  </x:authors>
  <x:commentList>
    <x:comment ref="C32" authorId="0">
      <x:text>
        <x:r>
          <x:t>[Threaded comment]
Your version of Excel allows you to read this threaded comment; however, any edits to it will get removed if the file is opened in a newer version of Excel. Learn more: https://go.microsoft.com/fwlink/?linkid=870924
Comment:
    Analyst assumption. Calibrated below 1H2026 trade-value growth because trade value is not container volume; anchored to SRC-M01 and SRC-I01.</x:t>
        </x:r>
      </x:text>
    </x:comment>
    <x:comment ref="C33" authorId="1">
      <x:text>
        <x:r>
          <x:t>[Threaded comment]
Your version of Excel allows you to read this threaded comment; however, any edits to it will get removed if the file is opened in a newer version of Excel. Learn more: https://go.microsoft.com/fwlink/?linkid=870924
Comment:
    Analyst assumption. Anchored to issuer-estimated 2025 share of about 15% and the Nam Dinh Vu / Gemalink capacity schedule.</x:t>
        </x:r>
      </x:text>
    </x:comment>
    <x:comment ref="E41" authorId="2">
      <x:text>
        <x:r>
          <x:t>[Threaded comment]
Your version of Excel allows you to read this threaded comment; however, any edits to it will get removed if the file is opened in a newer version of Excel. Learn more: https://go.microsoft.com/fwlink/?linkid=870924
Comment:
    Analyst assumption. Material 2028 ramp follows issuer-stated Gemalink Phase 2 operating timing from Q4 2027; source SRC-G02.</x:t>
        </x:r>
      </x:text>
    </x:comment>
    <x:comment ref="C104" authorId="3">
      <x:text>
        <x:r>
          <x:t>[Threaded comment]
Your version of Excel allows you to read this threaded comment; however, any edits to it will get removed if the file is opened in a newer version of Excel. Learn more: https://go.microsoft.com/fwlink/?linkid=870924
Comment:
    Source anchor SRC-P403: https://asianbondsonline.adb.org/vietnam/. 10-year government bond yield was 4.409% at 23-Jul-2026; rounded to 4.5%.</x:t>
        </x:r>
      </x:text>
    </x:comment>
  </x:commentList>
</x:comments>
</file>

<file path=xl/sharedStrings.xml><?xml version="1.0" encoding="utf-8"?>
<x:sst xmlns:x="http://schemas.openxmlformats.org/spreadsheetml/2006/main"/>
</file>

<file path=xl/styles.xml><?xml version="1.0" encoding="utf-8"?>
<x:styleSheet xmlns:x="http://schemas.openxmlformats.org/spreadsheetml/2006/main">
  <x:numFmts count="22">
    <x:numFmt numFmtId="200" formatCode="#,##0.00;[Red](#,##0.00);-"/>
    <x:numFmt numFmtId="201" formatCode="0.0%;[Red](0.0%);-"/>
    <x:numFmt numFmtId="202" formatCode="0.00;[Red](0.00);-"/>
    <x:numFmt numFmtId="203" formatCode="#,##0;[Red](#,##0);-"/>
    <x:numFmt numFmtId="204" formatCode="0.00x;[Red](0.00x);-"/>
    <x:numFmt numFmtId="205" formatCode="#,##0.000;[Red](#,##0.000);-"/>
    <x:numFmt numFmtId="206" formatCode="0.0x"/>
    <x:numFmt numFmtId="207" formatCode="#,##0.0;[Red](#,##0.0);-"/>
    <x:numFmt numFmtId="208" formatCode="0%;[Red](0%);-"/>
    <x:numFmt numFmtId="209" formatCode="0.00x"/>
    <x:numFmt numFmtId="210" formatCode="0"/>
    <x:numFmt numFmtId="211" formatCode="0.000;[Red](0.000);-"/>
    <x:numFmt numFmtId="212" formatCode="yyyy-mm-dd hh:mm:ss"/>
    <x:numFmt numFmtId="213" formatCode="yyyy&quot;A&quot;"/>
    <x:numFmt numFmtId="214" formatCode="0.0x;[Red](0.0x);-"/>
    <x:numFmt numFmtId="215" formatCode="yyyy-mm-dd"/>
    <x:numFmt numFmtId="216" formatCode="0.0"/>
    <x:numFmt numFmtId="217" formatCode="0.00%;[Red](0.00%);-"/>
    <x:numFmt numFmtId="218" formatCode="yyyy&quot;E&quot;"/>
    <x:numFmt numFmtId="219" formatCode="#,##0"/>
    <x:numFmt numFmtId="220" formatCode="0.0%"/>
    <x:numFmt numFmtId="221" formatCode="dd-mmm-yyyy"/>
  </x:numFmts>
  <x:fonts count="28">
    <x:font>
      <x:sz val="11"/>
      <x:name val="Carlito"/>
    </x:font>
    <x:font>
      <x:b/>
      <x:sz val="16"/>
      <x:color rgb="FFFFFFFF"/>
      <x:name val="Carlito"/>
    </x:font>
    <x:font>
      <x:i/>
      <x:sz val="10"/>
      <x:color rgb="FF1F4E78"/>
      <x:name val="Carlito"/>
    </x:font>
    <x:font>
      <x:b/>
      <x:sz val="10"/>
      <x:color rgb="FFFFFFFF"/>
      <x:name val="Carlito"/>
    </x:font>
    <x:font>
      <x:b/>
      <x:sz val="9"/>
      <x:name val="Carlito"/>
    </x:font>
    <x:font>
      <x:sz val="9"/>
      <x:name val="Carlito"/>
    </x:font>
    <x:font>
      <x:b/>
      <x:sz val="11"/>
      <x:color rgb="FF2E7D32"/>
      <x:name val="Carlito"/>
    </x:font>
    <x:font>
      <x:i/>
      <x:sz val="9"/>
      <x:color rgb="FF000000"/>
      <x:name val="Carlito"/>
    </x:font>
    <x:font>
      <x:b/>
      <x:sz val="9"/>
      <x:color rgb="FF000000"/>
      <x:name val="Carlito"/>
    </x:font>
    <x:font>
      <x:sz val="9"/>
      <x:color rgb="FF000000"/>
      <x:name val="Carlito"/>
    </x:font>
    <x:font>
      <x:sz val="8"/>
      <x:color rgb="FF1F4E78"/>
      <x:name val="Carlito"/>
    </x:font>
    <x:font>
      <x:sz val="9"/>
      <x:color rgb="FF1F4E78"/>
      <x:name val="Carlito"/>
    </x:font>
    <x:font>
      <x:sz val="9"/>
      <x:color rgb="FF008000"/>
      <x:name val="Carlito"/>
    </x:font>
    <x:font>
      <x:sz val="9"/>
      <x:color rgb="FF0000FF"/>
      <x:name val="Carlito"/>
    </x:font>
    <x:font>
      <x:b/>
      <x:sz val="10"/>
      <x:color rgb="FF000000"/>
      <x:name val="Carlito"/>
    </x:font>
    <x:font>
      <x:b/>
      <x:sz val="12"/>
      <x:name val="Carlito"/>
    </x:font>
    <x:font>
      <x:b/>
      <x:sz val="12"/>
      <x:color rgb="FF008000"/>
      <x:name val="Carlito"/>
    </x:font>
    <x:font>
      <x:b/>
      <x:sz val="9"/>
      <x:color rgb="FF2E7D32"/>
      <x:name val="Carlito"/>
    </x:font>
    <x:font>
      <x:b/>
      <x:sz val="9"/>
      <x:color rgb="FF008000"/>
      <x:name val="Carlito"/>
    </x:font>
    <x:font>
      <x:b/>
      <x:sz val="12"/>
      <x:color rgb="FF2E7D32"/>
      <x:name val="Carlito"/>
    </x:font>
    <x:font>
      <x:b/>
      <x:sz val="16"/>
      <x:color rgb="FF17365D"/>
      <x:name val="Carlito"/>
    </x:font>
    <x:font>
      <x:b/>
      <x:sz val="11"/>
      <x:color rgb="FF17365D"/>
      <x:name val="Carlito"/>
    </x:font>
    <x:font>
      <x:b/>
      <x:sz val="18"/>
      <x:color rgb="FFFFFFFF"/>
      <x:name val="Carlito"/>
    </x:font>
    <x:font>
      <x:b/>
      <x:sz val="11"/>
      <x:color rgb="FFFFFFFF"/>
      <x:name val="Carlito"/>
    </x:font>
    <x:font>
      <x:sz val="10"/>
      <x:color rgb="FF000000"/>
      <x:name val="Carlito"/>
    </x:font>
    <x:font>
      <x:sz val="10"/>
      <x:color rgb="FF008000"/>
      <x:name val="Carlito"/>
    </x:font>
    <x:font>
      <x:i/>
      <x:sz val="10"/>
      <x:color rgb="FF000000"/>
      <x:name val="Carlito"/>
    </x:font>
    <x:font>
      <x:b/>
      <x:sz val="10"/>
      <x:color rgb="FF2E7D32"/>
      <x:name val="Carlito"/>
    </x:font>
  </x:fonts>
  <x:fills count="40">
    <x:fill>
      <x:patternFill patternType="none"/>
    </x:fill>
    <x:fill>
      <x:patternFill patternType="gray125"/>
    </x:fill>
    <x:fill>
      <x:patternFill patternType="solid">
        <x:fgColor rgb="FF17365D"/>
      </x:patternFill>
    </x:fill>
    <x:fill>
      <x:patternFill patternType="solid">
        <x:fgColor rgb="FFEAF3F8"/>
      </x:patternFill>
    </x:fill>
    <x:fill>
      <x:patternFill patternType="solid">
        <x:fgColor rgb="FF1F4E78"/>
      </x:patternFill>
    </x:fill>
    <x:fill>
      <x:patternFill patternType="solid">
        <x:fgColor rgb="FFF2F2F2"/>
      </x:patternFill>
    </x:fill>
    <x:fill>
      <x:patternFill patternType="solid">
        <x:fgColor rgb="FFE2F0D9"/>
      </x:patternFill>
    </x:fill>
    <x:fill>
      <x:patternFill patternType="solid">
        <x:fgColor rgb="FFFFF2CC"/>
      </x:patternFill>
    </x:fill>
    <x:fill>
      <x:patternFill patternType="solid">
        <x:fgColor rgb="FFD9EAF7"/>
      </x:patternFill>
    </x:fill>
    <x:fill>
      <x:patternFill patternType="solid">
        <x:fgColor rgb="FFE2F0D9"/>
      </x:patternFill>
    </x:fill>
    <x:fill>
      <x:patternFill patternType="solid">
        <x:fgColor rgb="FFF2F2F2"/>
      </x:patternFill>
    </x:fill>
    <x:fill>
      <x:patternFill patternType="solid">
        <x:fgColor rgb="FF17365D"/>
      </x:patternFill>
    </x:fill>
    <x:fill>
      <x:patternFill patternType="solid">
        <x:fgColor rgb="FFEAF3F8"/>
      </x:patternFill>
    </x:fill>
    <x:fill>
      <x:patternFill patternType="solid">
        <x:fgColor rgb="FF1F4E78"/>
      </x:patternFill>
    </x:fill>
    <x:fill>
      <x:patternFill patternType="solid">
        <x:fgColor rgb="FFD9EAF7"/>
      </x:patternFill>
    </x:fill>
    <x:fill>
      <x:patternFill patternType="solid">
        <x:fgColor rgb="FFFFF2CC"/>
      </x:patternFill>
    </x:fill>
    <x:fill>
      <x:patternFill patternType="solid">
        <x:fgColor rgb="FFE2F0D9"/>
      </x:patternFill>
    </x:fill>
    <x:fill>
      <x:patternFill patternType="solid">
        <x:fgColor rgb="FFF2F2F2"/>
      </x:patternFill>
    </x:fill>
    <x:fill>
      <x:patternFill patternType="solid">
        <x:fgColor rgb="FF17365D"/>
      </x:patternFill>
    </x:fill>
    <x:fill>
      <x:patternFill patternType="solid">
        <x:fgColor rgb="FFEAF3F8"/>
      </x:patternFill>
    </x:fill>
    <x:fill>
      <x:patternFill patternType="solid">
        <x:fgColor rgb="FFD9EAF7"/>
      </x:patternFill>
    </x:fill>
    <x:fill>
      <x:patternFill patternType="solid">
        <x:fgColor rgb="FF1F4E78"/>
      </x:patternFill>
    </x:fill>
    <x:fill>
      <x:patternFill patternType="solid">
        <x:fgColor rgb="FFFFF2CC"/>
      </x:patternFill>
    </x:fill>
    <x:fill>
      <x:patternFill patternType="solid">
        <x:fgColor rgb="FFE2F0D9"/>
      </x:patternFill>
    </x:fill>
    <x:fill>
      <x:patternFill patternType="solid">
        <x:fgColor rgb="FFF2F2F2"/>
      </x:patternFill>
    </x:fill>
    <x:fill>
      <x:patternFill patternType="solid">
        <x:fgColor rgb="FF17365D"/>
      </x:patternFill>
    </x:fill>
    <x:fill>
      <x:patternFill patternType="solid">
        <x:fgColor rgb="FFEAF3F8"/>
      </x:patternFill>
    </x:fill>
    <x:fill>
      <x:patternFill patternType="solid">
        <x:fgColor rgb="FF1F4E78"/>
      </x:patternFill>
    </x:fill>
    <x:fill>
      <x:patternFill patternType="solid">
        <x:fgColor rgb="FFD9EAF7"/>
      </x:patternFill>
    </x:fill>
    <x:fill>
      <x:patternFill patternType="solid">
        <x:fgColor rgb="FFFFF2CC"/>
      </x:patternFill>
    </x:fill>
    <x:fill>
      <x:patternFill patternType="solid">
        <x:fgColor rgb="FF2E7D32"/>
      </x:patternFill>
    </x:fill>
    <x:fill>
      <x:patternFill patternType="solid">
        <x:fgColor rgb="FFC00000"/>
      </x:patternFill>
    </x:fill>
    <x:fill>
      <x:patternFill patternType="solid">
        <x:fgColor rgb="FFFFFFFF"/>
      </x:patternFill>
    </x:fill>
    <x:fill>
      <x:patternFill patternType="solid">
        <x:fgColor rgb="FF17365D"/>
      </x:patternFill>
    </x:fill>
    <x:fill>
      <x:patternFill patternType="solid">
        <x:fgColor rgb="FFEAF3F8"/>
      </x:patternFill>
    </x:fill>
    <x:fill>
      <x:patternFill patternType="solid">
        <x:fgColor rgb="FF1F4E78"/>
      </x:patternFill>
    </x:fill>
    <x:fill>
      <x:patternFill patternType="solid">
        <x:fgColor rgb="FFD9EAF7"/>
      </x:patternFill>
    </x:fill>
    <x:fill>
      <x:patternFill patternType="solid">
        <x:fgColor rgb="FFE2F0D9"/>
      </x:patternFill>
    </x:fill>
    <x:fill>
      <x:patternFill patternType="solid">
        <x:fgColor rgb="FFFFF2CC"/>
      </x:patternFill>
    </x:fill>
    <x:fill>
      <x:patternFill patternType="solid">
        <x:fgColor rgb="FFF2F2F2"/>
      </x:patternFill>
    </x:fill>
  </x:fills>
  <x:borders count="66">
    <x:border/>
    <x:border>
      <x:left style="thin">
        <x:color rgb="FFB7C9D6"/>
      </x:left>
      <x:right style="thin">
        <x:color rgb="FFB7C9D6"/>
      </x:right>
      <x:top style="thin">
        <x:color rgb="FFB7C9D6"/>
      </x:top>
      <x:bottom style="thin">
        <x:color rgb="FFB7C9D6"/>
      </x:bottom>
    </x:border>
    <x:border>
      <x:left style="thin">
        <x:color rgb="FFB7C9D6"/>
      </x:left>
      <x:top style="thin">
        <x:color rgb="FFB7C9D6"/>
      </x:top>
    </x:border>
    <x:border>
      <x:top style="thin">
        <x:color rgb="FFB7C9D6"/>
      </x:top>
    </x:border>
    <x:border>
      <x:right style="thin">
        <x:color rgb="FFB7C9D6"/>
      </x:right>
      <x:top style="thin">
        <x:color rgb="FFB7C9D6"/>
      </x:top>
    </x:border>
    <x:border>
      <x:left style="thin">
        <x:color rgb="FFB7C9D6"/>
      </x:left>
    </x:border>
    <x:border>
      <x:right style="thin">
        <x:color rgb="FFB7C9D6"/>
      </x:right>
    </x:border>
    <x:border>
      <x:left style="thin">
        <x:color rgb="FFB7C9D6"/>
      </x:left>
      <x:bottom style="thin">
        <x:color rgb="FFB7C9D6"/>
      </x:bottom>
    </x:border>
    <x:border>
      <x:bottom style="thin">
        <x:color rgb="FFB7C9D6"/>
      </x:bottom>
    </x:border>
    <x:border>
      <x:right style="thin">
        <x:color rgb="FFB7C9D6"/>
      </x:right>
      <x:bottom style="thin">
        <x:color rgb="FFB7C9D6"/>
      </x:bottom>
    </x:border>
    <x:border>
      <x:right style="thin">
        <x:color rgb="FFD9E2F3"/>
      </x:right>
      <x:bottom style="thin">
        <x:color rgb="FFD9E2F3"/>
      </x:bottom>
    </x:border>
    <x:border>
      <x:left style="thin">
        <x:color rgb="FFD9E2F3"/>
      </x:left>
      <x:right style="thin">
        <x:color rgb="FFD9E2F3"/>
      </x:right>
      <x:bottom style="thin">
        <x:color rgb="FFD9E2F3"/>
      </x:bottom>
    </x:border>
    <x:border>
      <x:left style="thin">
        <x:color rgb="FFD9E2F3"/>
      </x:left>
      <x:bottom style="thin">
        <x:color rgb="FFD9E2F3"/>
      </x:bottom>
    </x:border>
    <x:border>
      <x:right style="thin">
        <x:color rgb="FFD9E2F3"/>
      </x:right>
      <x:top style="thin">
        <x:color rgb="FFD9E2F3"/>
      </x:top>
      <x:bottom style="thin">
        <x:color rgb="FFD9E2F3"/>
      </x:bottom>
    </x:border>
    <x:border>
      <x:left style="thin">
        <x:color rgb="FFD9E2F3"/>
      </x:left>
      <x:right style="thin">
        <x:color rgb="FFD9E2F3"/>
      </x:right>
      <x:top style="thin">
        <x:color rgb="FFD9E2F3"/>
      </x:top>
      <x:bottom style="thin">
        <x:color rgb="FFD9E2F3"/>
      </x:bottom>
    </x:border>
    <x:border>
      <x:left style="thin">
        <x:color rgb="FFD9E2F3"/>
      </x:left>
      <x:top style="thin">
        <x:color rgb="FFD9E2F3"/>
      </x:top>
      <x:bottom style="thin">
        <x:color rgb="FFD9E2F3"/>
      </x:bottom>
    </x:border>
    <x:border>
      <x:right style="thin">
        <x:color rgb="FFD9E2F3"/>
      </x:right>
      <x:top style="thin">
        <x:color rgb="FFD9E2F3"/>
      </x:top>
      <x:bottom style="thin">
        <x:color rgb="FFB7C9D6"/>
      </x:bottom>
    </x:border>
    <x:border>
      <x:left style="thin">
        <x:color rgb="FFD9E2F3"/>
      </x:left>
      <x:right style="thin">
        <x:color rgb="FFD9E2F3"/>
      </x:right>
      <x:top style="thin">
        <x:color rgb="FFD9E2F3"/>
      </x:top>
      <x:bottom style="thin">
        <x:color rgb="FFB7C9D6"/>
      </x:bottom>
    </x:border>
    <x:border>
      <x:left style="thin">
        <x:color rgb="FFD9E2F3"/>
      </x:left>
      <x:top style="thin">
        <x:color rgb="FFD9E2F3"/>
      </x:top>
      <x:bottom style="thin">
        <x:color rgb="FFB7C9D6"/>
      </x:bottom>
    </x:border>
    <x:border>
      <x:right style="thin">
        <x:color rgb="FFD9E2F3"/>
      </x:right>
      <x:top style="thin">
        <x:color rgb="FF2E7D32"/>
      </x:top>
      <x:bottom style="thin">
        <x:color rgb="FFD9E2F3"/>
      </x:bottom>
    </x:border>
    <x:border>
      <x:left style="thin">
        <x:color rgb="FFD9E2F3"/>
      </x:left>
      <x:right style="thin">
        <x:color rgb="FFD9E2F3"/>
      </x:right>
      <x:top style="thin">
        <x:color rgb="FF2E7D32"/>
      </x:top>
      <x:bottom style="thin">
        <x:color rgb="FFD9E2F3"/>
      </x:bottom>
    </x:border>
    <x:border>
      <x:right style="thin">
        <x:color rgb="FFD9E2F3"/>
      </x:right>
      <x:top style="thin">
        <x:color rgb="FFD9E2F3"/>
      </x:top>
      <x:bottom style="double">
        <x:color rgb="FF2E7D32"/>
      </x:bottom>
    </x:border>
    <x:border>
      <x:left style="thin">
        <x:color rgb="FFD9E2F3"/>
      </x:left>
      <x:right style="thin">
        <x:color rgb="FFD9E2F3"/>
      </x:right>
      <x:top style="thin">
        <x:color rgb="FFD9E2F3"/>
      </x:top>
      <x:bottom style="double">
        <x:color rgb="FF2E7D32"/>
      </x:bottom>
    </x:border>
    <x:border>
      <x:left style="thin">
        <x:color rgb="FFD9E2F3"/>
      </x:left>
      <x:top style="thin">
        <x:color rgb="FF2E7D32"/>
      </x:top>
      <x:bottom style="thin">
        <x:color rgb="FFD9E2F3"/>
      </x:bottom>
    </x:border>
    <x:border>
      <x:left style="thin">
        <x:color rgb="FFD9E2F3"/>
      </x:left>
      <x:top style="thin">
        <x:color rgb="FFD9E2F3"/>
      </x:top>
      <x:bottom style="double">
        <x:color rgb="FF2E7D32"/>
      </x:bottom>
    </x:border>
    <x:border>
      <x:right style="thin">
        <x:color rgb="FFD9E2F3"/>
      </x:right>
      <x:bottom style="thin">
        <x:color rgb="FFB7C9D6"/>
      </x:bottom>
    </x:border>
    <x:border>
      <x:left style="thin">
        <x:color rgb="FFD9E2F3"/>
      </x:left>
      <x:right style="thin">
        <x:color rgb="FFD9E2F3"/>
      </x:right>
      <x:bottom style="thin">
        <x:color rgb="FFB7C9D6"/>
      </x:bottom>
    </x:border>
    <x:border>
      <x:left style="thin">
        <x:color rgb="FFD9E2F3"/>
      </x:left>
      <x:bottom style="thin">
        <x:color rgb="FFB7C9D6"/>
      </x:bottom>
    </x:border>
    <x:border>
      <x:right style="thin">
        <x:color rgb="FFD9E2F3"/>
      </x:right>
      <x:top style="thin">
        <x:color rgb="FF2E7D32"/>
      </x:top>
      <x:bottom style="double">
        <x:color rgb="FF2E7D32"/>
      </x:bottom>
    </x:border>
    <x:border>
      <x:left style="thin">
        <x:color rgb="FFD9E2F3"/>
      </x:left>
      <x:right style="thin">
        <x:color rgb="FFD9E2F3"/>
      </x:right>
      <x:top style="thin">
        <x:color rgb="FF2E7D32"/>
      </x:top>
      <x:bottom style="double">
        <x:color rgb="FF2E7D32"/>
      </x:bottom>
    </x:border>
    <x:border>
      <x:left style="medium">
        <x:color rgb="FF2E7D32"/>
      </x:left>
      <x:top style="medium">
        <x:color rgb="FF2E7D32"/>
      </x:top>
    </x:border>
    <x:border>
      <x:top style="medium">
        <x:color rgb="FF2E7D32"/>
      </x:top>
    </x:border>
    <x:border>
      <x:right style="medium">
        <x:color rgb="FF2E7D32"/>
      </x:right>
      <x:top style="medium">
        <x:color rgb="FF2E7D32"/>
      </x:top>
    </x:border>
    <x:border>
      <x:left style="medium">
        <x:color rgb="FF2E7D32"/>
      </x:left>
      <x:bottom style="medium">
        <x:color rgb="FF2E7D32"/>
      </x:bottom>
    </x:border>
    <x:border>
      <x:bottom style="medium">
        <x:color rgb="FF2E7D32"/>
      </x:bottom>
    </x:border>
    <x:border>
      <x:right style="medium">
        <x:color rgb="FF2E7D32"/>
      </x:right>
      <x:bottom style="medium">
        <x:color rgb="FF2E7D32"/>
      </x:bottom>
    </x:border>
    <x:border>
      <x:left style="medium">
        <x:color rgb="FF1F4E78"/>
      </x:left>
      <x:top style="medium">
        <x:color rgb="FF1F4E78"/>
      </x:top>
    </x:border>
    <x:border>
      <x:top style="medium">
        <x:color rgb="FF1F4E78"/>
      </x:top>
    </x:border>
    <x:border>
      <x:right style="medium">
        <x:color rgb="FF1F4E78"/>
      </x:right>
      <x:top style="medium">
        <x:color rgb="FF1F4E78"/>
      </x:top>
    </x:border>
    <x:border>
      <x:left style="medium">
        <x:color rgb="FF1F4E78"/>
      </x:left>
    </x:border>
    <x:border>
      <x:right style="medium">
        <x:color rgb="FF1F4E78"/>
      </x:right>
    </x:border>
    <x:border>
      <x:left style="medium">
        <x:color rgb="FF1F4E78"/>
      </x:left>
      <x:bottom style="medium">
        <x:color rgb="FF1F4E78"/>
      </x:bottom>
    </x:border>
    <x:border>
      <x:bottom style="medium">
        <x:color rgb="FF1F4E78"/>
      </x:bottom>
    </x:border>
    <x:border>
      <x:right style="medium">
        <x:color rgb="FF1F4E78"/>
      </x:right>
      <x:bottom style="medium">
        <x:color rgb="FF1F4E78"/>
      </x:bottom>
    </x:border>
    <x:border>
      <x:left style="medium">
        <x:color rgb="FF2E7D32"/>
      </x:left>
    </x:border>
    <x:border>
      <x:right style="medium">
        <x:color rgb="FF2E7D32"/>
      </x:right>
    </x:border>
    <x:border>
      <x:left style="thin">
        <x:color rgb="FF1F4E78"/>
      </x:left>
      <x:top style="thin">
        <x:color rgb="FF1F4E78"/>
      </x:top>
      <x:bottom style="thin">
        <x:color rgb="FF1F4E78"/>
      </x:bottom>
    </x:border>
    <x:border>
      <x:top style="thin">
        <x:color rgb="FF1F4E78"/>
      </x:top>
      <x:bottom style="thin">
        <x:color rgb="FF1F4E78"/>
      </x:bottom>
    </x:border>
    <x:border>
      <x:right style="thin">
        <x:color rgb="FF1F4E78"/>
      </x:right>
      <x:top style="thin">
        <x:color rgb="FF1F4E78"/>
      </x:top>
      <x:bottom style="thin">
        <x:color rgb="FF1F4E78"/>
      </x:bottom>
    </x:border>
    <x:border>
      <x:left style="thin">
        <x:color rgb="FFB4C7E7"/>
      </x:left>
      <x:right style="thin">
        <x:color rgb="FFB4C7E7"/>
      </x:right>
      <x:top style="thin">
        <x:color rgb="FFB4C7E7"/>
      </x:top>
      <x:bottom style="thin">
        <x:color rgb="FFB4C7E7"/>
      </x:bottom>
    </x:border>
    <x:border>
      <x:left style="thin">
        <x:color rgb="FFD6B656"/>
      </x:left>
      <x:top style="thin">
        <x:color rgb="FFD6B656"/>
      </x:top>
    </x:border>
    <x:border>
      <x:top style="thin">
        <x:color rgb="FFD6B656"/>
      </x:top>
    </x:border>
    <x:border>
      <x:right style="thin">
        <x:color rgb="FFD6B656"/>
      </x:right>
      <x:top style="thin">
        <x:color rgb="FFD6B656"/>
      </x:top>
    </x:border>
    <x:border>
      <x:left style="thin">
        <x:color rgb="FFD6B656"/>
      </x:left>
    </x:border>
    <x:border>
      <x:right style="thin">
        <x:color rgb="FFD6B656"/>
      </x:right>
    </x:border>
    <x:border>
      <x:left style="thin">
        <x:color rgb="FFD6B656"/>
      </x:left>
      <x:bottom style="thin">
        <x:color rgb="FFD6B656"/>
      </x:bottom>
    </x:border>
    <x:border>
      <x:bottom style="thin">
        <x:color rgb="FFD6B656"/>
      </x:bottom>
    </x:border>
    <x:border>
      <x:right style="thin">
        <x:color rgb="FFD6B656"/>
      </x:right>
      <x:bottom style="thin">
        <x:color rgb="FFD6B656"/>
      </x:bottom>
    </x:border>
    <x:border>
      <x:left style="thin">
        <x:color rgb="FFB4C7E7"/>
      </x:left>
      <x:top style="thin">
        <x:color rgb="FFB4C7E7"/>
      </x:top>
    </x:border>
    <x:border>
      <x:top style="thin">
        <x:color rgb="FFB4C7E7"/>
      </x:top>
    </x:border>
    <x:border>
      <x:right style="thin">
        <x:color rgb="FFB4C7E7"/>
      </x:right>
      <x:top style="thin">
        <x:color rgb="FFB4C7E7"/>
      </x:top>
    </x:border>
    <x:border>
      <x:left style="thin">
        <x:color rgb="FFB4C7E7"/>
      </x:left>
    </x:border>
    <x:border>
      <x:right style="thin">
        <x:color rgb="FFB4C7E7"/>
      </x:right>
    </x:border>
    <x:border>
      <x:left style="thin">
        <x:color rgb="FFB4C7E7"/>
      </x:left>
      <x:bottom style="thin">
        <x:color rgb="FFB4C7E7"/>
      </x:bottom>
    </x:border>
    <x:border>
      <x:bottom style="thin">
        <x:color rgb="FFB4C7E7"/>
      </x:bottom>
    </x:border>
    <x:border>
      <x:right style="thin">
        <x:color rgb="FFB4C7E7"/>
      </x:right>
      <x:bottom style="thin">
        <x:color rgb="FFB4C7E7"/>
      </x:bottom>
    </x:border>
  </x:borders>
  <x:cellStyleXfs count="1">
    <x:xf numFmtId="0" fontId="0" fillId="0" borderId="0"/>
  </x:cellStyleXfs>
  <x:cellXfs count="877">
    <x:xf numFmtId="0" fontId="0" fillId="0" borderId="0" xfId="0"/>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horizontal="left"/>
    </x:xf>
    <x:xf numFmtId="0" fontId="1" fillId="2" borderId="0" xfId="0" applyNumberFormat="1" applyFont="1" applyFill="1" applyBorder="1" applyAlignment="1">
      <x:alignment horizontal="left" vertical="center"/>
    </x:xf>
    <x:xf numFmtId="0" fontId="0" fillId="3" borderId="0" xfId="0" applyNumberFormat="1" applyFont="1" applyFill="1" applyBorder="1"/>
    <x:xf numFmtId="0" fontId="2" fillId="3" borderId="0" xfId="0" applyNumberFormat="1" applyFont="1" applyFill="1" applyBorder="1"/>
    <x:xf numFmtId="0" fontId="2" fillId="3" borderId="0" xfId="0" applyNumberFormat="1" applyFont="1" applyFill="1" applyBorder="1" applyAlignment="1">
      <x:alignment wrapText="1"/>
    </x:xf>
    <x:xf numFmtId="0" fontId="2" fillId="3" borderId="0" xfId="0" applyNumberFormat="1" applyFont="1" applyFill="1" applyBorder="1" applyAlignment="1">
      <x:alignment horizontal="left" wrapText="1"/>
    </x:xf>
    <x:xf numFmtId="0" fontId="2" fillId="3" borderId="0" xfId="0" applyNumberFormat="1" applyFont="1" applyFill="1" applyBorder="1" applyAlignment="1">
      <x:alignment horizontal="left" vertical="center" wrapText="1"/>
    </x:xf>
    <x:xf numFmtId="0" fontId="0" fillId="4" borderId="0" xfId="0" applyNumberFormat="1" applyFont="1" applyFill="1" applyBorder="1"/>
    <x:xf numFmtId="0" fontId="3" fillId="4" borderId="0" xfId="0" applyNumberFormat="1" applyFont="1" applyFill="1" applyBorder="1"/>
    <x:xf numFmtId="0" fontId="3" fillId="4" borderId="0" xfId="0" applyNumberFormat="1" applyFont="1" applyFill="1" applyBorder="1" applyAlignment="1">
      <x:alignment horizontal="left"/>
    </x:xf>
    <x:xf numFmtId="0" fontId="3" fillId="4" borderId="0" xfId="0" applyNumberFormat="1" applyFont="1" applyFill="1" applyBorder="1" applyAlignment="1">
      <x:alignment horizontal="left" vertical="center"/>
    </x:xf>
    <x:xf numFmtId="0" fontId="0" fillId="5" borderId="0" xfId="0" applyNumberFormat="1" applyFont="1" applyFill="1" applyBorder="1"/>
    <x:xf numFmtId="0" fontId="4" fillId="5" borderId="0" xfId="0" applyNumberFormat="1" applyFont="1" applyFill="1" applyBorder="1"/>
    <x:xf numFmtId="0" fontId="4" fillId="5" borderId="1" xfId="0" applyNumberFormat="1" applyFont="1" applyFill="1" applyBorder="1"/>
    <x:xf numFmtId="0" fontId="4" fillId="5" borderId="1" xfId="0" applyNumberFormat="1" applyFont="1" applyFill="1" applyBorder="1" applyAlignment="1">
      <x:alignment wrapText="1"/>
    </x:xf>
    <x:xf numFmtId="0" fontId="4" fillId="5" borderId="1" xfId="0" applyNumberFormat="1" applyFont="1" applyFill="1" applyBorder="1" applyAlignment="1">
      <x:alignment vertical="top" wrapText="1"/>
    </x:xf>
    <x:xf numFmtId="0" fontId="5" fillId="0" borderId="0" xfId="0" applyNumberFormat="1" applyFont="1" applyFill="1" applyBorder="1"/>
    <x:xf numFmtId="0" fontId="5" fillId="0" borderId="1" xfId="0" applyNumberFormat="1" applyFont="1" applyFill="1" applyBorder="1"/>
    <x:xf numFmtId="0" fontId="5" fillId="0" borderId="1" xfId="0" applyNumberFormat="1" applyFont="1" applyFill="1" applyBorder="1" applyAlignment="1">
      <x:alignment wrapText="1"/>
    </x:xf>
    <x:xf numFmtId="0" fontId="5" fillId="0" borderId="1" xfId="0" applyNumberFormat="1" applyFont="1" applyFill="1" applyBorder="1" applyAlignment="1">
      <x:alignment vertical="top" wrapText="1"/>
    </x:xf>
    <x:xf numFmtId="0" fontId="0" fillId="6" borderId="0" xfId="0" applyNumberFormat="1" applyFont="1" applyFill="1" applyBorder="1"/>
    <x:xf numFmtId="0" fontId="6" fillId="6" borderId="0" xfId="0" applyNumberFormat="1" applyFont="1" applyFill="1" applyBorder="1"/>
    <x:xf numFmtId="0" fontId="6" fillId="6" borderId="1" xfId="0" applyNumberFormat="1" applyFont="1" applyFill="1" applyBorder="1"/>
    <x:xf numFmtId="0" fontId="6" fillId="6" borderId="1" xfId="0" applyNumberFormat="1" applyFont="1" applyFill="1" applyBorder="1" applyAlignment="1">
      <x:alignment horizontal="center"/>
    </x:xf>
    <x:xf numFmtId="0" fontId="0" fillId="7" borderId="0" xfId="0" applyNumberFormat="1" applyFont="1" applyFill="1" applyBorder="1"/>
    <x:xf numFmtId="0" fontId="7" fillId="7" borderId="0" xfId="0" applyNumberFormat="1" applyFont="1" applyFill="1" applyBorder="1"/>
    <x:xf numFmtId="0" fontId="7" fillId="7" borderId="2" xfId="0" applyNumberFormat="1" applyFont="1" applyFill="1" applyBorder="1"/>
    <x:xf numFmtId="0" fontId="7" fillId="7" borderId="3" xfId="0" applyNumberFormat="1" applyFont="1" applyFill="1" applyBorder="1"/>
    <x:xf numFmtId="0" fontId="7" fillId="7" borderId="4" xfId="0" applyNumberFormat="1" applyFont="1" applyFill="1" applyBorder="1"/>
    <x:xf numFmtId="0" fontId="7" fillId="7" borderId="5" xfId="0" applyNumberFormat="1" applyFont="1" applyFill="1" applyBorder="1"/>
    <x:xf numFmtId="0" fontId="7" fillId="7" borderId="6" xfId="0" applyNumberFormat="1" applyFont="1" applyFill="1" applyBorder="1"/>
    <x:xf numFmtId="0" fontId="7" fillId="7" borderId="7" xfId="0" applyNumberFormat="1" applyFont="1" applyFill="1" applyBorder="1"/>
    <x:xf numFmtId="0" fontId="7" fillId="7" borderId="8" xfId="0" applyNumberFormat="1" applyFont="1" applyFill="1" applyBorder="1"/>
    <x:xf numFmtId="0" fontId="7" fillId="7" borderId="9" xfId="0" applyNumberFormat="1" applyFont="1" applyFill="1" applyBorder="1"/>
    <x:xf numFmtId="0" fontId="7" fillId="7" borderId="2" xfId="0" applyNumberFormat="1" applyFont="1" applyFill="1" applyBorder="1" applyAlignment="1">
      <x:alignment wrapText="1"/>
    </x:xf>
    <x:xf numFmtId="0" fontId="7" fillId="7" borderId="3" xfId="0" applyNumberFormat="1" applyFont="1" applyFill="1" applyBorder="1" applyAlignment="1">
      <x:alignment wrapText="1"/>
    </x:xf>
    <x:xf numFmtId="0" fontId="7" fillId="7" borderId="4" xfId="0" applyNumberFormat="1" applyFont="1" applyFill="1" applyBorder="1" applyAlignment="1">
      <x:alignment wrapText="1"/>
    </x:xf>
    <x:xf numFmtId="0" fontId="7" fillId="7" borderId="5" xfId="0" applyNumberFormat="1" applyFont="1" applyFill="1" applyBorder="1" applyAlignment="1">
      <x:alignment wrapText="1"/>
    </x:xf>
    <x:xf numFmtId="0" fontId="7" fillId="7" borderId="0" xfId="0" applyNumberFormat="1" applyFont="1" applyFill="1" applyBorder="1" applyAlignment="1">
      <x:alignment wrapText="1"/>
    </x:xf>
    <x:xf numFmtId="0" fontId="7" fillId="7" borderId="6" xfId="0" applyNumberFormat="1" applyFont="1" applyFill="1" applyBorder="1" applyAlignment="1">
      <x:alignment wrapText="1"/>
    </x:xf>
    <x:xf numFmtId="0" fontId="7" fillId="7" borderId="7" xfId="0" applyNumberFormat="1" applyFont="1" applyFill="1" applyBorder="1" applyAlignment="1">
      <x:alignment wrapText="1"/>
    </x:xf>
    <x:xf numFmtId="0" fontId="7" fillId="7" borderId="8" xfId="0" applyNumberFormat="1" applyFont="1" applyFill="1" applyBorder="1" applyAlignment="1">
      <x:alignment wrapText="1"/>
    </x:xf>
    <x:xf numFmtId="0" fontId="7" fillId="7" borderId="9" xfId="0" applyNumberFormat="1" applyFont="1" applyFill="1" applyBorder="1" applyAlignment="1">
      <x:alignment wrapText="1"/>
    </x:xf>
    <x:xf numFmtId="0" fontId="7" fillId="7" borderId="2" xfId="0" applyNumberFormat="1" applyFont="1" applyFill="1" applyBorder="1" applyAlignment="1">
      <x:alignment vertical="top" wrapText="1"/>
    </x:xf>
    <x:xf numFmtId="0" fontId="7" fillId="7" borderId="3" xfId="0" applyNumberFormat="1" applyFont="1" applyFill="1" applyBorder="1" applyAlignment="1">
      <x:alignment vertical="top" wrapText="1"/>
    </x:xf>
    <x:xf numFmtId="0" fontId="7" fillId="7" borderId="4" xfId="0" applyNumberFormat="1" applyFont="1" applyFill="1" applyBorder="1" applyAlignment="1">
      <x:alignment vertical="top" wrapText="1"/>
    </x:xf>
    <x:xf numFmtId="0" fontId="7" fillId="7" borderId="5" xfId="0" applyNumberFormat="1" applyFont="1" applyFill="1" applyBorder="1" applyAlignment="1">
      <x:alignment vertical="top" wrapText="1"/>
    </x:xf>
    <x:xf numFmtId="0" fontId="7" fillId="7" borderId="0" xfId="0" applyNumberFormat="1" applyFont="1" applyFill="1" applyBorder="1" applyAlignment="1">
      <x:alignment vertical="top" wrapText="1"/>
    </x:xf>
    <x:xf numFmtId="0" fontId="7" fillId="7" borderId="6" xfId="0" applyNumberFormat="1" applyFont="1" applyFill="1" applyBorder="1" applyAlignment="1">
      <x:alignment vertical="top" wrapText="1"/>
    </x:xf>
    <x:xf numFmtId="0" fontId="7" fillId="7" borderId="7" xfId="0" applyNumberFormat="1" applyFont="1" applyFill="1" applyBorder="1" applyAlignment="1">
      <x:alignment vertical="top" wrapText="1"/>
    </x:xf>
    <x:xf numFmtId="0" fontId="7" fillId="7" borderId="8" xfId="0" applyNumberFormat="1" applyFont="1" applyFill="1" applyBorder="1" applyAlignment="1">
      <x:alignment vertical="top" wrapText="1"/>
    </x:xf>
    <x:xf numFmtId="0" fontId="7" fillId="7" borderId="9" xfId="0" applyNumberFormat="1" applyFont="1" applyFill="1" applyBorder="1" applyAlignment="1">
      <x:alignment vertical="top" wrapText="1"/>
    </x:xf>
    <x:xf numFmtId="0" fontId="4" fillId="0" borderId="0" xfId="0" applyNumberFormat="1" applyFont="1" applyFill="1" applyBorder="1"/>
    <x:xf numFmtId="0" fontId="4" fillId="0" borderId="1" xfId="0" applyNumberFormat="1" applyFont="1" applyFill="1" applyBorder="1"/>
    <x:xf numFmtId="0" fontId="4" fillId="0" borderId="1" xfId="0" applyNumberFormat="1" applyFont="1" applyFill="1" applyBorder="1" applyAlignment="1">
      <x:alignment wrapText="1"/>
    </x:xf>
    <x:xf numFmtId="0" fontId="4" fillId="6" borderId="1" xfId="0" applyNumberFormat="1" applyFont="1" applyFill="1" applyBorder="1" applyAlignment="1">
      <x:alignment wrapText="1"/>
    </x:xf>
    <x:xf numFmtId="0" fontId="4" fillId="7" borderId="1" xfId="0" applyNumberFormat="1" applyFont="1" applyFill="1" applyBorder="1" applyAlignment="1">
      <x:alignment wrapText="1"/>
    </x:xf>
    <x:xf numFmtId="0" fontId="0" fillId="8" borderId="0" xfId="0" applyNumberFormat="1" applyFont="1" applyFill="1" applyBorder="1"/>
    <x:xf numFmtId="0" fontId="8" fillId="8" borderId="0" xfId="0" applyNumberFormat="1" applyFont="1" applyFill="1" applyBorder="1"/>
    <x:xf numFmtId="0" fontId="8" fillId="8" borderId="1" xfId="0" applyNumberFormat="1" applyFont="1" applyFill="1" applyBorder="1"/>
    <x:xf numFmtId="0" fontId="8" fillId="8" borderId="1" xfId="0" applyNumberFormat="1" applyFont="1" applyFill="1" applyBorder="1" applyAlignment="1">
      <x:alignment wrapText="1"/>
    </x:xf>
    <x:xf numFmtId="0" fontId="8" fillId="8" borderId="1" xfId="0" applyNumberFormat="1" applyFont="1" applyFill="1" applyBorder="1" applyAlignment="1">
      <x:alignment horizontal="center" wrapText="1"/>
    </x:xf>
    <x:xf numFmtId="0" fontId="8" fillId="8" borderId="1" xfId="0" applyNumberFormat="1" applyFont="1" applyFill="1" applyBorder="1" applyAlignment="1">
      <x:alignment horizontal="center" vertical="center" wrapText="1"/>
    </x:xf>
    <x:xf numFmtId="0" fontId="9" fillId="0" borderId="0" xfId="0" applyNumberFormat="1" applyFont="1" applyFill="1" applyBorder="1"/>
    <x:xf numFmtId="0" fontId="9" fillId="0" borderId="10" xfId="0" applyNumberFormat="1" applyFont="1" applyFill="1" applyBorder="1"/>
    <x:xf numFmtId="0" fontId="9" fillId="0" borderId="11" xfId="0" applyNumberFormat="1" applyFont="1" applyFill="1" applyBorder="1"/>
    <x:xf numFmtId="0" fontId="9" fillId="0" borderId="12" xfId="0" applyNumberFormat="1" applyFont="1" applyFill="1" applyBorder="1"/>
    <x:xf numFmtId="0" fontId="9" fillId="0" borderId="13" xfId="0" applyNumberFormat="1" applyFont="1" applyFill="1" applyBorder="1"/>
    <x:xf numFmtId="0" fontId="9" fillId="0" borderId="14" xfId="0" applyNumberFormat="1" applyFont="1" applyFill="1" applyBorder="1"/>
    <x:xf numFmtId="0" fontId="9" fillId="0" borderId="15" xfId="0" applyNumberFormat="1" applyFont="1" applyFill="1" applyBorder="1"/>
    <x:xf numFmtId="0" fontId="9" fillId="0" borderId="16" xfId="0" applyNumberFormat="1" applyFont="1" applyFill="1" applyBorder="1"/>
    <x:xf numFmtId="0" fontId="9" fillId="0" borderId="17" xfId="0" applyNumberFormat="1" applyFont="1" applyFill="1" applyBorder="1"/>
    <x:xf numFmtId="0" fontId="9" fillId="0" borderId="18" xfId="0" applyNumberFormat="1" applyFont="1" applyFill="1" applyBorder="1"/>
    <x:xf numFmtId="0" fontId="9" fillId="0" borderId="10" xfId="0" applyNumberFormat="1" applyFont="1" applyFill="1" applyBorder="1" applyAlignment="1">
      <x:alignment wrapText="1"/>
    </x:xf>
    <x:xf numFmtId="0" fontId="9" fillId="0" borderId="11" xfId="0" applyNumberFormat="1" applyFont="1" applyFill="1" applyBorder="1" applyAlignment="1">
      <x:alignment wrapText="1"/>
    </x:xf>
    <x:xf numFmtId="0" fontId="9" fillId="0" borderId="12" xfId="0" applyNumberFormat="1" applyFont="1" applyFill="1" applyBorder="1" applyAlignment="1">
      <x:alignment wrapText="1"/>
    </x:xf>
    <x:xf numFmtId="0" fontId="9" fillId="0" borderId="13" xfId="0" applyNumberFormat="1" applyFont="1" applyFill="1" applyBorder="1" applyAlignment="1">
      <x:alignment wrapText="1"/>
    </x:xf>
    <x:xf numFmtId="0" fontId="9" fillId="0" borderId="14" xfId="0" applyNumberFormat="1" applyFont="1" applyFill="1" applyBorder="1" applyAlignment="1">
      <x:alignment wrapText="1"/>
    </x:xf>
    <x:xf numFmtId="0" fontId="9" fillId="0" borderId="15" xfId="0" applyNumberFormat="1" applyFont="1" applyFill="1" applyBorder="1" applyAlignment="1">
      <x:alignment wrapText="1"/>
    </x:xf>
    <x:xf numFmtId="0" fontId="9" fillId="0" borderId="16" xfId="0" applyNumberFormat="1" applyFont="1" applyFill="1" applyBorder="1" applyAlignment="1">
      <x:alignment wrapText="1"/>
    </x:xf>
    <x:xf numFmtId="0" fontId="9" fillId="0" borderId="17" xfId="0" applyNumberFormat="1" applyFont="1" applyFill="1" applyBorder="1" applyAlignment="1">
      <x:alignment wrapText="1"/>
    </x:xf>
    <x:xf numFmtId="0" fontId="9" fillId="0" borderId="18" xfId="0" applyNumberFormat="1" applyFont="1" applyFill="1" applyBorder="1" applyAlignment="1">
      <x:alignment wrapText="1"/>
    </x:xf>
    <x:xf numFmtId="0" fontId="9" fillId="0" borderId="10" xfId="0" applyNumberFormat="1" applyFont="1" applyFill="1" applyBorder="1" applyAlignment="1">
      <x:alignment vertical="center" wrapText="1"/>
    </x:xf>
    <x:xf numFmtId="0" fontId="9" fillId="0" borderId="11" xfId="0" applyNumberFormat="1" applyFont="1" applyFill="1" applyBorder="1" applyAlignment="1">
      <x:alignment vertical="center" wrapText="1"/>
    </x:xf>
    <x:xf numFmtId="0" fontId="9" fillId="0" borderId="12" xfId="0" applyNumberFormat="1" applyFont="1" applyFill="1" applyBorder="1" applyAlignment="1">
      <x:alignment vertical="center" wrapText="1"/>
    </x:xf>
    <x:xf numFmtId="0" fontId="9" fillId="0" borderId="13" xfId="0" applyNumberFormat="1" applyFont="1" applyFill="1" applyBorder="1" applyAlignment="1">
      <x:alignment vertical="center" wrapText="1"/>
    </x:xf>
    <x:xf numFmtId="0" fontId="9" fillId="0" borderId="14" xfId="0" applyNumberFormat="1" applyFont="1" applyFill="1" applyBorder="1" applyAlignment="1">
      <x:alignment vertical="center" wrapText="1"/>
    </x:xf>
    <x:xf numFmtId="0" fontId="9" fillId="0" borderId="15" xfId="0" applyNumberFormat="1" applyFont="1" applyFill="1" applyBorder="1" applyAlignment="1">
      <x:alignment vertical="center" wrapText="1"/>
    </x:xf>
    <x:xf numFmtId="0" fontId="9" fillId="0" borderId="16" xfId="0" applyNumberFormat="1" applyFont="1" applyFill="1" applyBorder="1" applyAlignment="1">
      <x:alignment vertical="center" wrapText="1"/>
    </x:xf>
    <x:xf numFmtId="0" fontId="9" fillId="0" borderId="17" xfId="0" applyNumberFormat="1" applyFont="1" applyFill="1" applyBorder="1" applyAlignment="1">
      <x:alignment vertical="center" wrapText="1"/>
    </x:xf>
    <x:xf numFmtId="0" fontId="9" fillId="0" borderId="18" xfId="0" applyNumberFormat="1" applyFont="1" applyFill="1" applyBorder="1" applyAlignment="1">
      <x:alignment vertical="center" wrapText="1"/>
    </x:xf>
    <x:xf numFmtId="0" fontId="4" fillId="8" borderId="0" xfId="0" applyNumberFormat="1" applyFont="1" applyFill="1" applyBorder="1"/>
    <x:xf numFmtId="0" fontId="4" fillId="8" borderId="1" xfId="0" applyNumberFormat="1" applyFont="1" applyFill="1" applyBorder="1"/>
    <x:xf numFmtId="0" fontId="4" fillId="8" borderId="1" xfId="0" applyNumberFormat="1" applyFont="1" applyFill="1" applyBorder="1" applyAlignment="1">
      <x:alignment horizontal="center"/>
    </x:xf>
    <x:xf numFmtId="0" fontId="10" fillId="0" borderId="11" xfId="0" applyNumberFormat="1" applyFont="1" applyFill="1" applyBorder="1" applyAlignment="1">
      <x:alignment vertical="center" wrapText="1"/>
    </x:xf>
    <x:xf numFmtId="0" fontId="10" fillId="0" borderId="14" xfId="0" applyNumberFormat="1" applyFont="1" applyFill="1" applyBorder="1" applyAlignment="1">
      <x:alignment vertical="center" wrapText="1"/>
    </x:xf>
    <x:xf numFmtId="0" fontId="10" fillId="0" borderId="17" xfId="0" applyNumberFormat="1" applyFont="1" applyFill="1" applyBorder="1" applyAlignment="1">
      <x:alignment vertical="center" wrapText="1"/>
    </x:xf>
    <x:xf numFmtId="0" fontId="11" fillId="0" borderId="11" xfId="0" applyNumberFormat="1" applyFont="1" applyFill="1" applyBorder="1" applyAlignment="1">
      <x:alignment vertical="center" wrapText="1"/>
    </x:xf>
    <x:xf numFmtId="0" fontId="11" fillId="0" borderId="14" xfId="0" applyNumberFormat="1" applyFont="1" applyFill="1" applyBorder="1" applyAlignment="1">
      <x:alignment vertical="center" wrapText="1"/>
    </x:xf>
    <x:xf numFmtId="0" fontId="11" fillId="0" borderId="17" xfId="0" applyNumberFormat="1" applyFont="1" applyFill="1" applyBorder="1" applyAlignment="1">
      <x:alignment vertical="center" wrapText="1"/>
    </x:xf>
    <x:xf numFmtId="200" fontId="11" fillId="0" borderId="11" xfId="0" applyNumberFormat="1" applyFont="1" applyFill="1" applyBorder="1" applyAlignment="1">
      <x:alignment vertical="center" wrapText="1"/>
    </x:xf>
    <x:xf numFmtId="200" fontId="9" fillId="0" borderId="11" xfId="0" applyNumberFormat="1" applyFont="1" applyFill="1" applyBorder="1" applyAlignment="1">
      <x:alignment vertical="center" wrapText="1"/>
    </x:xf>
    <x:xf numFmtId="200" fontId="11" fillId="0" borderId="14" xfId="0" applyNumberFormat="1" applyFont="1" applyFill="1" applyBorder="1" applyAlignment="1">
      <x:alignment vertical="center" wrapText="1"/>
    </x:xf>
    <x:xf numFmtId="200" fontId="9" fillId="0" borderId="14" xfId="0" applyNumberFormat="1" applyFont="1" applyFill="1" applyBorder="1" applyAlignment="1">
      <x:alignment vertical="center" wrapText="1"/>
    </x:xf>
    <x:xf numFmtId="200" fontId="11" fillId="0" borderId="17" xfId="0" applyNumberFormat="1" applyFont="1" applyFill="1" applyBorder="1" applyAlignment="1">
      <x:alignment vertical="center" wrapText="1"/>
    </x:xf>
    <x:xf numFmtId="200" fontId="9" fillId="0" borderId="17" xfId="0" applyNumberFormat="1" applyFont="1" applyFill="1" applyBorder="1" applyAlignment="1">
      <x:alignment vertical="center" wrapText="1"/>
    </x:xf>
    <x:xf numFmtId="201" fontId="9" fillId="0" borderId="14" xfId="0" applyNumberFormat="1" applyFont="1" applyFill="1" applyBorder="1" applyAlignment="1">
      <x:alignment vertical="center" wrapText="1"/>
    </x:xf>
    <x:xf numFmtId="201" fontId="9" fillId="0" borderId="17" xfId="0" applyNumberFormat="1" applyFont="1" applyFill="1" applyBorder="1" applyAlignment="1">
      <x:alignment vertical="center" wrapText="1"/>
    </x:xf>
    <x:xf numFmtId="201" fontId="9" fillId="0" borderId="11" xfId="0" applyNumberFormat="1" applyFont="1" applyFill="1" applyBorder="1" applyAlignment="1">
      <x:alignment vertical="center" wrapText="1"/>
    </x:xf>
    <x:xf numFmtId="202" fontId="9" fillId="0" borderId="11" xfId="0" applyNumberFormat="1" applyFont="1" applyFill="1" applyBorder="1" applyAlignment="1">
      <x:alignment vertical="center" wrapText="1"/>
    </x:xf>
    <x:xf numFmtId="202" fontId="9" fillId="0" borderId="14" xfId="0" applyNumberFormat="1" applyFont="1" applyFill="1" applyBorder="1" applyAlignment="1">
      <x:alignment vertical="center" wrapText="1"/>
    </x:xf>
    <x:xf numFmtId="202" fontId="9" fillId="0" borderId="17" xfId="0" applyNumberFormat="1" applyFont="1" applyFill="1" applyBorder="1" applyAlignment="1">
      <x:alignment vertical="center" wrapText="1"/>
    </x:xf>
    <x:xf numFmtId="201" fontId="11" fillId="0" borderId="11" xfId="0" applyNumberFormat="1" applyFont="1" applyFill="1" applyBorder="1" applyAlignment="1">
      <x:alignment vertical="center" wrapText="1"/>
    </x:xf>
    <x:xf numFmtId="201" fontId="11" fillId="0" borderId="14" xfId="0" applyNumberFormat="1" applyFont="1" applyFill="1" applyBorder="1" applyAlignment="1">
      <x:alignment vertical="center" wrapText="1"/>
    </x:xf>
    <x:xf numFmtId="201" fontId="11" fillId="0" borderId="17" xfId="0" applyNumberFormat="1" applyFont="1" applyFill="1" applyBorder="1" applyAlignment="1">
      <x:alignment vertical="center" wrapText="1"/>
    </x:xf>
    <x:xf numFmtId="0" fontId="12" fillId="0" borderId="11" xfId="0" applyNumberFormat="1" applyFont="1" applyFill="1" applyBorder="1" applyAlignment="1">
      <x:alignment vertical="center" wrapText="1"/>
    </x:xf>
    <x:xf numFmtId="0" fontId="12" fillId="0" borderId="14" xfId="0" applyNumberFormat="1" applyFont="1" applyFill="1" applyBorder="1" applyAlignment="1">
      <x:alignment vertical="center" wrapText="1"/>
    </x:xf>
    <x:xf numFmtId="0" fontId="12" fillId="0" borderId="17" xfId="0" applyNumberFormat="1" applyFont="1" applyFill="1" applyBorder="1" applyAlignment="1">
      <x:alignment vertical="center" wrapText="1"/>
    </x:xf>
    <x:xf numFmtId="203" fontId="11" fillId="0" borderId="11" xfId="0" applyNumberFormat="1" applyFont="1" applyFill="1" applyBorder="1" applyAlignment="1">
      <x:alignment vertical="center" wrapText="1"/>
    </x:xf>
    <x:xf numFmtId="203" fontId="11" fillId="0" borderId="14" xfId="0" applyNumberFormat="1" applyFont="1" applyFill="1" applyBorder="1" applyAlignment="1">
      <x:alignment vertical="center" wrapText="1"/>
    </x:xf>
    <x:xf numFmtId="203" fontId="11" fillId="0" borderId="17" xfId="0" applyNumberFormat="1" applyFont="1" applyFill="1" applyBorder="1" applyAlignment="1">
      <x:alignment vertical="center" wrapText="1"/>
    </x:xf>
    <x:xf numFmtId="201" fontId="12" fillId="0" borderId="11" xfId="0" applyNumberFormat="1" applyFont="1" applyFill="1" applyBorder="1" applyAlignment="1">
      <x:alignment vertical="center" wrapText="1"/>
    </x:xf>
    <x:xf numFmtId="201" fontId="12" fillId="0" borderId="14" xfId="0" applyNumberFormat="1" applyFont="1" applyFill="1" applyBorder="1" applyAlignment="1">
      <x:alignment vertical="center" wrapText="1"/>
    </x:xf>
    <x:xf numFmtId="201" fontId="12" fillId="0" borderId="17" xfId="0" applyNumberFormat="1" applyFont="1" applyFill="1" applyBorder="1" applyAlignment="1">
      <x:alignment vertical="center" wrapText="1"/>
    </x:xf>
    <x:xf numFmtId="204" fontId="11" fillId="0" borderId="11" xfId="0" applyNumberFormat="1" applyFont="1" applyFill="1" applyBorder="1" applyAlignment="1">
      <x:alignment vertical="center" wrapText="1"/>
    </x:xf>
    <x:xf numFmtId="204" fontId="11" fillId="0" borderId="14" xfId="0" applyNumberFormat="1" applyFont="1" applyFill="1" applyBorder="1" applyAlignment="1">
      <x:alignment vertical="center" wrapText="1"/>
    </x:xf>
    <x:xf numFmtId="204" fontId="11" fillId="0" borderId="17" xfId="0" applyNumberFormat="1" applyFont="1" applyFill="1" applyBorder="1" applyAlignment="1">
      <x:alignment vertical="center" wrapText="1"/>
    </x:xf>
    <x:xf numFmtId="203" fontId="9" fillId="0" borderId="11" xfId="0" applyNumberFormat="1" applyFont="1" applyFill="1" applyBorder="1" applyAlignment="1">
      <x:alignment vertical="center" wrapText="1"/>
    </x:xf>
    <x:xf numFmtId="203" fontId="9" fillId="0" borderId="14" xfId="0" applyNumberFormat="1" applyFont="1" applyFill="1" applyBorder="1" applyAlignment="1">
      <x:alignment vertical="center" wrapText="1"/>
    </x:xf>
    <x:xf numFmtId="203" fontId="9" fillId="0" borderId="17" xfId="0" applyNumberFormat="1" applyFont="1" applyFill="1" applyBorder="1" applyAlignment="1">
      <x:alignment vertical="center" wrapText="1"/>
    </x:xf>
    <x:xf numFmtId="205" fontId="9" fillId="0" borderId="11" xfId="0" applyNumberFormat="1" applyFont="1" applyFill="1" applyBorder="1" applyAlignment="1">
      <x:alignment vertical="center" wrapText="1"/>
    </x:xf>
    <x:xf numFmtId="205" fontId="9" fillId="0" borderId="14" xfId="0" applyNumberFormat="1" applyFont="1" applyFill="1" applyBorder="1" applyAlignment="1">
      <x:alignment vertical="center" wrapText="1"/>
    </x:xf>
    <x:xf numFmtId="205" fontId="9" fillId="0" borderId="17" xfId="0" applyNumberFormat="1" applyFont="1" applyFill="1" applyBorder="1" applyAlignment="1">
      <x:alignment vertical="center" wrapText="1"/>
    </x:xf>
    <x:xf numFmtId="205" fontId="11" fillId="0" borderId="11" xfId="0" applyNumberFormat="1" applyFont="1" applyFill="1" applyBorder="1" applyAlignment="1">
      <x:alignment vertical="center" wrapText="1"/>
    </x:xf>
    <x:xf numFmtId="205" fontId="11" fillId="0" borderId="14" xfId="0" applyNumberFormat="1" applyFont="1" applyFill="1" applyBorder="1" applyAlignment="1">
      <x:alignment vertical="center" wrapText="1"/>
    </x:xf>
    <x:xf numFmtId="205" fontId="11" fillId="0" borderId="17" xfId="0" applyNumberFormat="1" applyFont="1" applyFill="1" applyBorder="1" applyAlignment="1">
      <x:alignment vertical="center" wrapText="1"/>
    </x:xf>
    <x:xf numFmtId="0" fontId="9" fillId="7" borderId="13" xfId="0" applyNumberFormat="1" applyFont="1" applyFill="1" applyBorder="1" applyAlignment="1">
      <x:alignment vertical="center" wrapText="1"/>
    </x:xf>
    <x:xf numFmtId="0" fontId="9" fillId="7" borderId="14" xfId="0" applyNumberFormat="1" applyFont="1" applyFill="1" applyBorder="1" applyAlignment="1">
      <x:alignment vertical="center" wrapText="1"/>
    </x:xf>
    <x:xf numFmtId="205" fontId="11" fillId="7" borderId="14" xfId="0" applyNumberFormat="1" applyFont="1" applyFill="1" applyBorder="1" applyAlignment="1">
      <x:alignment vertical="center" wrapText="1"/>
    </x:xf>
    <x:xf numFmtId="0" fontId="9" fillId="7" borderId="15" xfId="0" applyNumberFormat="1" applyFont="1" applyFill="1" applyBorder="1" applyAlignment="1">
      <x:alignment vertical="center" wrapText="1"/>
    </x:xf>
    <x:xf numFmtId="0" fontId="9" fillId="7" borderId="11" xfId="0" applyNumberFormat="1" applyFont="1" applyFill="1" applyBorder="1" applyAlignment="1">
      <x:alignment vertical="center" wrapText="1"/>
    </x:xf>
    <x:xf numFmtId="0" fontId="9" fillId="7" borderId="17" xfId="0" applyNumberFormat="1" applyFont="1" applyFill="1" applyBorder="1" applyAlignment="1">
      <x:alignment vertical="center" wrapText="1"/>
    </x:xf>
    <x:xf numFmtId="200" fontId="12" fillId="0" borderId="11" xfId="0" applyNumberFormat="1" applyFont="1" applyFill="1" applyBorder="1" applyAlignment="1">
      <x:alignment vertical="center" wrapText="1"/>
    </x:xf>
    <x:xf numFmtId="200" fontId="12" fillId="0" borderId="14" xfId="0" applyNumberFormat="1" applyFont="1" applyFill="1" applyBorder="1" applyAlignment="1">
      <x:alignment vertical="center" wrapText="1"/>
    </x:xf>
    <x:xf numFmtId="200" fontId="12" fillId="0" borderId="17" xfId="0" applyNumberFormat="1" applyFont="1" applyFill="1" applyBorder="1" applyAlignment="1">
      <x:alignment vertical="center" wrapText="1"/>
    </x:xf>
    <x:xf numFmtId="0" fontId="8" fillId="0" borderId="11" xfId="0" applyNumberFormat="1" applyFont="1" applyFill="1" applyBorder="1" applyAlignment="1">
      <x:alignment vertical="center" wrapText="1"/>
    </x:xf>
    <x:xf numFmtId="0" fontId="8" fillId="0" borderId="14" xfId="0" applyNumberFormat="1" applyFont="1" applyFill="1" applyBorder="1" applyAlignment="1">
      <x:alignment vertical="center" wrapText="1"/>
    </x:xf>
    <x:xf numFmtId="0" fontId="8" fillId="0" borderId="17" xfId="0" applyNumberFormat="1" applyFont="1" applyFill="1" applyBorder="1" applyAlignment="1">
      <x:alignment vertical="center" wrapText="1"/>
    </x:xf>
    <x:xf numFmtId="0" fontId="4" fillId="6" borderId="0" xfId="0" applyNumberFormat="1" applyFont="1" applyFill="1" applyBorder="1"/>
    <x:xf numFmtId="0" fontId="4" fillId="6" borderId="1" xfId="0" applyNumberFormat="1" applyFont="1" applyFill="1" applyBorder="1"/>
    <x:xf numFmtId="0" fontId="4" fillId="9" borderId="1" xfId="0" applyNumberFormat="1" applyFont="1" applyFill="1" applyBorder="1" applyAlignment="1">
      <x:alignment wrapText="1"/>
    </x:xf>
    <x:xf numFmtId="0" fontId="4" fillId="10" borderId="1" xfId="0" applyNumberFormat="1" applyFont="1" applyFill="1" applyBorder="1" applyAlignment="1">
      <x:alignment wrapText="1"/>
    </x:xf>
    <x:xf numFmtId="0" fontId="0" fillId="11" borderId="0" xfId="0" applyNumberFormat="1" applyFont="1" applyFill="1" applyBorder="1"/>
    <x:xf numFmtId="0" fontId="1" fillId="11" borderId="0" xfId="0" applyNumberFormat="1" applyFont="1" applyFill="1" applyBorder="1"/>
    <x:xf numFmtId="0" fontId="1" fillId="11" borderId="0" xfId="0" applyNumberFormat="1" applyFont="1" applyFill="1" applyBorder="1" applyAlignment="1">
      <x:alignment horizontal="left"/>
    </x:xf>
    <x:xf numFmtId="0" fontId="1" fillId="11" borderId="0" xfId="0" applyNumberFormat="1" applyFont="1" applyFill="1" applyBorder="1" applyAlignment="1">
      <x:alignment horizontal="left" vertical="center"/>
    </x:xf>
    <x:xf numFmtId="0" fontId="0" fillId="12" borderId="0" xfId="0" applyNumberFormat="1" applyFont="1" applyFill="1" applyBorder="1"/>
    <x:xf numFmtId="0" fontId="2" fillId="12" borderId="0" xfId="0" applyNumberFormat="1" applyFont="1" applyFill="1" applyBorder="1"/>
    <x:xf numFmtId="0" fontId="2" fillId="12" borderId="0" xfId="0" applyNumberFormat="1" applyFont="1" applyFill="1" applyBorder="1" applyAlignment="1">
      <x:alignment wrapText="1"/>
    </x:xf>
    <x:xf numFmtId="0" fontId="2" fillId="12" borderId="0" xfId="0" applyNumberFormat="1" applyFont="1" applyFill="1" applyBorder="1" applyAlignment="1">
      <x:alignment vertical="center" wrapText="1"/>
    </x:xf>
    <x:xf numFmtId="0" fontId="0" fillId="13" borderId="0" xfId="0" applyNumberFormat="1" applyFont="1" applyFill="1" applyBorder="1"/>
    <x:xf numFmtId="0" fontId="3" fillId="13" borderId="0" xfId="0" applyNumberFormat="1" applyFont="1" applyFill="1" applyBorder="1"/>
    <x:xf numFmtId="0" fontId="3" fillId="13" borderId="0" xfId="0" applyNumberFormat="1" applyFont="1" applyFill="1" applyBorder="1" applyAlignment="1">
      <x:alignment vertical="center"/>
    </x:xf>
    <x:xf numFmtId="0" fontId="0" fillId="14" borderId="0" xfId="0" applyNumberFormat="1" applyFont="1" applyFill="1" applyBorder="1"/>
    <x:xf numFmtId="0" fontId="8" fillId="14" borderId="0" xfId="0" applyNumberFormat="1" applyFont="1" applyFill="1" applyBorder="1"/>
    <x:xf numFmtId="0" fontId="8" fillId="14" borderId="1" xfId="0" applyNumberFormat="1" applyFont="1" applyFill="1" applyBorder="1"/>
    <x:xf numFmtId="0" fontId="8" fillId="14" borderId="1" xfId="0" applyNumberFormat="1" applyFont="1" applyFill="1" applyBorder="1" applyAlignment="1">
      <x:alignment wrapText="1"/>
    </x:xf>
    <x:xf numFmtId="0" fontId="8" fillId="14" borderId="1" xfId="0" applyNumberFormat="1" applyFont="1" applyFill="1" applyBorder="1" applyAlignment="1">
      <x:alignment horizontal="center" wrapText="1"/>
    </x:xf>
    <x:xf numFmtId="0" fontId="8" fillId="14" borderId="1" xfId="0" applyNumberFormat="1" applyFont="1" applyFill="1" applyBorder="1" applyAlignment="1">
      <x:alignment horizontal="center" vertical="center" wrapText="1"/>
    </x:xf>
    <x:xf numFmtId="206" fontId="9" fillId="0" borderId="11" xfId="0" applyNumberFormat="1" applyFont="1" applyFill="1" applyBorder="1" applyAlignment="1">
      <x:alignment vertical="center" wrapText="1"/>
    </x:xf>
    <x:xf numFmtId="206" fontId="9" fillId="0" borderId="14" xfId="0" applyNumberFormat="1" applyFont="1" applyFill="1" applyBorder="1" applyAlignment="1">
      <x:alignment vertical="center" wrapText="1"/>
    </x:xf>
    <x:xf numFmtId="206" fontId="9" fillId="0" borderId="17" xfId="0" applyNumberFormat="1" applyFont="1" applyFill="1" applyBorder="1" applyAlignment="1">
      <x:alignment vertical="center" wrapText="1"/>
    </x:xf>
    <x:xf numFmtId="206" fontId="11" fillId="0" borderId="11" xfId="0" applyNumberFormat="1" applyFont="1" applyFill="1" applyBorder="1" applyAlignment="1">
      <x:alignment vertical="center" wrapText="1"/>
    </x:xf>
    <x:xf numFmtId="206" fontId="11" fillId="0" borderId="14" xfId="0" applyNumberFormat="1" applyFont="1" applyFill="1" applyBorder="1" applyAlignment="1">
      <x:alignment vertical="center" wrapText="1"/>
    </x:xf>
    <x:xf numFmtId="206" fontId="11" fillId="0" borderId="17" xfId="0" applyNumberFormat="1" applyFont="1" applyFill="1" applyBorder="1" applyAlignment="1">
      <x:alignment vertical="center" wrapText="1"/>
    </x:xf>
    <x:xf numFmtId="206" fontId="11" fillId="15" borderId="11" xfId="0" applyNumberFormat="1" applyFont="1" applyFill="1" applyBorder="1" applyAlignment="1">
      <x:alignment vertical="center" wrapText="1"/>
    </x:xf>
    <x:xf numFmtId="206" fontId="11" fillId="15" borderId="14" xfId="0" applyNumberFormat="1" applyFont="1" applyFill="1" applyBorder="1" applyAlignment="1">
      <x:alignment vertical="center" wrapText="1"/>
    </x:xf>
    <x:xf numFmtId="206" fontId="11" fillId="15" borderId="17" xfId="0" applyNumberFormat="1" applyFont="1" applyFill="1" applyBorder="1" applyAlignment="1">
      <x:alignment vertical="center" wrapText="1"/>
    </x:xf>
    <x:xf numFmtId="0" fontId="0" fillId="15" borderId="0" xfId="0" applyNumberFormat="1" applyFont="1" applyFill="1" applyBorder="1"/>
    <x:xf numFmtId="0" fontId="7" fillId="15" borderId="0" xfId="0" applyNumberFormat="1" applyFont="1" applyFill="1" applyBorder="1"/>
    <x:xf numFmtId="0" fontId="7" fillId="15" borderId="2" xfId="0" applyNumberFormat="1" applyFont="1" applyFill="1" applyBorder="1"/>
    <x:xf numFmtId="0" fontId="7" fillId="15" borderId="3" xfId="0" applyNumberFormat="1" applyFont="1" applyFill="1" applyBorder="1"/>
    <x:xf numFmtId="0" fontId="7" fillId="15" borderId="4" xfId="0" applyNumberFormat="1" applyFont="1" applyFill="1" applyBorder="1"/>
    <x:xf numFmtId="0" fontId="7" fillId="15" borderId="5" xfId="0" applyNumberFormat="1" applyFont="1" applyFill="1" applyBorder="1"/>
    <x:xf numFmtId="0" fontId="7" fillId="15" xfId="0" applyNumberFormat="1" applyFont="1" applyFill="1" applyBorder="0"/>
    <x:xf numFmtId="0" fontId="7" fillId="15" borderId="6" xfId="0" applyNumberFormat="1" applyFont="1" applyFill="1" applyBorder="1"/>
    <x:xf numFmtId="0" fontId="7" fillId="15" borderId="7" xfId="0" applyNumberFormat="1" applyFont="1" applyFill="1" applyBorder="1"/>
    <x:xf numFmtId="0" fontId="7" fillId="15" borderId="8" xfId="0" applyNumberFormat="1" applyFont="1" applyFill="1" applyBorder="1"/>
    <x:xf numFmtId="0" fontId="7" fillId="15" borderId="9" xfId="0" applyNumberFormat="1" applyFont="1" applyFill="1" applyBorder="1"/>
    <x:xf numFmtId="0" fontId="7" fillId="15" borderId="2" xfId="0" applyNumberFormat="1" applyFont="1" applyFill="1" applyBorder="1" applyAlignment="1">
      <x:alignment wrapText="1"/>
    </x:xf>
    <x:xf numFmtId="0" fontId="7" fillId="15" borderId="3" xfId="0" applyNumberFormat="1" applyFont="1" applyFill="1" applyBorder="1" applyAlignment="1">
      <x:alignment wrapText="1"/>
    </x:xf>
    <x:xf numFmtId="0" fontId="7" fillId="15" borderId="4" xfId="0" applyNumberFormat="1" applyFont="1" applyFill="1" applyBorder="1" applyAlignment="1">
      <x:alignment wrapText="1"/>
    </x:xf>
    <x:xf numFmtId="0" fontId="7" fillId="15" borderId="5" xfId="0" applyNumberFormat="1" applyFont="1" applyFill="1" applyBorder="1" applyAlignment="1">
      <x:alignment wrapText="1"/>
    </x:xf>
    <x:xf numFmtId="0" fontId="7" fillId="15" xfId="0" applyNumberFormat="1" applyFont="1" applyFill="1" applyBorder="0" applyAlignment="1">
      <x:alignment wrapText="1"/>
    </x:xf>
    <x:xf numFmtId="0" fontId="7" fillId="15" borderId="6" xfId="0" applyNumberFormat="1" applyFont="1" applyFill="1" applyBorder="1" applyAlignment="1">
      <x:alignment wrapText="1"/>
    </x:xf>
    <x:xf numFmtId="0" fontId="7" fillId="15" borderId="7" xfId="0" applyNumberFormat="1" applyFont="1" applyFill="1" applyBorder="1" applyAlignment="1">
      <x:alignment wrapText="1"/>
    </x:xf>
    <x:xf numFmtId="0" fontId="7" fillId="15" borderId="8" xfId="0" applyNumberFormat="1" applyFont="1" applyFill="1" applyBorder="1" applyAlignment="1">
      <x:alignment wrapText="1"/>
    </x:xf>
    <x:xf numFmtId="0" fontId="7" fillId="15" borderId="9" xfId="0" applyNumberFormat="1" applyFont="1" applyFill="1" applyBorder="1" applyAlignment="1">
      <x:alignment wrapText="1"/>
    </x:xf>
    <x:xf numFmtId="0" fontId="7" fillId="15" borderId="2" xfId="0" applyNumberFormat="1" applyFont="1" applyFill="1" applyBorder="1" applyAlignment="1">
      <x:alignment vertical="top" wrapText="1"/>
    </x:xf>
    <x:xf numFmtId="0" fontId="7" fillId="15" borderId="3" xfId="0" applyNumberFormat="1" applyFont="1" applyFill="1" applyBorder="1" applyAlignment="1">
      <x:alignment vertical="top" wrapText="1"/>
    </x:xf>
    <x:xf numFmtId="0" fontId="7" fillId="15" borderId="4" xfId="0" applyNumberFormat="1" applyFont="1" applyFill="1" applyBorder="1" applyAlignment="1">
      <x:alignment vertical="top" wrapText="1"/>
    </x:xf>
    <x:xf numFmtId="0" fontId="7" fillId="15" borderId="5" xfId="0" applyNumberFormat="1" applyFont="1" applyFill="1" applyBorder="1" applyAlignment="1">
      <x:alignment vertical="top" wrapText="1"/>
    </x:xf>
    <x:xf numFmtId="0" fontId="7" fillId="15" xfId="0" applyNumberFormat="1" applyFont="1" applyFill="1" applyBorder="0" applyAlignment="1">
      <x:alignment vertical="top" wrapText="1"/>
    </x:xf>
    <x:xf numFmtId="0" fontId="7" fillId="15" borderId="6" xfId="0" applyNumberFormat="1" applyFont="1" applyFill="1" applyBorder="1" applyAlignment="1">
      <x:alignment vertical="top" wrapText="1"/>
    </x:xf>
    <x:xf numFmtId="0" fontId="7" fillId="15" borderId="7" xfId="0" applyNumberFormat="1" applyFont="1" applyFill="1" applyBorder="1" applyAlignment="1">
      <x:alignment vertical="top" wrapText="1"/>
    </x:xf>
    <x:xf numFmtId="0" fontId="7" fillId="15" borderId="8" xfId="0" applyNumberFormat="1" applyFont="1" applyFill="1" applyBorder="1" applyAlignment="1">
      <x:alignment vertical="top" wrapText="1"/>
    </x:xf>
    <x:xf numFmtId="0" fontId="7" fillId="15" borderId="9" xfId="0" applyNumberFormat="1" applyFont="1" applyFill="1" applyBorder="1" applyAlignment="1">
      <x:alignment vertical="top" wrapText="1"/>
    </x:xf>
    <x:xf numFmtId="207" fontId="9" fillId="0" borderId="11" xfId="0" applyNumberFormat="1" applyFont="1" applyFill="1" applyBorder="1" applyAlignment="1">
      <x:alignment vertical="center" wrapText="1"/>
    </x:xf>
    <x:xf numFmtId="207" fontId="9" fillId="0" borderId="14" xfId="0" applyNumberFormat="1" applyFont="1" applyFill="1" applyBorder="1" applyAlignment="1">
      <x:alignment vertical="center" wrapText="1"/>
    </x:xf>
    <x:xf numFmtId="207" fontId="9" fillId="0" borderId="17" xfId="0" applyNumberFormat="1" applyFont="1" applyFill="1" applyBorder="1" applyAlignment="1">
      <x:alignment vertical="center" wrapText="1"/>
    </x:xf>
    <x:xf numFmtId="208" fontId="9" fillId="0" borderId="11" xfId="0" applyNumberFormat="1" applyFont="1" applyFill="1" applyBorder="1" applyAlignment="1">
      <x:alignment vertical="center" wrapText="1"/>
    </x:xf>
    <x:xf numFmtId="208" fontId="9" fillId="0" borderId="14" xfId="0" applyNumberFormat="1" applyFont="1" applyFill="1" applyBorder="1" applyAlignment="1">
      <x:alignment vertical="center" wrapText="1"/>
    </x:xf>
    <x:xf numFmtId="208" fontId="9" fillId="0" borderId="17" xfId="0" applyNumberFormat="1" applyFont="1" applyFill="1" applyBorder="1" applyAlignment="1">
      <x:alignment vertical="center" wrapText="1"/>
    </x:xf>
    <x:xf numFmtId="208" fontId="9" fillId="15" borderId="11" xfId="0" applyNumberFormat="1" applyFont="1" applyFill="1" applyBorder="1" applyAlignment="1">
      <x:alignment vertical="center" wrapText="1"/>
    </x:xf>
    <x:xf numFmtId="0" fontId="9" fillId="15" borderId="11" xfId="0" applyNumberFormat="1" applyFont="1" applyFill="1" applyBorder="1" applyAlignment="1">
      <x:alignment vertical="center" wrapText="1"/>
    </x:xf>
    <x:xf numFmtId="0" fontId="9" fillId="15" borderId="12" xfId="0" applyNumberFormat="1" applyFont="1" applyFill="1" applyBorder="1" applyAlignment="1">
      <x:alignment vertical="center" wrapText="1"/>
    </x:xf>
    <x:xf numFmtId="208" fontId="9" fillId="15" borderId="14" xfId="0" applyNumberFormat="1" applyFont="1" applyFill="1" applyBorder="1" applyAlignment="1">
      <x:alignment vertical="center" wrapText="1"/>
    </x:xf>
    <x:xf numFmtId="0" fontId="9" fillId="15" borderId="14" xfId="0" applyNumberFormat="1" applyFont="1" applyFill="1" applyBorder="1" applyAlignment="1">
      <x:alignment vertical="center" wrapText="1"/>
    </x:xf>
    <x:xf numFmtId="0" fontId="9" fillId="15" borderId="15" xfId="0" applyNumberFormat="1" applyFont="1" applyFill="1" applyBorder="1" applyAlignment="1">
      <x:alignment vertical="center" wrapText="1"/>
    </x:xf>
    <x:xf numFmtId="208" fontId="9" fillId="15" borderId="17" xfId="0" applyNumberFormat="1" applyFont="1" applyFill="1" applyBorder="1" applyAlignment="1">
      <x:alignment vertical="center" wrapText="1"/>
    </x:xf>
    <x:xf numFmtId="0" fontId="9" fillId="15" borderId="17" xfId="0" applyNumberFormat="1" applyFont="1" applyFill="1" applyBorder="1" applyAlignment="1">
      <x:alignment vertical="center" wrapText="1"/>
    </x:xf>
    <x:xf numFmtId="0" fontId="9" fillId="15" borderId="18" xfId="0" applyNumberFormat="1" applyFont="1" applyFill="1" applyBorder="1" applyAlignment="1">
      <x:alignment vertical="center" wrapText="1"/>
    </x:xf>
    <x:xf numFmtId="208" fontId="13" fillId="15" borderId="11" xfId="0" applyNumberFormat="1" applyFont="1" applyFill="1" applyBorder="1" applyAlignment="1">
      <x:alignment vertical="center" wrapText="1"/>
    </x:xf>
    <x:xf numFmtId="0" fontId="13" fillId="15" borderId="11" xfId="0" applyNumberFormat="1" applyFont="1" applyFill="1" applyBorder="1" applyAlignment="1">
      <x:alignment vertical="center" wrapText="1"/>
    </x:xf>
    <x:xf numFmtId="0" fontId="13" fillId="15" borderId="12" xfId="0" applyNumberFormat="1" applyFont="1" applyFill="1" applyBorder="1" applyAlignment="1">
      <x:alignment vertical="center" wrapText="1"/>
    </x:xf>
    <x:xf numFmtId="208" fontId="13" fillId="15" borderId="14" xfId="0" applyNumberFormat="1" applyFont="1" applyFill="1" applyBorder="1" applyAlignment="1">
      <x:alignment vertical="center" wrapText="1"/>
    </x:xf>
    <x:xf numFmtId="0" fontId="13" fillId="15" borderId="14" xfId="0" applyNumberFormat="1" applyFont="1" applyFill="1" applyBorder="1" applyAlignment="1">
      <x:alignment vertical="center" wrapText="1"/>
    </x:xf>
    <x:xf numFmtId="0" fontId="13" fillId="15" borderId="15" xfId="0" applyNumberFormat="1" applyFont="1" applyFill="1" applyBorder="1" applyAlignment="1">
      <x:alignment vertical="center" wrapText="1"/>
    </x:xf>
    <x:xf numFmtId="208" fontId="13" fillId="15" borderId="17" xfId="0" applyNumberFormat="1" applyFont="1" applyFill="1" applyBorder="1" applyAlignment="1">
      <x:alignment vertical="center" wrapText="1"/>
    </x:xf>
    <x:xf numFmtId="0" fontId="13" fillId="15" borderId="17" xfId="0" applyNumberFormat="1" applyFont="1" applyFill="1" applyBorder="1" applyAlignment="1">
      <x:alignment vertical="center" wrapText="1"/>
    </x:xf>
    <x:xf numFmtId="0" fontId="13" fillId="15" borderId="18" xfId="0" applyNumberFormat="1" applyFont="1" applyFill="1" applyBorder="1" applyAlignment="1">
      <x:alignment vertical="center" wrapText="1"/>
    </x:xf>
    <x:xf numFmtId="0" fontId="0" fillId="9" borderId="0" xfId="0" applyNumberFormat="1" applyFont="1" applyFill="1" applyBorder="1"/>
    <x:xf numFmtId="0" fontId="14" fillId="9" borderId="0" xfId="0" applyNumberFormat="1" applyFont="1" applyFill="1" applyBorder="1"/>
    <x:xf numFmtId="0" fontId="14" fillId="9" borderId="1" xfId="0" applyNumberFormat="1" applyFont="1" applyFill="1" applyBorder="1"/>
    <x:xf numFmtId="208" fontId="14" fillId="9" borderId="1" xfId="0" applyNumberFormat="1" applyFont="1" applyFill="1" applyBorder="1"/>
    <x:xf numFmtId="209" fontId="14" fillId="9" borderId="1" xfId="0" applyNumberFormat="1" applyFont="1" applyFill="1" applyBorder="1"/>
    <x:xf numFmtId="210" fontId="14" fillId="9" borderId="1" xfId="0" applyNumberFormat="1" applyFont="1" applyFill="1" applyBorder="1"/>
    <x:xf numFmtId="209" fontId="9" fillId="0" borderId="12" xfId="0" applyNumberFormat="1" applyFont="1" applyFill="1" applyBorder="1" applyAlignment="1">
      <x:alignment vertical="center" wrapText="1"/>
    </x:xf>
    <x:xf numFmtId="209" fontId="9" fillId="0" borderId="15" xfId="0" applyNumberFormat="1" applyFont="1" applyFill="1" applyBorder="1" applyAlignment="1">
      <x:alignment vertical="center" wrapText="1"/>
    </x:xf>
    <x:xf numFmtId="209" fontId="9" fillId="0" borderId="18" xfId="0" applyNumberFormat="1" applyFont="1" applyFill="1" applyBorder="1" applyAlignment="1">
      <x:alignment vertical="center" wrapText="1"/>
    </x:xf>
    <x:xf numFmtId="0" fontId="0" fillId="10" borderId="0" xfId="0" applyNumberFormat="1" applyFont="1" applyFill="1" applyBorder="1"/>
    <x:xf numFmtId="0" fontId="4" fillId="10" borderId="0" xfId="0" applyNumberFormat="1" applyFont="1" applyFill="1" applyBorder="1"/>
    <x:xf numFmtId="0" fontId="4" fillId="10" borderId="1" xfId="0" applyNumberFormat="1" applyFont="1" applyFill="1" applyBorder="1"/>
    <x:xf numFmtId="0" fontId="15" fillId="9" borderId="0" xfId="0" applyNumberFormat="1" applyFont="1" applyFill="1" applyBorder="1"/>
    <x:xf numFmtId="0" fontId="15" fillId="9" borderId="1" xfId="0" applyNumberFormat="1" applyFont="1" applyFill="1" applyBorder="1"/>
    <x:xf numFmtId="0" fontId="15" fillId="9" borderId="1" xfId="0" applyNumberFormat="1" applyFont="1" applyFill="1" applyBorder="1" applyAlignment="1">
      <x:alignment horizontal="center"/>
    </x:xf>
    <x:xf numFmtId="0" fontId="16" fillId="9" borderId="0" xfId="0" applyNumberFormat="1" applyFont="1" applyFill="1" applyBorder="1"/>
    <x:xf numFmtId="0" fontId="16" fillId="9" borderId="1" xfId="0" applyNumberFormat="1" applyFont="1" applyFill="1" applyBorder="1"/>
    <x:xf numFmtId="209" fontId="16" fillId="9" borderId="1" xfId="0" applyNumberFormat="1" applyFont="1" applyFill="1" applyBorder="1"/>
    <x:xf numFmtId="209" fontId="16" fillId="9" borderId="1" xfId="0" applyNumberFormat="1" applyFont="1" applyFill="1" applyBorder="1" applyAlignment="1">
      <x:alignment horizontal="center"/>
    </x:xf>
    <x:xf numFmtId="0" fontId="9" fillId="9" borderId="11" xfId="0" applyNumberFormat="1" applyFont="1" applyFill="1" applyBorder="1" applyAlignment="1">
      <x:alignment vertical="center" wrapText="1"/>
    </x:xf>
    <x:xf numFmtId="211" fontId="9" fillId="0" borderId="11" xfId="0" applyNumberFormat="1" applyFont="1" applyFill="1" applyBorder="1" applyAlignment="1">
      <x:alignment vertical="center" wrapText="1"/>
    </x:xf>
    <x:xf numFmtId="211" fontId="9" fillId="0" borderId="14" xfId="0" applyNumberFormat="1" applyFont="1" applyFill="1" applyBorder="1" applyAlignment="1">
      <x:alignment vertical="center" wrapText="1"/>
    </x:xf>
    <x:xf numFmtId="211" fontId="9" fillId="0" borderId="17" xfId="0" applyNumberFormat="1" applyFont="1" applyFill="1" applyBorder="1" applyAlignment="1">
      <x:alignment vertical="center" wrapText="1"/>
    </x:xf>
    <x:xf numFmtId="0" fontId="4" fillId="9" borderId="0" xfId="0" applyNumberFormat="1" applyFont="1" applyFill="1" applyBorder="1"/>
    <x:xf numFmtId="0" fontId="4" fillId="9" borderId="1" xfId="0" applyNumberFormat="1" applyFont="1" applyFill="1" applyBorder="1"/>
    <x:xf numFmtId="0" fontId="4" fillId="16" borderId="1" xfId="0" applyNumberFormat="1" applyFont="1" applyFill="1" applyBorder="1" applyAlignment="1">
      <x:alignment wrapText="1"/>
    </x:xf>
    <x:xf numFmtId="0" fontId="0" fillId="17" borderId="0" xfId="0" applyNumberFormat="1" applyFont="1" applyFill="1" applyBorder="1"/>
    <x:xf numFmtId="0" fontId="0" fillId="18" borderId="0" xfId="0" applyNumberFormat="1" applyFont="1" applyFill="1" applyBorder="1"/>
    <x:xf numFmtId="0" fontId="1" fillId="18" borderId="0" xfId="0" applyNumberFormat="1" applyFont="1" applyFill="1" applyBorder="1"/>
    <x:xf numFmtId="0" fontId="1" fillId="18" borderId="0" xfId="0" applyNumberFormat="1" applyFont="1" applyFill="1" applyBorder="1" applyAlignment="1">
      <x:alignment horizontal="left"/>
    </x:xf>
    <x:xf numFmtId="0" fontId="1" fillId="18" borderId="0" xfId="0" applyNumberFormat="1" applyFont="1" applyFill="1" applyBorder="1" applyAlignment="1">
      <x:alignment horizontal="left" vertical="center"/>
    </x:xf>
    <x:xf numFmtId="0" fontId="0" fillId="19" borderId="0" xfId="0" applyNumberFormat="1" applyFont="1" applyFill="1" applyBorder="1"/>
    <x:xf numFmtId="0" fontId="2" fillId="19" borderId="0" xfId="0" applyNumberFormat="1" applyFont="1" applyFill="1" applyBorder="1"/>
    <x:xf numFmtId="0" fontId="2" fillId="19" borderId="0" xfId="0" applyNumberFormat="1" applyFont="1" applyFill="1" applyBorder="1" applyAlignment="1">
      <x:alignment wrapText="1"/>
    </x:xf>
    <x:xf numFmtId="0" fontId="2" fillId="19" borderId="0" xfId="0" applyNumberFormat="1" applyFont="1" applyFill="1" applyBorder="1" applyAlignment="1">
      <x:alignment vertical="center" wrapText="1"/>
    </x:xf>
    <x:xf numFmtId="0" fontId="4" fillId="17" borderId="0" xfId="0" applyNumberFormat="1" applyFont="1" applyFill="1" applyBorder="1"/>
    <x:xf numFmtId="0" fontId="4" fillId="17" borderId="1" xfId="0" applyNumberFormat="1" applyFont="1" applyFill="1" applyBorder="1"/>
    <x:xf numFmtId="203" fontId="4" fillId="17" borderId="1" xfId="0" applyNumberFormat="1" applyFont="1" applyFill="1" applyBorder="1"/>
    <x:xf numFmtId="212" fontId="4" fillId="17" borderId="1" xfId="0" applyNumberFormat="1" applyFont="1" applyFill="1" applyBorder="1"/>
    <x:xf numFmtId="0" fontId="0" fillId="20" borderId="0" xfId="0" applyNumberFormat="1" applyFont="1" applyFill="1" applyBorder="1"/>
    <x:xf numFmtId="0" fontId="8" fillId="20" borderId="0" xfId="0" applyNumberFormat="1" applyFont="1" applyFill="1" applyBorder="1"/>
    <x:xf numFmtId="0" fontId="8" fillId="20" borderId="1" xfId="0" applyNumberFormat="1" applyFont="1" applyFill="1" applyBorder="1"/>
    <x:xf numFmtId="0" fontId="8" fillId="20" borderId="1" xfId="0" applyNumberFormat="1" applyFont="1" applyFill="1" applyBorder="1" applyAlignment="1">
      <x:alignment wrapText="1"/>
    </x:xf>
    <x:xf numFmtId="0" fontId="8" fillId="20" borderId="1" xfId="0" applyNumberFormat="1" applyFont="1" applyFill="1" applyBorder="1" applyAlignment="1">
      <x:alignment horizontal="center" wrapText="1"/>
    </x:xf>
    <x:xf numFmtId="0" fontId="8" fillId="20" borderId="1" xfId="0" applyNumberFormat="1" applyFont="1" applyFill="1" applyBorder="1" applyAlignment="1">
      <x:alignment horizontal="center" vertical="center" wrapText="1"/>
    </x:xf>
    <x:xf numFmtId="213" fontId="8" fillId="20" borderId="1" xfId="0" applyNumberFormat="1" applyFont="1" applyFill="1" applyBorder="1" applyAlignment="1">
      <x:alignment horizontal="center" vertical="center" wrapText="1"/>
    </x:xf>
    <x:xf numFmtId="213" fontId="8" fillId="20" borderId="1" xfId="0" applyNumberFormat="1" applyFont="1" applyFill="1" applyBorder="1" applyAlignment="1">
      <x:alignment horizontal="right" vertical="center" wrapText="1"/>
    </x:xf>
    <x:xf numFmtId="212" fontId="9" fillId="0" borderId="12" xfId="0" applyNumberFormat="1" applyFont="1" applyFill="1" applyBorder="1" applyAlignment="1">
      <x:alignment vertical="center" wrapText="1"/>
    </x:xf>
    <x:xf numFmtId="212" fontId="9" fillId="0" borderId="15" xfId="0" applyNumberFormat="1" applyFont="1" applyFill="1" applyBorder="1" applyAlignment="1">
      <x:alignment vertical="center" wrapText="1"/>
    </x:xf>
    <x:xf numFmtId="212" fontId="9" fillId="0" borderId="18" xfId="0" applyNumberFormat="1" applyFont="1" applyFill="1" applyBorder="1" applyAlignment="1">
      <x:alignment vertical="center" wrapText="1"/>
    </x:xf>
    <x:xf numFmtId="0" fontId="0" fillId="21" borderId="0" xfId="0" applyNumberFormat="1" applyFont="1" applyFill="1" applyBorder="1"/>
    <x:xf numFmtId="0" fontId="3" fillId="21" borderId="0" xfId="0" applyNumberFormat="1" applyFont="1" applyFill="1" applyBorder="1"/>
    <x:xf numFmtId="0" fontId="3" fillId="21" borderId="0" xfId="0" applyNumberFormat="1" applyFont="1" applyFill="1" applyBorder="1" applyAlignment="1">
      <x:alignment vertical="center"/>
    </x:xf>
    <x:xf numFmtId="207" fontId="12" fillId="0" borderId="11" xfId="0" applyNumberFormat="1" applyFont="1" applyFill="1" applyBorder="1" applyAlignment="1">
      <x:alignment vertical="center" wrapText="1"/>
    </x:xf>
    <x:xf numFmtId="207" fontId="12" fillId="0" borderId="14" xfId="0" applyNumberFormat="1" applyFont="1" applyFill="1" applyBorder="1" applyAlignment="1">
      <x:alignment vertical="center" wrapText="1"/>
    </x:xf>
    <x:xf numFmtId="0" fontId="9" fillId="16" borderId="13" xfId="0" applyNumberFormat="1" applyFont="1" applyFill="1" applyBorder="1" applyAlignment="1">
      <x:alignment vertical="center" wrapText="1"/>
    </x:xf>
    <x:xf numFmtId="0" fontId="9" fillId="16" borderId="14" xfId="0" applyNumberFormat="1" applyFont="1" applyFill="1" applyBorder="1" applyAlignment="1">
      <x:alignment vertical="center" wrapText="1"/>
    </x:xf>
    <x:xf numFmtId="207" fontId="9" fillId="16" borderId="14" xfId="0" applyNumberFormat="1" applyFont="1" applyFill="1" applyBorder="1" applyAlignment="1">
      <x:alignment vertical="center" wrapText="1"/>
    </x:xf>
    <x:xf numFmtId="0" fontId="9" fillId="16" borderId="15" xfId="0" applyNumberFormat="1" applyFont="1" applyFill="1" applyBorder="1" applyAlignment="1">
      <x:alignment vertical="center" wrapText="1"/>
    </x:xf>
    <x:xf numFmtId="201" fontId="9" fillId="16" borderId="14" xfId="0" applyNumberFormat="1" applyFont="1" applyFill="1" applyBorder="1" applyAlignment="1">
      <x:alignment vertical="center" wrapText="1"/>
    </x:xf>
    <x:xf numFmtId="0" fontId="8" fillId="16" borderId="13" xfId="0" applyNumberFormat="1" applyFont="1" applyFill="1" applyBorder="1" applyAlignment="1">
      <x:alignment vertical="center" wrapText="1"/>
    </x:xf>
    <x:xf numFmtId="0" fontId="8" fillId="16" borderId="14" xfId="0" applyNumberFormat="1" applyFont="1" applyFill="1" applyBorder="1" applyAlignment="1">
      <x:alignment vertical="center" wrapText="1"/>
    </x:xf>
    <x:xf numFmtId="207" fontId="8" fillId="16" borderId="14" xfId="0" applyNumberFormat="1" applyFont="1" applyFill="1" applyBorder="1" applyAlignment="1">
      <x:alignment vertical="center" wrapText="1"/>
    </x:xf>
    <x:xf numFmtId="0" fontId="8" fillId="16" borderId="15" xfId="0" applyNumberFormat="1" applyFont="1" applyFill="1" applyBorder="1" applyAlignment="1">
      <x:alignment vertical="center" wrapText="1"/>
    </x:xf>
    <x:xf numFmtId="201" fontId="8" fillId="16" borderId="14" xfId="0" applyNumberFormat="1" applyFont="1" applyFill="1" applyBorder="1" applyAlignment="1">
      <x:alignment vertical="center" wrapText="1"/>
    </x:xf>
    <x:xf numFmtId="0" fontId="8" fillId="16" borderId="19" xfId="0" applyNumberFormat="1" applyFont="1" applyFill="1" applyBorder="1" applyAlignment="1">
      <x:alignment vertical="center" wrapText="1"/>
    </x:xf>
    <x:xf numFmtId="0" fontId="8" fillId="16" borderId="20" xfId="0" applyNumberFormat="1" applyFont="1" applyFill="1" applyBorder="1" applyAlignment="1">
      <x:alignment vertical="center" wrapText="1"/>
    </x:xf>
    <x:xf numFmtId="207" fontId="8" fillId="16" borderId="20" xfId="0" applyNumberFormat="1" applyFont="1" applyFill="1" applyBorder="1" applyAlignment="1">
      <x:alignment vertical="center" wrapText="1"/>
    </x:xf>
    <x:xf numFmtId="0" fontId="8" fillId="16" borderId="21" xfId="0" applyNumberFormat="1" applyFont="1" applyFill="1" applyBorder="1" applyAlignment="1">
      <x:alignment vertical="center" wrapText="1"/>
    </x:xf>
    <x:xf numFmtId="0" fontId="8" fillId="16" borderId="22" xfId="0" applyNumberFormat="1" applyFont="1" applyFill="1" applyBorder="1" applyAlignment="1">
      <x:alignment vertical="center" wrapText="1"/>
    </x:xf>
    <x:xf numFmtId="201" fontId="8" fillId="16" borderId="22" xfId="0" applyNumberFormat="1" applyFont="1" applyFill="1" applyBorder="1" applyAlignment="1">
      <x:alignment vertical="center" wrapText="1"/>
    </x:xf>
    <x:xf numFmtId="0" fontId="9" fillId="16" borderId="16" xfId="0" applyNumberFormat="1" applyFont="1" applyFill="1" applyBorder="1" applyAlignment="1">
      <x:alignment vertical="center" wrapText="1"/>
    </x:xf>
    <x:xf numFmtId="0" fontId="9" fillId="16" borderId="17" xfId="0" applyNumberFormat="1" applyFont="1" applyFill="1" applyBorder="1" applyAlignment="1">
      <x:alignment vertical="center" wrapText="1"/>
    </x:xf>
    <x:xf numFmtId="201" fontId="9" fillId="16" borderId="17" xfId="0" applyNumberFormat="1" applyFont="1" applyFill="1" applyBorder="1" applyAlignment="1">
      <x:alignment vertical="center" wrapText="1"/>
    </x:xf>
    <x:xf numFmtId="0" fontId="9" fillId="16" borderId="18" xfId="0" applyNumberFormat="1" applyFont="1" applyFill="1" applyBorder="1" applyAlignment="1">
      <x:alignment vertical="center" wrapText="1"/>
    </x:xf>
    <x:xf numFmtId="0" fontId="8" fillId="16" borderId="16" xfId="0" applyNumberFormat="1" applyFont="1" applyFill="1" applyBorder="1" applyAlignment="1">
      <x:alignment vertical="center" wrapText="1"/>
    </x:xf>
    <x:xf numFmtId="0" fontId="8" fillId="16" borderId="17" xfId="0" applyNumberFormat="1" applyFont="1" applyFill="1" applyBorder="1" applyAlignment="1">
      <x:alignment vertical="center" wrapText="1"/>
    </x:xf>
    <x:xf numFmtId="201" fontId="8" fillId="16" borderId="17" xfId="0" applyNumberFormat="1" applyFont="1" applyFill="1" applyBorder="1" applyAlignment="1">
      <x:alignment vertical="center" wrapText="1"/>
    </x:xf>
    <x:xf numFmtId="0" fontId="8" fillId="16" borderId="18" xfId="0" applyNumberFormat="1" applyFont="1" applyFill="1" applyBorder="1" applyAlignment="1">
      <x:alignment vertical="center" wrapText="1"/>
    </x:xf>
    <x:xf numFmtId="207" fontId="12" fillId="16" borderId="14" xfId="0" applyNumberFormat="1" applyFont="1" applyFill="1" applyBorder="1" applyAlignment="1">
      <x:alignment vertical="center" wrapText="1"/>
    </x:xf>
    <x:xf numFmtId="207" fontId="9" fillId="16" borderId="17" xfId="0" applyNumberFormat="1" applyFont="1" applyFill="1" applyBorder="1" applyAlignment="1">
      <x:alignment vertical="center" wrapText="1"/>
    </x:xf>
    <x:xf numFmtId="207" fontId="8" fillId="16" borderId="17" xfId="0" applyNumberFormat="1" applyFont="1" applyFill="1" applyBorder="1" applyAlignment="1">
      <x:alignment vertical="center" wrapText="1"/>
    </x:xf>
    <x:xf numFmtId="207" fontId="8" fillId="16" borderId="22" xfId="0" applyNumberFormat="1" applyFont="1" applyFill="1" applyBorder="1" applyAlignment="1">
      <x:alignment vertical="center" wrapText="1"/>
    </x:xf>
    <x:xf numFmtId="205" fontId="12" fillId="0" borderId="11" xfId="0" applyNumberFormat="1" applyFont="1" applyFill="1" applyBorder="1" applyAlignment="1">
      <x:alignment vertical="center" wrapText="1"/>
    </x:xf>
    <x:xf numFmtId="0" fontId="9" fillId="16" borderId="10" xfId="0" applyNumberFormat="1" applyFont="1" applyFill="1" applyBorder="1" applyAlignment="1">
      <x:alignment vertical="center" wrapText="1"/>
    </x:xf>
    <x:xf numFmtId="0" fontId="9" fillId="16" borderId="11" xfId="0" applyNumberFormat="1" applyFont="1" applyFill="1" applyBorder="1" applyAlignment="1">
      <x:alignment vertical="center" wrapText="1"/>
    </x:xf>
    <x:xf numFmtId="207" fontId="9" fillId="16" borderId="11" xfId="0" applyNumberFormat="1" applyFont="1" applyFill="1" applyBorder="1" applyAlignment="1">
      <x:alignment vertical="center" wrapText="1"/>
    </x:xf>
    <x:xf numFmtId="0" fontId="9" fillId="16" borderId="12" xfId="0" applyNumberFormat="1" applyFont="1" applyFill="1" applyBorder="1" applyAlignment="1">
      <x:alignment vertical="center" wrapText="1"/>
    </x:xf>
    <x:xf numFmtId="0" fontId="8" fillId="16" borderId="10" xfId="0" applyNumberFormat="1" applyFont="1" applyFill="1" applyBorder="1" applyAlignment="1">
      <x:alignment vertical="center" wrapText="1"/>
    </x:xf>
    <x:xf numFmtId="0" fontId="8" fillId="16" borderId="11" xfId="0" applyNumberFormat="1" applyFont="1" applyFill="1" applyBorder="1" applyAlignment="1">
      <x:alignment vertical="center" wrapText="1"/>
    </x:xf>
    <x:xf numFmtId="207" fontId="8" fillId="16" borderId="11" xfId="0" applyNumberFormat="1" applyFont="1" applyFill="1" applyBorder="1" applyAlignment="1">
      <x:alignment vertical="center" wrapText="1"/>
    </x:xf>
    <x:xf numFmtId="0" fontId="8" fillId="16" borderId="12" xfId="0" applyNumberFormat="1" applyFont="1" applyFill="1" applyBorder="1" applyAlignment="1">
      <x:alignment vertical="center" wrapText="1"/>
    </x:xf>
    <x:xf numFmtId="0" fontId="8" fillId="16" borderId="23" xfId="0" applyNumberFormat="1" applyFont="1" applyFill="1" applyBorder="1" applyAlignment="1">
      <x:alignment vertical="center" wrapText="1"/>
    </x:xf>
    <x:xf numFmtId="0" fontId="8" fillId="16" borderId="24" xfId="0" applyNumberFormat="1" applyFont="1" applyFill="1" applyBorder="1" applyAlignment="1">
      <x:alignment vertical="center" wrapText="1"/>
    </x:xf>
    <x:xf numFmtId="0" fontId="0" fillId="22" borderId="0" xfId="0" applyNumberFormat="1" applyFont="1" applyFill="1" applyBorder="1"/>
    <x:xf numFmtId="0" fontId="7" fillId="22" borderId="0" xfId="0" applyNumberFormat="1" applyFont="1" applyFill="1" applyBorder="1"/>
    <x:xf numFmtId="0" fontId="7" fillId="22" borderId="2" xfId="0" applyNumberFormat="1" applyFont="1" applyFill="1" applyBorder="1"/>
    <x:xf numFmtId="0" fontId="7" fillId="22" borderId="3" xfId="0" applyNumberFormat="1" applyFont="1" applyFill="1" applyBorder="1"/>
    <x:xf numFmtId="0" fontId="7" fillId="22" borderId="4" xfId="0" applyNumberFormat="1" applyFont="1" applyFill="1" applyBorder="1"/>
    <x:xf numFmtId="0" fontId="7" fillId="22" borderId="7" xfId="0" applyNumberFormat="1" applyFont="1" applyFill="1" applyBorder="1"/>
    <x:xf numFmtId="0" fontId="7" fillId="22" borderId="8" xfId="0" applyNumberFormat="1" applyFont="1" applyFill="1" applyBorder="1"/>
    <x:xf numFmtId="0" fontId="7" fillId="22" borderId="9" xfId="0" applyNumberFormat="1" applyFont="1" applyFill="1" applyBorder="1"/>
    <x:xf numFmtId="0" fontId="7" fillId="22" borderId="2" xfId="0" applyNumberFormat="1" applyFont="1" applyFill="1" applyBorder="1" applyAlignment="1">
      <x:alignment wrapText="1"/>
    </x:xf>
    <x:xf numFmtId="0" fontId="7" fillId="22" borderId="3" xfId="0" applyNumberFormat="1" applyFont="1" applyFill="1" applyBorder="1" applyAlignment="1">
      <x:alignment wrapText="1"/>
    </x:xf>
    <x:xf numFmtId="0" fontId="7" fillId="22" borderId="4" xfId="0" applyNumberFormat="1" applyFont="1" applyFill="1" applyBorder="1" applyAlignment="1">
      <x:alignment wrapText="1"/>
    </x:xf>
    <x:xf numFmtId="0" fontId="7" fillId="22" borderId="7" xfId="0" applyNumberFormat="1" applyFont="1" applyFill="1" applyBorder="1" applyAlignment="1">
      <x:alignment wrapText="1"/>
    </x:xf>
    <x:xf numFmtId="0" fontId="7" fillId="22" borderId="8" xfId="0" applyNumberFormat="1" applyFont="1" applyFill="1" applyBorder="1" applyAlignment="1">
      <x:alignment wrapText="1"/>
    </x:xf>
    <x:xf numFmtId="0" fontId="7" fillId="22" borderId="9" xfId="0" applyNumberFormat="1" applyFont="1" applyFill="1" applyBorder="1" applyAlignment="1">
      <x:alignment wrapText="1"/>
    </x:xf>
    <x:xf numFmtId="0" fontId="7" fillId="22" borderId="2" xfId="0" applyNumberFormat="1" applyFont="1" applyFill="1" applyBorder="1" applyAlignment="1">
      <x:alignment vertical="top" wrapText="1"/>
    </x:xf>
    <x:xf numFmtId="0" fontId="7" fillId="22" borderId="3" xfId="0" applyNumberFormat="1" applyFont="1" applyFill="1" applyBorder="1" applyAlignment="1">
      <x:alignment vertical="top" wrapText="1"/>
    </x:xf>
    <x:xf numFmtId="0" fontId="7" fillId="22" borderId="4" xfId="0" applyNumberFormat="1" applyFont="1" applyFill="1" applyBorder="1" applyAlignment="1">
      <x:alignment vertical="top" wrapText="1"/>
    </x:xf>
    <x:xf numFmtId="0" fontId="7" fillId="22" borderId="7" xfId="0" applyNumberFormat="1" applyFont="1" applyFill="1" applyBorder="1" applyAlignment="1">
      <x:alignment vertical="top" wrapText="1"/>
    </x:xf>
    <x:xf numFmtId="0" fontId="7" fillId="22" borderId="8" xfId="0" applyNumberFormat="1" applyFont="1" applyFill="1" applyBorder="1" applyAlignment="1">
      <x:alignment vertical="top" wrapText="1"/>
    </x:xf>
    <x:xf numFmtId="0" fontId="7" fillId="22" borderId="9" xfId="0" applyNumberFormat="1" applyFont="1" applyFill="1" applyBorder="1" applyAlignment="1">
      <x:alignment vertical="top" wrapText="1"/>
    </x:xf>
    <x:xf numFmtId="205" fontId="12" fillId="0" borderId="14" xfId="0" applyNumberFormat="1" applyFont="1" applyFill="1" applyBorder="1" applyAlignment="1">
      <x:alignment vertical="center" wrapText="1"/>
    </x:xf>
    <x:xf numFmtId="205" fontId="12" fillId="0" borderId="17" xfId="0" applyNumberFormat="1" applyFont="1" applyFill="1" applyBorder="1" applyAlignment="1">
      <x:alignment vertical="center" wrapText="1"/>
    </x:xf>
    <x:xf numFmtId="207" fontId="12" fillId="16" borderId="11" xfId="0" applyNumberFormat="1" applyFont="1" applyFill="1" applyBorder="1" applyAlignment="1">
      <x:alignment vertical="center" wrapText="1"/>
    </x:xf>
    <x:xf numFmtId="0" fontId="7" fillId="22" borderId="5" xfId="0" applyNumberFormat="1" applyFont="1" applyFill="1" applyBorder="1"/>
    <x:xf numFmtId="0" fontId="7" fillId="22" xfId="0" applyNumberFormat="1" applyFont="1" applyFill="1" applyBorder="0"/>
    <x:xf numFmtId="0" fontId="7" fillId="22" borderId="6" xfId="0" applyNumberFormat="1" applyFont="1" applyFill="1" applyBorder="1"/>
    <x:xf numFmtId="0" fontId="7" fillId="22" borderId="5" xfId="0" applyNumberFormat="1" applyFont="1" applyFill="1" applyBorder="1" applyAlignment="1">
      <x:alignment wrapText="1"/>
    </x:xf>
    <x:xf numFmtId="0" fontId="7" fillId="22" xfId="0" applyNumberFormat="1" applyFont="1" applyFill="1" applyBorder="0" applyAlignment="1">
      <x:alignment wrapText="1"/>
    </x:xf>
    <x:xf numFmtId="0" fontId="7" fillId="22" borderId="6" xfId="0" applyNumberFormat="1" applyFont="1" applyFill="1" applyBorder="1" applyAlignment="1">
      <x:alignment wrapText="1"/>
    </x:xf>
    <x:xf numFmtId="0" fontId="7" fillId="22" borderId="5" xfId="0" applyNumberFormat="1" applyFont="1" applyFill="1" applyBorder="1" applyAlignment="1">
      <x:alignment vertical="top" wrapText="1"/>
    </x:xf>
    <x:xf numFmtId="0" fontId="7" fillId="22" xfId="0" applyNumberFormat="1" applyFont="1" applyFill="1" applyBorder="0" applyAlignment="1">
      <x:alignment vertical="top" wrapText="1"/>
    </x:xf>
    <x:xf numFmtId="0" fontId="7" fillId="22" borderId="6" xfId="0" applyNumberFormat="1" applyFont="1" applyFill="1" applyBorder="1" applyAlignment="1">
      <x:alignment vertical="top" wrapText="1"/>
    </x:xf>
    <x:xf numFmtId="207" fontId="12" fillId="0" borderId="17" xfId="0" applyNumberFormat="1" applyFont="1" applyFill="1" applyBorder="1" applyAlignment="1">
      <x:alignment vertical="center" wrapText="1"/>
    </x:xf>
    <x:xf numFmtId="201" fontId="9" fillId="0" borderId="12" xfId="0" applyNumberFormat="1" applyFont="1" applyFill="1" applyBorder="1" applyAlignment="1">
      <x:alignment vertical="center" wrapText="1"/>
    </x:xf>
    <x:xf numFmtId="201" fontId="9" fillId="0" borderId="15" xfId="0" applyNumberFormat="1" applyFont="1" applyFill="1" applyBorder="1" applyAlignment="1">
      <x:alignment vertical="center" wrapText="1"/>
    </x:xf>
    <x:xf numFmtId="201" fontId="9" fillId="0" borderId="18" xfId="0" applyNumberFormat="1" applyFont="1" applyFill="1" applyBorder="1" applyAlignment="1">
      <x:alignment vertical="center" wrapText="1"/>
    </x:xf>
    <x:xf numFmtId="203" fontId="12" fillId="0" borderId="14" xfId="0" applyNumberFormat="1" applyFont="1" applyFill="1" applyBorder="1" applyAlignment="1">
      <x:alignment vertical="center" wrapText="1"/>
    </x:xf>
    <x:xf numFmtId="203" fontId="12" fillId="0" borderId="17" xfId="0" applyNumberFormat="1" applyFont="1" applyFill="1" applyBorder="1" applyAlignment="1">
      <x:alignment vertical="center" wrapText="1"/>
    </x:xf>
    <x:xf numFmtId="204" fontId="12" fillId="0" borderId="14" xfId="0" applyNumberFormat="1" applyFont="1" applyFill="1" applyBorder="1" applyAlignment="1">
      <x:alignment vertical="center" wrapText="1"/>
    </x:xf>
    <x:xf numFmtId="204" fontId="12" fillId="0" borderId="17" xfId="0" applyNumberFormat="1" applyFont="1" applyFill="1" applyBorder="1" applyAlignment="1">
      <x:alignment vertical="center" wrapText="1"/>
    </x:xf>
    <x:xf numFmtId="214" fontId="12" fillId="0" borderId="14" xfId="0" applyNumberFormat="1" applyFont="1" applyFill="1" applyBorder="1" applyAlignment="1">
      <x:alignment vertical="center" wrapText="1"/>
    </x:xf>
    <x:xf numFmtId="214" fontId="12" fillId="0" borderId="17" xfId="0" applyNumberFormat="1" applyFont="1" applyFill="1" applyBorder="1" applyAlignment="1">
      <x:alignment vertical="center" wrapText="1"/>
    </x:xf>
    <x:xf numFmtId="203" fontId="12" fillId="0" borderId="11" xfId="0" applyNumberFormat="1" applyFont="1" applyFill="1" applyBorder="1" applyAlignment="1">
      <x:alignment vertical="center" wrapText="1"/>
    </x:xf>
    <x:xf numFmtId="0" fontId="17" fillId="0" borderId="11" xfId="0" applyNumberFormat="1" applyFont="1" applyFill="1" applyBorder="1" applyAlignment="1">
      <x:alignment vertical="center" wrapText="1"/>
    </x:xf>
    <x:xf numFmtId="0" fontId="17" fillId="0" borderId="14" xfId="0" applyNumberFormat="1" applyFont="1" applyFill="1" applyBorder="1" applyAlignment="1">
      <x:alignment vertical="center" wrapText="1"/>
    </x:xf>
    <x:xf numFmtId="0" fontId="17" fillId="0" borderId="17" xfId="0" applyNumberFormat="1" applyFont="1" applyFill="1" applyBorder="1" applyAlignment="1">
      <x:alignment vertical="center" wrapText="1"/>
    </x:xf>
    <x:xf numFmtId="0" fontId="0" fillId="16" borderId="0" xfId="0" applyNumberFormat="1" applyFont="1" applyFill="1" applyBorder="1"/>
    <x:xf numFmtId="0" fontId="4" fillId="16" borderId="0" xfId="0" applyNumberFormat="1" applyFont="1" applyFill="1" applyBorder="1"/>
    <x:xf numFmtId="0" fontId="4" fillId="16" borderId="1" xfId="0" applyNumberFormat="1" applyFont="1" applyFill="1" applyBorder="1"/>
    <x:xf numFmtId="0" fontId="9" fillId="17" borderId="10" xfId="0" applyNumberFormat="1" applyFont="1" applyFill="1" applyBorder="1" applyAlignment="1">
      <x:alignment vertical="center" wrapText="1"/>
    </x:xf>
    <x:xf numFmtId="0" fontId="9" fillId="17" borderId="13" xfId="0" applyNumberFormat="1" applyFont="1" applyFill="1" applyBorder="1" applyAlignment="1">
      <x:alignment vertical="center" wrapText="1"/>
    </x:xf>
    <x:xf numFmtId="0" fontId="9" fillId="17" borderId="16" xfId="0" applyNumberFormat="1" applyFont="1" applyFill="1" applyBorder="1" applyAlignment="1">
      <x:alignment vertical="center" wrapText="1"/>
    </x:xf>
    <x:xf numFmtId="0" fontId="12" fillId="16" borderId="15" xfId="0" applyNumberFormat="1" applyFont="1" applyFill="1" applyBorder="1" applyAlignment="1">
      <x:alignment vertical="center" wrapText="1"/>
    </x:xf>
    <x:xf numFmtId="0" fontId="12" fillId="16" borderId="18" xfId="0" applyNumberFormat="1" applyFont="1" applyFill="1" applyBorder="1" applyAlignment="1">
      <x:alignment vertical="center" wrapText="1"/>
    </x:xf>
    <x:xf numFmtId="207" fontId="12" fillId="16" borderId="15" xfId="0" applyNumberFormat="1" applyFont="1" applyFill="1" applyBorder="1" applyAlignment="1">
      <x:alignment vertical="center" wrapText="1"/>
    </x:xf>
    <x:xf numFmtId="207" fontId="12" fillId="16" borderId="18" xfId="0" applyNumberFormat="1" applyFont="1" applyFill="1" applyBorder="1" applyAlignment="1">
      <x:alignment vertical="center" wrapText="1"/>
    </x:xf>
    <x:xf numFmtId="205" fontId="12" fillId="16" borderId="15" xfId="0" applyNumberFormat="1" applyFont="1" applyFill="1" applyBorder="1" applyAlignment="1">
      <x:alignment vertical="center" wrapText="1"/>
    </x:xf>
    <x:xf numFmtId="201" fontId="12" fillId="16" borderId="15" xfId="0" applyNumberFormat="1" applyFont="1" applyFill="1" applyBorder="1" applyAlignment="1">
      <x:alignment vertical="center" wrapText="1"/>
    </x:xf>
    <x:xf numFmtId="0" fontId="9" fillId="0" borderId="25" xfId="0" applyNumberFormat="1" applyFont="1" applyFill="1" applyBorder="1"/>
    <x:xf numFmtId="0" fontId="9" fillId="0" borderId="26" xfId="0" applyNumberFormat="1" applyFont="1" applyFill="1" applyBorder="1"/>
    <x:xf numFmtId="0" fontId="9" fillId="0" borderId="27" xfId="0" applyNumberFormat="1" applyFont="1" applyFill="1" applyBorder="1"/>
    <x:xf numFmtId="0" fontId="9" fillId="0" borderId="25" xfId="0" applyNumberFormat="1" applyFont="1" applyFill="1" applyBorder="1" applyAlignment="1">
      <x:alignment wrapText="1"/>
    </x:xf>
    <x:xf numFmtId="0" fontId="9" fillId="0" borderId="26" xfId="0" applyNumberFormat="1" applyFont="1" applyFill="1" applyBorder="1" applyAlignment="1">
      <x:alignment wrapText="1"/>
    </x:xf>
    <x:xf numFmtId="0" fontId="9" fillId="0" borderId="27" xfId="0" applyNumberFormat="1" applyFont="1" applyFill="1" applyBorder="1" applyAlignment="1">
      <x:alignment wrapText="1"/>
    </x:xf>
    <x:xf numFmtId="0" fontId="9" fillId="0" borderId="25" xfId="0" applyNumberFormat="1" applyFont="1" applyFill="1" applyBorder="1" applyAlignment="1">
      <x:alignment vertical="center" wrapText="1"/>
    </x:xf>
    <x:xf numFmtId="0" fontId="9" fillId="0" borderId="26" xfId="0" applyNumberFormat="1" applyFont="1" applyFill="1" applyBorder="1" applyAlignment="1">
      <x:alignment vertical="center" wrapText="1"/>
    </x:xf>
    <x:xf numFmtId="0" fontId="9" fillId="0" borderId="27" xfId="0" applyNumberFormat="1" applyFont="1" applyFill="1" applyBorder="1" applyAlignment="1">
      <x:alignment vertical="center" wrapText="1"/>
    </x:xf>
    <x:xf numFmtId="0" fontId="12" fillId="0" borderId="26" xfId="0" applyNumberFormat="1" applyFont="1" applyFill="1" applyBorder="1" applyAlignment="1">
      <x:alignment vertical="center" wrapText="1"/>
    </x:xf>
    <x:xf numFmtId="0" fontId="9" fillId="22" borderId="26" xfId="0" applyNumberFormat="1" applyFont="1" applyFill="1" applyBorder="1" applyAlignment="1">
      <x:alignment vertical="center" wrapText="1"/>
    </x:xf>
    <x:xf numFmtId="0" fontId="12" fillId="0" borderId="12" xfId="0" applyNumberFormat="1" applyFont="1" applyFill="1" applyBorder="1" applyAlignment="1">
      <x:alignment vertical="center" wrapText="1"/>
    </x:xf>
    <x:xf numFmtId="0" fontId="12" fillId="0" borderId="15" xfId="0" applyNumberFormat="1" applyFont="1" applyFill="1" applyBorder="1" applyAlignment="1">
      <x:alignment vertical="center" wrapText="1"/>
    </x:xf>
    <x:xf numFmtId="0" fontId="12" fillId="0" borderId="18" xfId="0" applyNumberFormat="1" applyFont="1" applyFill="1" applyBorder="1" applyAlignment="1">
      <x:alignment vertical="center" wrapText="1"/>
    </x:xf>
    <x:xf numFmtId="207" fontId="12" fillId="0" borderId="12" xfId="0" applyNumberFormat="1" applyFont="1" applyFill="1" applyBorder="1" applyAlignment="1">
      <x:alignment vertical="center" wrapText="1"/>
    </x:xf>
    <x:xf numFmtId="207" fontId="12" fillId="0" borderId="15" xfId="0" applyNumberFormat="1" applyFont="1" applyFill="1" applyBorder="1" applyAlignment="1">
      <x:alignment vertical="center" wrapText="1"/>
    </x:xf>
    <x:xf numFmtId="207" fontId="12" fillId="0" borderId="18" xfId="0" applyNumberFormat="1" applyFont="1" applyFill="1" applyBorder="1" applyAlignment="1">
      <x:alignment vertical="center" wrapText="1"/>
    </x:xf>
    <x:xf numFmtId="0" fontId="0" fillId="23" borderId="0" xfId="0" applyNumberFormat="1" applyFont="1" applyFill="1" applyBorder="1"/>
    <x:xf numFmtId="0" fontId="0" fillId="24" borderId="0" xfId="0" applyNumberFormat="1" applyFont="1" applyFill="1" applyBorder="1"/>
    <x:xf numFmtId="0" fontId="0" fillId="25" borderId="0" xfId="0" applyNumberFormat="1" applyFont="1" applyFill="1" applyBorder="1"/>
    <x:xf numFmtId="0" fontId="1" fillId="25" borderId="0" xfId="0" applyNumberFormat="1" applyFont="1" applyFill="1" applyBorder="1"/>
    <x:xf numFmtId="0" fontId="1" fillId="25" borderId="0" xfId="0" applyNumberFormat="1" applyFont="1" applyFill="1" applyBorder="1" applyAlignment="1">
      <x:alignment horizontal="left"/>
    </x:xf>
    <x:xf numFmtId="0" fontId="1" fillId="25" borderId="0" xfId="0" applyNumberFormat="1" applyFont="1" applyFill="1" applyBorder="1" applyAlignment="1">
      <x:alignment horizontal="left" vertical="center"/>
    </x:xf>
    <x:xf numFmtId="0" fontId="0" fillId="26" borderId="0" xfId="0" applyNumberFormat="1" applyFont="1" applyFill="1" applyBorder="1"/>
    <x:xf numFmtId="0" fontId="2" fillId="26" borderId="0" xfId="0" applyNumberFormat="1" applyFont="1" applyFill="1" applyBorder="1"/>
    <x:xf numFmtId="0" fontId="2" fillId="26" borderId="0" xfId="0" applyNumberFormat="1" applyFont="1" applyFill="1" applyBorder="1" applyAlignment="1">
      <x:alignment wrapText="1"/>
    </x:xf>
    <x:xf numFmtId="0" fontId="2" fillId="26" borderId="0" xfId="0" applyNumberFormat="1" applyFont="1" applyFill="1" applyBorder="1" applyAlignment="1">
      <x:alignment vertical="center" wrapText="1"/>
    </x:xf>
    <x:xf numFmtId="0" fontId="0" fillId="27" borderId="0" xfId="0" applyNumberFormat="1" applyFont="1" applyFill="1" applyBorder="1"/>
    <x:xf numFmtId="0" fontId="3" fillId="27" borderId="0" xfId="0" applyNumberFormat="1" applyFont="1" applyFill="1" applyBorder="1"/>
    <x:xf numFmtId="0" fontId="3" fillId="27" borderId="0" xfId="0" applyNumberFormat="1" applyFont="1" applyFill="1" applyBorder="1" applyAlignment="1">
      <x:alignment vertical="center"/>
    </x:xf>
    <x:xf numFmtId="0" fontId="0" fillId="28" borderId="0" xfId="0" applyNumberFormat="1" applyFont="1" applyFill="1" applyBorder="1"/>
    <x:xf numFmtId="0" fontId="8" fillId="28" borderId="0" xfId="0" applyNumberFormat="1" applyFont="1" applyFill="1" applyBorder="1"/>
    <x:xf numFmtId="0" fontId="8" fillId="28" borderId="1" xfId="0" applyNumberFormat="1" applyFont="1" applyFill="1" applyBorder="1"/>
    <x:xf numFmtId="0" fontId="8" fillId="28" borderId="1" xfId="0" applyNumberFormat="1" applyFont="1" applyFill="1" applyBorder="1" applyAlignment="1">
      <x:alignment wrapText="1"/>
    </x:xf>
    <x:xf numFmtId="0" fontId="8" fillId="28" borderId="1" xfId="0" applyNumberFormat="1" applyFont="1" applyFill="1" applyBorder="1" applyAlignment="1">
      <x:alignment horizontal="center" wrapText="1"/>
    </x:xf>
    <x:xf numFmtId="0" fontId="8" fillId="28" borderId="1" xfId="0" applyNumberFormat="1" applyFont="1" applyFill="1" applyBorder="1" applyAlignment="1">
      <x:alignment horizontal="center" vertical="center" wrapText="1"/>
    </x:xf>
    <x:xf numFmtId="215" fontId="9" fillId="0" borderId="10" xfId="0" applyNumberFormat="1" applyFont="1" applyFill="1" applyBorder="1" applyAlignment="1">
      <x:alignment vertical="center" wrapText="1"/>
    </x:xf>
    <x:xf numFmtId="215" fontId="9" fillId="0" borderId="13" xfId="0" applyNumberFormat="1" applyFont="1" applyFill="1" applyBorder="1" applyAlignment="1">
      <x:alignment vertical="center" wrapText="1"/>
    </x:xf>
    <x:xf numFmtId="215" fontId="9" fillId="0" borderId="16" xfId="0" applyNumberFormat="1" applyFont="1" applyFill="1" applyBorder="1" applyAlignment="1">
      <x:alignment vertical="center" wrapText="1"/>
    </x:xf>
    <x:xf numFmtId="216" fontId="9" fillId="0" borderId="11" xfId="0" applyNumberFormat="1" applyFont="1" applyFill="1" applyBorder="1" applyAlignment="1">
      <x:alignment vertical="center" wrapText="1"/>
    </x:xf>
    <x:xf numFmtId="216" fontId="9" fillId="0" borderId="14" xfId="0" applyNumberFormat="1" applyFont="1" applyFill="1" applyBorder="1" applyAlignment="1">
      <x:alignment vertical="center" wrapText="1"/>
    </x:xf>
    <x:xf numFmtId="216" fontId="9" fillId="0" borderId="17" xfId="0" applyNumberFormat="1" applyFont="1" applyFill="1" applyBorder="1" applyAlignment="1">
      <x:alignment vertical="center" wrapText="1"/>
    </x:xf>
    <x:xf numFmtId="0" fontId="10" fillId="0" borderId="12" xfId="0" applyNumberFormat="1" applyFont="1" applyFill="1" applyBorder="1" applyAlignment="1">
      <x:alignment vertical="center" wrapText="1"/>
    </x:xf>
    <x:xf numFmtId="0" fontId="10" fillId="0" borderId="15" xfId="0" applyNumberFormat="1" applyFont="1" applyFill="1" applyBorder="1" applyAlignment="1">
      <x:alignment vertical="center" wrapText="1"/>
    </x:xf>
    <x:xf numFmtId="0" fontId="10" fillId="0" borderId="18" xfId="0" applyNumberFormat="1" applyFont="1" applyFill="1" applyBorder="1" applyAlignment="1">
      <x:alignment vertical="center" wrapText="1"/>
    </x:xf>
    <x:xf numFmtId="217" fontId="9" fillId="0" borderId="14" xfId="0" applyNumberFormat="1" applyFont="1" applyFill="1" applyBorder="1" applyAlignment="1">
      <x:alignment vertical="center" wrapText="1"/>
    </x:xf>
    <x:xf numFmtId="217" fontId="12" fillId="0" borderId="17" xfId="0" applyNumberFormat="1" applyFont="1" applyFill="1" applyBorder="1" applyAlignment="1">
      <x:alignment vertical="center" wrapText="1"/>
    </x:xf>
    <x:xf numFmtId="218" fontId="8" fillId="28" borderId="1" xfId="0" applyNumberFormat="1" applyFont="1" applyFill="1" applyBorder="1" applyAlignment="1">
      <x:alignment horizontal="center" vertical="center" wrapText="1"/>
    </x:xf>
    <x:xf numFmtId="0" fontId="13" fillId="0" borderId="11" xfId="0" applyNumberFormat="1" applyFont="1" applyFill="1" applyBorder="1" applyAlignment="1">
      <x:alignment vertical="center" wrapText="1"/>
    </x:xf>
    <x:xf numFmtId="0" fontId="13" fillId="29" borderId="11" xfId="0" applyNumberFormat="1" applyFont="1" applyFill="1" applyBorder="1" applyAlignment="1">
      <x:alignment vertical="center" wrapText="1"/>
    </x:xf>
    <x:xf numFmtId="201" fontId="13" fillId="29" borderId="11" xfId="0" applyNumberFormat="1" applyFont="1" applyFill="1" applyBorder="1" applyAlignment="1">
      <x:alignment vertical="center" wrapText="1"/>
    </x:xf>
    <x:xf numFmtId="0" fontId="13" fillId="0" borderId="14" xfId="0" applyNumberFormat="1" applyFont="1" applyFill="1" applyBorder="1" applyAlignment="1">
      <x:alignment vertical="center" wrapText="1"/>
    </x:xf>
    <x:xf numFmtId="0" fontId="13" fillId="29" borderId="14" xfId="0" applyNumberFormat="1" applyFont="1" applyFill="1" applyBorder="1" applyAlignment="1">
      <x:alignment vertical="center" wrapText="1"/>
    </x:xf>
    <x:xf numFmtId="201" fontId="13" fillId="29" borderId="14" xfId="0" applyNumberFormat="1" applyFont="1" applyFill="1" applyBorder="1" applyAlignment="1">
      <x:alignment vertical="center" wrapText="1"/>
    </x:xf>
    <x:xf numFmtId="207" fontId="13" fillId="29" borderId="14" xfId="0" applyNumberFormat="1" applyFont="1" applyFill="1" applyBorder="1" applyAlignment="1">
      <x:alignment vertical="center" wrapText="1"/>
    </x:xf>
    <x:xf numFmtId="0" fontId="13" fillId="0" borderId="17" xfId="0" applyNumberFormat="1" applyFont="1" applyFill="1" applyBorder="1" applyAlignment="1">
      <x:alignment vertical="center" wrapText="1"/>
    </x:xf>
    <x:xf numFmtId="0" fontId="13" fillId="29" borderId="17" xfId="0" applyNumberFormat="1" applyFont="1" applyFill="1" applyBorder="1" applyAlignment="1">
      <x:alignment vertical="center" wrapText="1"/>
    </x:xf>
    <x:xf numFmtId="201" fontId="13" fillId="29" borderId="17" xfId="0" applyNumberFormat="1" applyFont="1" applyFill="1" applyBorder="1" applyAlignment="1">
      <x:alignment vertical="center" wrapText="1"/>
    </x:xf>
    <x:xf numFmtId="0" fontId="0" fillId="30" borderId="0" xfId="0" applyNumberFormat="1" applyFont="1" applyFill="1" applyBorder="1"/>
    <x:xf numFmtId="0" fontId="3" fillId="30" borderId="0" xfId="0" applyNumberFormat="1" applyFont="1" applyFill="1" applyBorder="1"/>
    <x:xf numFmtId="0" fontId="3" fillId="30" borderId="0" xfId="0" applyNumberFormat="1" applyFont="1" applyFill="1" applyBorder="1" applyAlignment="1">
      <x:alignment vertical="center"/>
    </x:xf>
    <x:xf numFmtId="0" fontId="0" fillId="31" borderId="0" xfId="0" applyNumberFormat="1" applyFont="1" applyFill="1" applyBorder="1"/>
    <x:xf numFmtId="0" fontId="3" fillId="31" borderId="0" xfId="0" applyNumberFormat="1" applyFont="1" applyFill="1" applyBorder="1"/>
    <x:xf numFmtId="0" fontId="3" fillId="31" borderId="0" xfId="0" applyNumberFormat="1" applyFont="1" applyFill="1" applyBorder="1" applyAlignment="1">
      <x:alignment vertical="center"/>
    </x:xf>
    <x:xf numFmtId="214" fontId="13" fillId="29" borderId="14" xfId="0" applyNumberFormat="1" applyFont="1" applyFill="1" applyBorder="1" applyAlignment="1">
      <x:alignment vertical="center" wrapText="1"/>
    </x:xf>
    <x:xf numFmtId="0" fontId="9" fillId="23" borderId="13" xfId="0" applyNumberFormat="1" applyFont="1" applyFill="1" applyBorder="1" applyAlignment="1">
      <x:alignment vertical="center" wrapText="1"/>
    </x:xf>
    <x:xf numFmtId="0" fontId="9" fillId="23" borderId="14" xfId="0" applyNumberFormat="1" applyFont="1" applyFill="1" applyBorder="1" applyAlignment="1">
      <x:alignment vertical="center" wrapText="1"/>
    </x:xf>
    <x:xf numFmtId="201" fontId="9" fillId="23" borderId="14" xfId="0" applyNumberFormat="1" applyFont="1" applyFill="1" applyBorder="1" applyAlignment="1">
      <x:alignment vertical="center" wrapText="1"/>
    </x:xf>
    <x:xf numFmtId="0" fontId="9" fillId="23" borderId="15" xfId="0" applyNumberFormat="1" applyFont="1" applyFill="1" applyBorder="1" applyAlignment="1">
      <x:alignment vertical="center" wrapText="1"/>
    </x:xf>
    <x:xf numFmtId="0" fontId="8" fillId="23" borderId="13" xfId="0" applyNumberFormat="1" applyFont="1" applyFill="1" applyBorder="1" applyAlignment="1">
      <x:alignment vertical="center" wrapText="1"/>
    </x:xf>
    <x:xf numFmtId="0" fontId="8" fillId="23" borderId="14" xfId="0" applyNumberFormat="1" applyFont="1" applyFill="1" applyBorder="1" applyAlignment="1">
      <x:alignment vertical="center" wrapText="1"/>
    </x:xf>
    <x:xf numFmtId="201" fontId="8" fillId="23" borderId="14" xfId="0" applyNumberFormat="1" applyFont="1" applyFill="1" applyBorder="1" applyAlignment="1">
      <x:alignment vertical="center" wrapText="1"/>
    </x:xf>
    <x:xf numFmtId="0" fontId="8" fillId="23" borderId="15" xfId="0" applyNumberFormat="1" applyFont="1" applyFill="1" applyBorder="1" applyAlignment="1">
      <x:alignment vertical="center" wrapText="1"/>
    </x:xf>
    <x:xf numFmtId="0" fontId="8" fillId="23" borderId="28" xfId="0" applyNumberFormat="1" applyFont="1" applyFill="1" applyBorder="1" applyAlignment="1">
      <x:alignment vertical="center" wrapText="1"/>
    </x:xf>
    <x:xf numFmtId="0" fontId="8" fillId="23" borderId="29" xfId="0" applyNumberFormat="1" applyFont="1" applyFill="1" applyBorder="1" applyAlignment="1">
      <x:alignment vertical="center" wrapText="1"/>
    </x:xf>
    <x:xf numFmtId="201" fontId="8" fillId="23" borderId="29" xfId="0" applyNumberFormat="1" applyFont="1" applyFill="1" applyBorder="1" applyAlignment="1">
      <x:alignment vertical="center" wrapText="1"/>
    </x:xf>
    <x:xf numFmtId="0" fontId="0" fillId="29" borderId="0" xfId="0" applyNumberFormat="1" applyFont="1" applyFill="1" applyBorder="1"/>
    <x:xf numFmtId="0" fontId="7" fillId="29" borderId="0" xfId="0" applyNumberFormat="1" applyFont="1" applyFill="1" applyBorder="1"/>
    <x:xf numFmtId="0" fontId="7" fillId="29" borderId="2" xfId="0" applyNumberFormat="1" applyFont="1" applyFill="1" applyBorder="1"/>
    <x:xf numFmtId="0" fontId="7" fillId="29" borderId="3" xfId="0" applyNumberFormat="1" applyFont="1" applyFill="1" applyBorder="1"/>
    <x:xf numFmtId="0" fontId="7" fillId="29" borderId="4" xfId="0" applyNumberFormat="1" applyFont="1" applyFill="1" applyBorder="1"/>
    <x:xf numFmtId="0" fontId="7" fillId="29" borderId="5" xfId="0" applyNumberFormat="1" applyFont="1" applyFill="1" applyBorder="1"/>
    <x:xf numFmtId="0" fontId="7" fillId="29" xfId="0" applyNumberFormat="1" applyFont="1" applyFill="1" applyBorder="0"/>
    <x:xf numFmtId="0" fontId="7" fillId="29" borderId="6" xfId="0" applyNumberFormat="1" applyFont="1" applyFill="1" applyBorder="1"/>
    <x:xf numFmtId="0" fontId="7" fillId="29" borderId="7" xfId="0" applyNumberFormat="1" applyFont="1" applyFill="1" applyBorder="1"/>
    <x:xf numFmtId="0" fontId="7" fillId="29" borderId="8" xfId="0" applyNumberFormat="1" applyFont="1" applyFill="1" applyBorder="1"/>
    <x:xf numFmtId="0" fontId="7" fillId="29" borderId="9" xfId="0" applyNumberFormat="1" applyFont="1" applyFill="1" applyBorder="1"/>
    <x:xf numFmtId="0" fontId="7" fillId="29" borderId="2" xfId="0" applyNumberFormat="1" applyFont="1" applyFill="1" applyBorder="1" applyAlignment="1">
      <x:alignment wrapText="1"/>
    </x:xf>
    <x:xf numFmtId="0" fontId="7" fillId="29" borderId="3" xfId="0" applyNumberFormat="1" applyFont="1" applyFill="1" applyBorder="1" applyAlignment="1">
      <x:alignment wrapText="1"/>
    </x:xf>
    <x:xf numFmtId="0" fontId="7" fillId="29" borderId="4" xfId="0" applyNumberFormat="1" applyFont="1" applyFill="1" applyBorder="1" applyAlignment="1">
      <x:alignment wrapText="1"/>
    </x:xf>
    <x:xf numFmtId="0" fontId="7" fillId="29" borderId="5" xfId="0" applyNumberFormat="1" applyFont="1" applyFill="1" applyBorder="1" applyAlignment="1">
      <x:alignment wrapText="1"/>
    </x:xf>
    <x:xf numFmtId="0" fontId="7" fillId="29" xfId="0" applyNumberFormat="1" applyFont="1" applyFill="1" applyBorder="0" applyAlignment="1">
      <x:alignment wrapText="1"/>
    </x:xf>
    <x:xf numFmtId="0" fontId="7" fillId="29" borderId="6" xfId="0" applyNumberFormat="1" applyFont="1" applyFill="1" applyBorder="1" applyAlignment="1">
      <x:alignment wrapText="1"/>
    </x:xf>
    <x:xf numFmtId="0" fontId="7" fillId="29" borderId="7" xfId="0" applyNumberFormat="1" applyFont="1" applyFill="1" applyBorder="1" applyAlignment="1">
      <x:alignment wrapText="1"/>
    </x:xf>
    <x:xf numFmtId="0" fontId="7" fillId="29" borderId="8" xfId="0" applyNumberFormat="1" applyFont="1" applyFill="1" applyBorder="1" applyAlignment="1">
      <x:alignment wrapText="1"/>
    </x:xf>
    <x:xf numFmtId="0" fontId="7" fillId="29" borderId="9" xfId="0" applyNumberFormat="1" applyFont="1" applyFill="1" applyBorder="1" applyAlignment="1">
      <x:alignment wrapText="1"/>
    </x:xf>
    <x:xf numFmtId="0" fontId="7" fillId="29" borderId="2" xfId="0" applyNumberFormat="1" applyFont="1" applyFill="1" applyBorder="1" applyAlignment="1">
      <x:alignment vertical="top" wrapText="1"/>
    </x:xf>
    <x:xf numFmtId="0" fontId="7" fillId="29" borderId="3" xfId="0" applyNumberFormat="1" applyFont="1" applyFill="1" applyBorder="1" applyAlignment="1">
      <x:alignment vertical="top" wrapText="1"/>
    </x:xf>
    <x:xf numFmtId="0" fontId="7" fillId="29" borderId="4" xfId="0" applyNumberFormat="1" applyFont="1" applyFill="1" applyBorder="1" applyAlignment="1">
      <x:alignment vertical="top" wrapText="1"/>
    </x:xf>
    <x:xf numFmtId="0" fontId="7" fillId="29" borderId="5" xfId="0" applyNumberFormat="1" applyFont="1" applyFill="1" applyBorder="1" applyAlignment="1">
      <x:alignment vertical="top" wrapText="1"/>
    </x:xf>
    <x:xf numFmtId="0" fontId="7" fillId="29" xfId="0" applyNumberFormat="1" applyFont="1" applyFill="1" applyBorder="0" applyAlignment="1">
      <x:alignment vertical="top" wrapText="1"/>
    </x:xf>
    <x:xf numFmtId="0" fontId="7" fillId="29" borderId="6" xfId="0" applyNumberFormat="1" applyFont="1" applyFill="1" applyBorder="1" applyAlignment="1">
      <x:alignment vertical="top" wrapText="1"/>
    </x:xf>
    <x:xf numFmtId="0" fontId="7" fillId="29" borderId="7" xfId="0" applyNumberFormat="1" applyFont="1" applyFill="1" applyBorder="1" applyAlignment="1">
      <x:alignment vertical="top" wrapText="1"/>
    </x:xf>
    <x:xf numFmtId="0" fontId="7" fillId="29" borderId="8" xfId="0" applyNumberFormat="1" applyFont="1" applyFill="1" applyBorder="1" applyAlignment="1">
      <x:alignment vertical="top" wrapText="1"/>
    </x:xf>
    <x:xf numFmtId="0" fontId="7" fillId="29" borderId="9" xfId="0" applyNumberFormat="1" applyFont="1" applyFill="1" applyBorder="1" applyAlignment="1">
      <x:alignment vertical="top" wrapText="1"/>
    </x:xf>
    <x:xf numFmtId="213" fontId="8" fillId="28" borderId="1" xfId="0" applyNumberFormat="1" applyFont="1" applyFill="1" applyBorder="1" applyAlignment="1">
      <x:alignment horizontal="center" vertical="center" wrapText="1"/>
    </x:xf>
    <x:xf numFmtId="207" fontId="12" fillId="23" borderId="14" xfId="0" applyNumberFormat="1" applyFont="1" applyFill="1" applyBorder="1" applyAlignment="1">
      <x:alignment vertical="center" wrapText="1"/>
    </x:xf>
    <x:xf numFmtId="207" fontId="9" fillId="23" borderId="14" xfId="0" applyNumberFormat="1" applyFont="1" applyFill="1" applyBorder="1" applyAlignment="1">
      <x:alignment vertical="center" wrapText="1"/>
    </x:xf>
    <x:xf numFmtId="207" fontId="8" fillId="23" borderId="14" xfId="0" applyNumberFormat="1" applyFont="1" applyFill="1" applyBorder="1" applyAlignment="1">
      <x:alignment vertical="center" wrapText="1"/>
    </x:xf>
    <x:xf numFmtId="207" fontId="8" fillId="23" borderId="29" xfId="0" applyNumberFormat="1" applyFont="1" applyFill="1" applyBorder="1" applyAlignment="1">
      <x:alignment vertical="center" wrapText="1"/>
    </x:xf>
    <x:xf numFmtId="203" fontId="12" fillId="23" borderId="14" xfId="0" applyNumberFormat="1" applyFont="1" applyFill="1" applyBorder="1" applyAlignment="1">
      <x:alignment vertical="center" wrapText="1"/>
    </x:xf>
    <x:xf numFmtId="203" fontId="9" fillId="23" borderId="14" xfId="0" applyNumberFormat="1" applyFont="1" applyFill="1" applyBorder="1" applyAlignment="1">
      <x:alignment vertical="center" wrapText="1"/>
    </x:xf>
    <x:xf numFmtId="203" fontId="8" fillId="23" borderId="14" xfId="0" applyNumberFormat="1" applyFont="1" applyFill="1" applyBorder="1" applyAlignment="1">
      <x:alignment vertical="center" wrapText="1"/>
    </x:xf>
    <x:xf numFmtId="0" fontId="8" fillId="23" borderId="19" xfId="0" applyNumberFormat="1" applyFont="1" applyFill="1" applyBorder="1" applyAlignment="1">
      <x:alignment vertical="center" wrapText="1"/>
    </x:xf>
    <x:xf numFmtId="0" fontId="8" fillId="23" borderId="20" xfId="0" applyNumberFormat="1" applyFont="1" applyFill="1" applyBorder="1" applyAlignment="1">
      <x:alignment vertical="center" wrapText="1"/>
    </x:xf>
    <x:xf numFmtId="207" fontId="8" fillId="23" borderId="20" xfId="0" applyNumberFormat="1" applyFont="1" applyFill="1" applyBorder="1" applyAlignment="1">
      <x:alignment vertical="center" wrapText="1"/>
    </x:xf>
    <x:xf numFmtId="0" fontId="8" fillId="23" borderId="21" xfId="0" applyNumberFormat="1" applyFont="1" applyFill="1" applyBorder="1" applyAlignment="1">
      <x:alignment vertical="center" wrapText="1"/>
    </x:xf>
    <x:xf numFmtId="0" fontId="8" fillId="23" borderId="22" xfId="0" applyNumberFormat="1" applyFont="1" applyFill="1" applyBorder="1" applyAlignment="1">
      <x:alignment vertical="center" wrapText="1"/>
    </x:xf>
    <x:xf numFmtId="203" fontId="8" fillId="23" borderId="22" xfId="0" applyNumberFormat="1" applyFont="1" applyFill="1" applyBorder="1" applyAlignment="1">
      <x:alignment vertical="center" wrapText="1"/>
    </x:xf>
    <x:xf numFmtId="0" fontId="9" fillId="23" borderId="16" xfId="0" applyNumberFormat="1" applyFont="1" applyFill="1" applyBorder="1" applyAlignment="1">
      <x:alignment vertical="center" wrapText="1"/>
    </x:xf>
    <x:xf numFmtId="0" fontId="9" fillId="23" borderId="17" xfId="0" applyNumberFormat="1" applyFont="1" applyFill="1" applyBorder="1" applyAlignment="1">
      <x:alignment vertical="center" wrapText="1"/>
    </x:xf>
    <x:xf numFmtId="201" fontId="12" fillId="23" borderId="17" xfId="0" applyNumberFormat="1" applyFont="1" applyFill="1" applyBorder="1" applyAlignment="1">
      <x:alignment vertical="center" wrapText="1"/>
    </x:xf>
    <x:xf numFmtId="201" fontId="9" fillId="23" borderId="17" xfId="0" applyNumberFormat="1" applyFont="1" applyFill="1" applyBorder="1" applyAlignment="1">
      <x:alignment vertical="center" wrapText="1"/>
    </x:xf>
    <x:xf numFmtId="0" fontId="9" fillId="23" borderId="18" xfId="0" applyNumberFormat="1" applyFont="1" applyFill="1" applyBorder="1" applyAlignment="1">
      <x:alignment vertical="center" wrapText="1"/>
    </x:xf>
    <x:xf numFmtId="0" fontId="8" fillId="23" borderId="16" xfId="0" applyNumberFormat="1" applyFont="1" applyFill="1" applyBorder="1" applyAlignment="1">
      <x:alignment vertical="center" wrapText="1"/>
    </x:xf>
    <x:xf numFmtId="0" fontId="8" fillId="23" borderId="17" xfId="0" applyNumberFormat="1" applyFont="1" applyFill="1" applyBorder="1" applyAlignment="1">
      <x:alignment vertical="center" wrapText="1"/>
    </x:xf>
    <x:xf numFmtId="201" fontId="8" fillId="23" borderId="17" xfId="0" applyNumberFormat="1" applyFont="1" applyFill="1" applyBorder="1" applyAlignment="1">
      <x:alignment vertical="center" wrapText="1"/>
    </x:xf>
    <x:xf numFmtId="0" fontId="8" fillId="23" borderId="18" xfId="0" applyNumberFormat="1" applyFont="1" applyFill="1" applyBorder="1" applyAlignment="1">
      <x:alignment vertical="center" wrapText="1"/>
    </x:xf>
    <x:xf numFmtId="201" fontId="8" fillId="23" borderId="22" xfId="0" applyNumberFormat="1" applyFont="1" applyFill="1" applyBorder="1" applyAlignment="1">
      <x:alignment vertical="center" wrapText="1"/>
    </x:xf>
    <x:xf numFmtId="214" fontId="9" fillId="0" borderId="14" xfId="0" applyNumberFormat="1" applyFont="1" applyFill="1" applyBorder="1" applyAlignment="1">
      <x:alignment vertical="center" wrapText="1"/>
    </x:xf>
    <x:xf numFmtId="203" fontId="9" fillId="23" borderId="17" xfId="0" applyNumberFormat="1" applyFont="1" applyFill="1" applyBorder="1" applyAlignment="1">
      <x:alignment vertical="center" wrapText="1"/>
    </x:xf>
    <x:xf numFmtId="203" fontId="8" fillId="23" borderId="17" xfId="0" applyNumberFormat="1" applyFont="1" applyFill="1" applyBorder="1" applyAlignment="1">
      <x:alignment vertical="center" wrapText="1"/>
    </x:xf>
    <x:xf numFmtId="201" fontId="8" fillId="28" borderId="1" xfId="0" applyNumberFormat="1" applyFont="1" applyFill="1" applyBorder="1" applyAlignment="1">
      <x:alignment horizontal="center" vertical="center" wrapText="1"/>
    </x:xf>
    <x:xf numFmtId="201" fontId="0" fillId="0" borderId="0" xfId="0" applyNumberFormat="1" applyFont="1" applyFill="1" applyBorder="1"/>
    <x:xf numFmtId="201" fontId="9" fillId="0" borderId="0" xfId="0" applyNumberFormat="1" applyFont="1" applyFill="1" applyBorder="1"/>
    <x:xf numFmtId="201" fontId="9" fillId="0" borderId="10" xfId="0" applyNumberFormat="1" applyFont="1" applyFill="1" applyBorder="1"/>
    <x:xf numFmtId="201" fontId="9" fillId="0" borderId="13" xfId="0" applyNumberFormat="1" applyFont="1" applyFill="1" applyBorder="1"/>
    <x:xf numFmtId="201" fontId="9" fillId="0" borderId="16" xfId="0" applyNumberFormat="1" applyFont="1" applyFill="1" applyBorder="1"/>
    <x:xf numFmtId="201" fontId="9" fillId="0" borderId="10" xfId="0" applyNumberFormat="1" applyFont="1" applyFill="1" applyBorder="1" applyAlignment="1">
      <x:alignment wrapText="1"/>
    </x:xf>
    <x:xf numFmtId="201" fontId="9" fillId="0" borderId="13" xfId="0" applyNumberFormat="1" applyFont="1" applyFill="1" applyBorder="1" applyAlignment="1">
      <x:alignment wrapText="1"/>
    </x:xf>
    <x:xf numFmtId="201" fontId="9" fillId="0" borderId="16" xfId="0" applyNumberFormat="1" applyFont="1" applyFill="1" applyBorder="1" applyAlignment="1">
      <x:alignment wrapText="1"/>
    </x:xf>
    <x:xf numFmtId="201" fontId="9" fillId="0" borderId="10" xfId="0" applyNumberFormat="1" applyFont="1" applyFill="1" applyBorder="1" applyAlignment="1">
      <x:alignment vertical="center" wrapText="1"/>
    </x:xf>
    <x:xf numFmtId="201" fontId="9" fillId="0" borderId="13" xfId="0" applyNumberFormat="1" applyFont="1" applyFill="1" applyBorder="1" applyAlignment="1">
      <x:alignment vertical="center" wrapText="1"/>
    </x:xf>
    <x:xf numFmtId="201" fontId="9" fillId="0" borderId="16" xfId="0" applyNumberFormat="1" applyFont="1" applyFill="1" applyBorder="1" applyAlignment="1">
      <x:alignment vertical="center" wrapText="1"/>
    </x:xf>
    <x:xf numFmtId="203" fontId="17" fillId="23" borderId="14" xfId="0" applyNumberFormat="1" applyFont="1" applyFill="1" applyBorder="1" applyAlignment="1">
      <x:alignment vertical="center" wrapText="1"/>
    </x:xf>
    <x:xf numFmtId="203" fontId="8" fillId="23" borderId="20" xfId="0" applyNumberFormat="1" applyFont="1" applyFill="1" applyBorder="1" applyAlignment="1">
      <x:alignment vertical="center" wrapText="1"/>
    </x:xf>
    <x:xf numFmtId="207" fontId="8" fillId="23" borderId="22" xfId="0" applyNumberFormat="1" applyFont="1" applyFill="1" applyBorder="1" applyAlignment="1">
      <x:alignment vertical="center" wrapText="1"/>
    </x:xf>
    <x:xf numFmtId="0" fontId="9" fillId="23" borderId="10" xfId="0" applyNumberFormat="1" applyFont="1" applyFill="1" applyBorder="1" applyAlignment="1">
      <x:alignment vertical="center" wrapText="1"/>
    </x:xf>
    <x:xf numFmtId="0" fontId="9" fillId="23" borderId="11" xfId="0" applyNumberFormat="1" applyFont="1" applyFill="1" applyBorder="1" applyAlignment="1">
      <x:alignment vertical="center" wrapText="1"/>
    </x:xf>
    <x:xf numFmtId="203" fontId="9" fillId="23" borderId="11" xfId="0" applyNumberFormat="1" applyFont="1" applyFill="1" applyBorder="1" applyAlignment="1">
      <x:alignment vertical="center" wrapText="1"/>
    </x:xf>
    <x:xf numFmtId="0" fontId="9" fillId="23" borderId="12" xfId="0" applyNumberFormat="1" applyFont="1" applyFill="1" applyBorder="1" applyAlignment="1">
      <x:alignment vertical="center" wrapText="1"/>
    </x:xf>
    <x:xf numFmtId="0" fontId="8" fillId="23" borderId="10" xfId="0" applyNumberFormat="1" applyFont="1" applyFill="1" applyBorder="1" applyAlignment="1">
      <x:alignment vertical="center" wrapText="1"/>
    </x:xf>
    <x:xf numFmtId="0" fontId="8" fillId="23" borderId="11" xfId="0" applyNumberFormat="1" applyFont="1" applyFill="1" applyBorder="1" applyAlignment="1">
      <x:alignment vertical="center" wrapText="1"/>
    </x:xf>
    <x:xf numFmtId="203" fontId="8" fillId="23" borderId="11" xfId="0" applyNumberFormat="1" applyFont="1" applyFill="1" applyBorder="1" applyAlignment="1">
      <x:alignment vertical="center" wrapText="1"/>
    </x:xf>
    <x:xf numFmtId="0" fontId="8" fillId="23" borderId="12" xfId="0" applyNumberFormat="1" applyFont="1" applyFill="1" applyBorder="1" applyAlignment="1">
      <x:alignment vertical="center" wrapText="1"/>
    </x:xf>
    <x:xf numFmtId="0" fontId="0" fillId="0" borderId="1" xfId="0" applyNumberFormat="1" applyFont="1" applyFill="1" applyBorder="1"/>
    <x:xf numFmtId="0" fontId="0" fillId="0" borderId="1" xfId="0" applyNumberFormat="1" applyFont="1" applyFill="1" applyBorder="1" applyAlignment="1">
      <x:alignment vertical="center"/>
    </x:xf>
    <x:xf numFmtId="0" fontId="0" fillId="28" borderId="1" xfId="0" applyNumberFormat="1" applyFont="1" applyFill="1" applyBorder="1" applyAlignment="1">
      <x:alignment vertical="center"/>
    </x:xf>
    <x:xf numFmtId="0" fontId="8" fillId="28" borderId="1" xfId="0" applyNumberFormat="1" applyFont="1" applyFill="1" applyBorder="1" applyAlignment="1">
      <x:alignment vertical="center"/>
    </x:xf>
    <x:xf numFmtId="0" fontId="8" fillId="28" borderId="1" xfId="0" applyNumberFormat="1" applyFont="1" applyFill="1" applyBorder="1" applyAlignment="1">
      <x:alignment horizontal="center" vertical="center"/>
    </x:xf>
    <x:xf numFmtId="0" fontId="12" fillId="0" borderId="1" xfId="0" applyNumberFormat="1" applyFont="1" applyFill="1" applyBorder="1" applyAlignment="1">
      <x:alignment vertical="center"/>
    </x:xf>
    <x:xf numFmtId="0" fontId="18" fillId="28" borderId="1" xfId="0" applyNumberFormat="1" applyFont="1" applyFill="1" applyBorder="1" applyAlignment="1">
      <x:alignment horizontal="center" vertical="center"/>
    </x:xf>
    <x:xf numFmtId="207" fontId="12" fillId="0" borderId="1" xfId="0" applyNumberFormat="1" applyFont="1" applyFill="1" applyBorder="1" applyAlignment="1">
      <x:alignment vertical="center"/>
    </x:xf>
    <x:xf numFmtId="207" fontId="18" fillId="28" borderId="1" xfId="0" applyNumberFormat="1" applyFont="1" applyFill="1" applyBorder="1" applyAlignment="1">
      <x:alignment horizontal="center" vertical="center"/>
    </x:xf>
    <x:xf numFmtId="203" fontId="12" fillId="0" borderId="1" xfId="0" applyNumberFormat="1" applyFont="1" applyFill="1" applyBorder="1" applyAlignment="1">
      <x:alignment vertical="center"/>
    </x:xf>
    <x:xf numFmtId="201" fontId="12" fillId="0" borderId="1" xfId="0" applyNumberFormat="1" applyFont="1" applyFill="1" applyBorder="1" applyAlignment="1">
      <x:alignment vertical="center"/>
    </x:xf>
    <x:xf numFmtId="214" fontId="12" fillId="0" borderId="1" xfId="0" applyNumberFormat="1" applyFont="1" applyFill="1" applyBorder="1" applyAlignment="1">
      <x:alignment vertical="center"/>
    </x:xf>
    <x:xf numFmtId="0" fontId="7" fillId="26" borderId="0" xfId="0" applyNumberFormat="1" applyFont="1" applyFill="1" applyBorder="1"/>
    <x:xf numFmtId="0" fontId="7" fillId="26" borderId="2" xfId="0" applyNumberFormat="1" applyFont="1" applyFill="1" applyBorder="1"/>
    <x:xf numFmtId="0" fontId="7" fillId="26" borderId="3" xfId="0" applyNumberFormat="1" applyFont="1" applyFill="1" applyBorder="1"/>
    <x:xf numFmtId="0" fontId="7" fillId="26" borderId="4" xfId="0" applyNumberFormat="1" applyFont="1" applyFill="1" applyBorder="1"/>
    <x:xf numFmtId="0" fontId="7" fillId="26" borderId="5" xfId="0" applyNumberFormat="1" applyFont="1" applyFill="1" applyBorder="1"/>
    <x:xf numFmtId="0" fontId="7" fillId="26" xfId="0" applyNumberFormat="1" applyFont="1" applyFill="1" applyBorder="0"/>
    <x:xf numFmtId="0" fontId="7" fillId="26" borderId="6" xfId="0" applyNumberFormat="1" applyFont="1" applyFill="1" applyBorder="1"/>
    <x:xf numFmtId="0" fontId="7" fillId="26" borderId="7" xfId="0" applyNumberFormat="1" applyFont="1" applyFill="1" applyBorder="1"/>
    <x:xf numFmtId="0" fontId="7" fillId="26" borderId="8" xfId="0" applyNumberFormat="1" applyFont="1" applyFill="1" applyBorder="1"/>
    <x:xf numFmtId="0" fontId="7" fillId="26" borderId="9" xfId="0" applyNumberFormat="1" applyFont="1" applyFill="1" applyBorder="1"/>
    <x:xf numFmtId="0" fontId="7" fillId="26" borderId="2" xfId="0" applyNumberFormat="1" applyFont="1" applyFill="1" applyBorder="1" applyAlignment="1">
      <x:alignment wrapText="1"/>
    </x:xf>
    <x:xf numFmtId="0" fontId="7" fillId="26" borderId="3" xfId="0" applyNumberFormat="1" applyFont="1" applyFill="1" applyBorder="1" applyAlignment="1">
      <x:alignment wrapText="1"/>
    </x:xf>
    <x:xf numFmtId="0" fontId="7" fillId="26" borderId="4" xfId="0" applyNumberFormat="1" applyFont="1" applyFill="1" applyBorder="1" applyAlignment="1">
      <x:alignment wrapText="1"/>
    </x:xf>
    <x:xf numFmtId="0" fontId="7" fillId="26" borderId="5" xfId="0" applyNumberFormat="1" applyFont="1" applyFill="1" applyBorder="1" applyAlignment="1">
      <x:alignment wrapText="1"/>
    </x:xf>
    <x:xf numFmtId="0" fontId="7" fillId="26" xfId="0" applyNumberFormat="1" applyFont="1" applyFill="1" applyBorder="0" applyAlignment="1">
      <x:alignment wrapText="1"/>
    </x:xf>
    <x:xf numFmtId="0" fontId="7" fillId="26" borderId="6" xfId="0" applyNumberFormat="1" applyFont="1" applyFill="1" applyBorder="1" applyAlignment="1">
      <x:alignment wrapText="1"/>
    </x:xf>
    <x:xf numFmtId="0" fontId="7" fillId="26" borderId="7" xfId="0" applyNumberFormat="1" applyFont="1" applyFill="1" applyBorder="1" applyAlignment="1">
      <x:alignment wrapText="1"/>
    </x:xf>
    <x:xf numFmtId="0" fontId="7" fillId="26" borderId="8" xfId="0" applyNumberFormat="1" applyFont="1" applyFill="1" applyBorder="1" applyAlignment="1">
      <x:alignment wrapText="1"/>
    </x:xf>
    <x:xf numFmtId="0" fontId="7" fillId="26" borderId="9" xfId="0" applyNumberFormat="1" applyFont="1" applyFill="1" applyBorder="1" applyAlignment="1">
      <x:alignment wrapText="1"/>
    </x:xf>
    <x:xf numFmtId="0" fontId="7" fillId="26" borderId="2" xfId="0" applyNumberFormat="1" applyFont="1" applyFill="1" applyBorder="1" applyAlignment="1">
      <x:alignment vertical="top" wrapText="1"/>
    </x:xf>
    <x:xf numFmtId="0" fontId="7" fillId="26" borderId="3" xfId="0" applyNumberFormat="1" applyFont="1" applyFill="1" applyBorder="1" applyAlignment="1">
      <x:alignment vertical="top" wrapText="1"/>
    </x:xf>
    <x:xf numFmtId="0" fontId="7" fillId="26" borderId="4" xfId="0" applyNumberFormat="1" applyFont="1" applyFill="1" applyBorder="1" applyAlignment="1">
      <x:alignment vertical="top" wrapText="1"/>
    </x:xf>
    <x:xf numFmtId="0" fontId="7" fillId="26" borderId="5" xfId="0" applyNumberFormat="1" applyFont="1" applyFill="1" applyBorder="1" applyAlignment="1">
      <x:alignment vertical="top" wrapText="1"/>
    </x:xf>
    <x:xf numFmtId="0" fontId="7" fillId="26" xfId="0" applyNumberFormat="1" applyFont="1" applyFill="1" applyBorder="0" applyAlignment="1">
      <x:alignment vertical="top" wrapText="1"/>
    </x:xf>
    <x:xf numFmtId="0" fontId="7" fillId="26" borderId="6" xfId="0" applyNumberFormat="1" applyFont="1" applyFill="1" applyBorder="1" applyAlignment="1">
      <x:alignment vertical="top" wrapText="1"/>
    </x:xf>
    <x:xf numFmtId="0" fontId="7" fillId="26" borderId="7" xfId="0" applyNumberFormat="1" applyFont="1" applyFill="1" applyBorder="1" applyAlignment="1">
      <x:alignment vertical="top" wrapText="1"/>
    </x:xf>
    <x:xf numFmtId="0" fontId="7" fillId="26" borderId="8" xfId="0" applyNumberFormat="1" applyFont="1" applyFill="1" applyBorder="1" applyAlignment="1">
      <x:alignment vertical="top" wrapText="1"/>
    </x:xf>
    <x:xf numFmtId="0" fontId="7" fillId="26" borderId="9" xfId="0" applyNumberFormat="1" applyFont="1" applyFill="1" applyBorder="1" applyAlignment="1">
      <x:alignment vertical="top" wrapText="1"/>
    </x:xf>
    <x:xf numFmtId="0" fontId="19" fillId="23" borderId="0" xfId="0" applyNumberFormat="1" applyFont="1" applyFill="1" applyBorder="1"/>
    <x:xf numFmtId="0" fontId="19" fillId="23" borderId="30" xfId="0" applyNumberFormat="1" applyFont="1" applyFill="1" applyBorder="1"/>
    <x:xf numFmtId="0" fontId="19" fillId="23" borderId="31" xfId="0" applyNumberFormat="1" applyFont="1" applyFill="1" applyBorder="1"/>
    <x:xf numFmtId="0" fontId="19" fillId="23" borderId="32" xfId="0" applyNumberFormat="1" applyFont="1" applyFill="1" applyBorder="1"/>
    <x:xf numFmtId="0" fontId="19" fillId="23" borderId="33" xfId="0" applyNumberFormat="1" applyFont="1" applyFill="1" applyBorder="1"/>
    <x:xf numFmtId="0" fontId="19" fillId="23" borderId="34" xfId="0" applyNumberFormat="1" applyFont="1" applyFill="1" applyBorder="1"/>
    <x:xf numFmtId="0" fontId="19" fillId="23" borderId="35" xfId="0" applyNumberFormat="1" applyFont="1" applyFill="1" applyBorder="1"/>
    <x:xf numFmtId="0" fontId="19" fillId="23" borderId="30" xfId="0" applyNumberFormat="1" applyFont="1" applyFill="1" applyBorder="1" applyAlignment="1">
      <x:alignment wrapText="1"/>
    </x:xf>
    <x:xf numFmtId="0" fontId="19" fillId="23" borderId="31" xfId="0" applyNumberFormat="1" applyFont="1" applyFill="1" applyBorder="1" applyAlignment="1">
      <x:alignment wrapText="1"/>
    </x:xf>
    <x:xf numFmtId="0" fontId="19" fillId="23" borderId="32" xfId="0" applyNumberFormat="1" applyFont="1" applyFill="1" applyBorder="1" applyAlignment="1">
      <x:alignment wrapText="1"/>
    </x:xf>
    <x:xf numFmtId="0" fontId="19" fillId="23" borderId="33" xfId="0" applyNumberFormat="1" applyFont="1" applyFill="1" applyBorder="1" applyAlignment="1">
      <x:alignment wrapText="1"/>
    </x:xf>
    <x:xf numFmtId="0" fontId="19" fillId="23" borderId="34" xfId="0" applyNumberFormat="1" applyFont="1" applyFill="1" applyBorder="1" applyAlignment="1">
      <x:alignment wrapText="1"/>
    </x:xf>
    <x:xf numFmtId="0" fontId="19" fillId="23" borderId="35" xfId="0" applyNumberFormat="1" applyFont="1" applyFill="1" applyBorder="1" applyAlignment="1">
      <x:alignment wrapText="1"/>
    </x:xf>
    <x:xf numFmtId="0" fontId="19" fillId="23" borderId="30" xfId="0" applyNumberFormat="1" applyFont="1" applyFill="1" applyBorder="1" applyAlignment="1">
      <x:alignment horizontal="center" wrapText="1"/>
    </x:xf>
    <x:xf numFmtId="0" fontId="19" fillId="23" borderId="31" xfId="0" applyNumberFormat="1" applyFont="1" applyFill="1" applyBorder="1" applyAlignment="1">
      <x:alignment horizontal="center" wrapText="1"/>
    </x:xf>
    <x:xf numFmtId="0" fontId="19" fillId="23" borderId="32" xfId="0" applyNumberFormat="1" applyFont="1" applyFill="1" applyBorder="1" applyAlignment="1">
      <x:alignment horizontal="center" wrapText="1"/>
    </x:xf>
    <x:xf numFmtId="0" fontId="19" fillId="23" borderId="33" xfId="0" applyNumberFormat="1" applyFont="1" applyFill="1" applyBorder="1" applyAlignment="1">
      <x:alignment horizontal="center" wrapText="1"/>
    </x:xf>
    <x:xf numFmtId="0" fontId="19" fillId="23" borderId="34" xfId="0" applyNumberFormat="1" applyFont="1" applyFill="1" applyBorder="1" applyAlignment="1">
      <x:alignment horizontal="center" wrapText="1"/>
    </x:xf>
    <x:xf numFmtId="0" fontId="19" fillId="23" borderId="35" xfId="0" applyNumberFormat="1" applyFont="1" applyFill="1" applyBorder="1" applyAlignment="1">
      <x:alignment horizontal="center" wrapText="1"/>
    </x:xf>
    <x:xf numFmtId="0" fontId="19" fillId="23" borderId="30" xfId="0" applyNumberFormat="1" applyFont="1" applyFill="1" applyBorder="1" applyAlignment="1">
      <x:alignment horizontal="center" vertical="center" wrapText="1"/>
    </x:xf>
    <x:xf numFmtId="0" fontId="19" fillId="23" borderId="31" xfId="0" applyNumberFormat="1" applyFont="1" applyFill="1" applyBorder="1" applyAlignment="1">
      <x:alignment horizontal="center" vertical="center" wrapText="1"/>
    </x:xf>
    <x:xf numFmtId="0" fontId="19" fillId="23" borderId="32" xfId="0" applyNumberFormat="1" applyFont="1" applyFill="1" applyBorder="1" applyAlignment="1">
      <x:alignment horizontal="center" vertical="center" wrapText="1"/>
    </x:xf>
    <x:xf numFmtId="0" fontId="19" fillId="23" borderId="33" xfId="0" applyNumberFormat="1" applyFont="1" applyFill="1" applyBorder="1" applyAlignment="1">
      <x:alignment horizontal="center" vertical="center" wrapText="1"/>
    </x:xf>
    <x:xf numFmtId="0" fontId="19" fillId="23" borderId="34" xfId="0" applyNumberFormat="1" applyFont="1" applyFill="1" applyBorder="1" applyAlignment="1">
      <x:alignment horizontal="center" vertical="center" wrapText="1"/>
    </x:xf>
    <x:xf numFmtId="0" fontId="19" fillId="23" borderId="35" xfId="0" applyNumberFormat="1" applyFont="1" applyFill="1" applyBorder="1" applyAlignment="1">
      <x:alignment horizontal="center" vertical="center" wrapText="1"/>
    </x:xf>
    <x:xf numFmtId="0" fontId="8" fillId="28" borderId="1" xfId="0" applyNumberFormat="1" applyFont="1" applyFill="1" applyBorder="1" applyAlignment="1">
      <x:alignment horizontal="center"/>
    </x:xf>
    <x:xf numFmtId="0" fontId="0" fillId="32" borderId="0" xfId="0" applyNumberFormat="1" applyFont="1" applyFill="1" applyBorder="1"/>
    <x:xf numFmtId="0" fontId="20" fillId="32" borderId="0" xfId="0" applyNumberFormat="1" applyFont="1" applyFill="1" applyBorder="1"/>
    <x:xf numFmtId="0" fontId="20" fillId="32" borderId="1" xfId="0" applyNumberFormat="1" applyFont="1" applyFill="1" applyBorder="1"/>
    <x:xf numFmtId="0" fontId="20" fillId="32" borderId="1" xfId="0" applyNumberFormat="1" applyFont="1" applyFill="1" applyBorder="1" applyAlignment="1">
      <x:alignment horizontal="center"/>
    </x:xf>
    <x:xf numFmtId="0" fontId="20" fillId="32" borderId="1" xfId="0" applyNumberFormat="1" applyFont="1" applyFill="1" applyBorder="1" applyAlignment="1">
      <x:alignment horizontal="center" vertical="center"/>
    </x:xf>
    <x:xf numFmtId="0" fontId="18" fillId="32" borderId="1" xfId="0" applyNumberFormat="1" applyFont="1" applyFill="1" applyBorder="1" applyAlignment="1">
      <x:alignment horizontal="center" vertical="center"/>
    </x:xf>
    <x:xf numFmtId="207" fontId="18" fillId="32" borderId="1" xfId="0" applyNumberFormat="1" applyFont="1" applyFill="1" applyBorder="1" applyAlignment="1">
      <x:alignment horizontal="center" vertical="center"/>
    </x:xf>
    <x:xf numFmtId="203" fontId="18" fillId="32" borderId="1" xfId="0" applyNumberFormat="1" applyFont="1" applyFill="1" applyBorder="1" applyAlignment="1">
      <x:alignment horizontal="center" vertical="center"/>
    </x:xf>
    <x:xf numFmtId="201" fontId="18" fillId="32" borderId="1" xfId="0" applyNumberFormat="1" applyFont="1" applyFill="1" applyBorder="1" applyAlignment="1">
      <x:alignment horizontal="center" vertical="center"/>
    </x:xf>
    <x:xf numFmtId="207" fontId="12" fillId="0" borderId="26" xfId="0" applyNumberFormat="1" applyFont="1" applyFill="1" applyBorder="1" applyAlignment="1">
      <x:alignment vertical="center" wrapText="1"/>
    </x:xf>
    <x:xf numFmtId="201" fontId="12" fillId="0" borderId="26" xfId="0" applyNumberFormat="1" applyFont="1" applyFill="1" applyBorder="1" applyAlignment="1">
      <x:alignment vertical="center" wrapText="1"/>
    </x:xf>
    <x:xf numFmtId="205" fontId="12" fillId="0" borderId="26" xfId="0" applyNumberFormat="1" applyFont="1" applyFill="1" applyBorder="1" applyAlignment="1">
      <x:alignment vertical="center" wrapText="1"/>
    </x:xf>
    <x:xf numFmtId="203" fontId="12" fillId="0" borderId="26" xfId="0" applyNumberFormat="1" applyFont="1" applyFill="1" applyBorder="1" applyAlignment="1">
      <x:alignment vertical="center" wrapText="1"/>
    </x:xf>
    <x:xf numFmtId="0" fontId="12" fillId="0" borderId="0" xfId="0" applyNumberFormat="1" applyFont="1" applyFill="1" applyBorder="1"/>
    <x:xf numFmtId="205" fontId="12" fillId="0" borderId="0" xfId="0" applyNumberFormat="1" applyFont="1" applyFill="1" applyBorder="1"/>
    <x:xf numFmtId="207" fontId="12" fillId="0" borderId="0" xfId="0" applyNumberFormat="1" applyFont="1" applyFill="1" applyBorder="1"/>
    <x:xf numFmtId="203" fontId="12" fillId="0" borderId="0" xfId="0" applyNumberFormat="1" applyFont="1" applyFill="1" applyBorder="1"/>
    <x:xf numFmtId="205" fontId="9" fillId="0" borderId="0" xfId="0" applyNumberFormat="1" applyFont="1" applyFill="1" applyBorder="1"/>
    <x:xf numFmtId="205" fontId="9" fillId="0" borderId="11" xfId="0" applyNumberFormat="1" applyFont="1" applyFill="1" applyBorder="1"/>
    <x:xf numFmtId="205" fontId="9" fillId="0" borderId="12" xfId="0" applyNumberFormat="1" applyFont="1" applyFill="1" applyBorder="1"/>
    <x:xf numFmtId="205" fontId="9" fillId="0" borderId="14" xfId="0" applyNumberFormat="1" applyFont="1" applyFill="1" applyBorder="1"/>
    <x:xf numFmtId="205" fontId="9" fillId="0" borderId="15" xfId="0" applyNumberFormat="1" applyFont="1" applyFill="1" applyBorder="1"/>
    <x:xf numFmtId="205" fontId="9" fillId="0" borderId="17" xfId="0" applyNumberFormat="1" applyFont="1" applyFill="1" applyBorder="1"/>
    <x:xf numFmtId="205" fontId="9" fillId="0" borderId="18" xfId="0" applyNumberFormat="1" applyFont="1" applyFill="1" applyBorder="1"/>
    <x:xf numFmtId="205" fontId="9" fillId="0" borderId="11" xfId="0" applyNumberFormat="1" applyFont="1" applyFill="1" applyBorder="1" applyAlignment="1">
      <x:alignment wrapText="1"/>
    </x:xf>
    <x:xf numFmtId="205" fontId="9" fillId="0" borderId="12" xfId="0" applyNumberFormat="1" applyFont="1" applyFill="1" applyBorder="1" applyAlignment="1">
      <x:alignment wrapText="1"/>
    </x:xf>
    <x:xf numFmtId="205" fontId="9" fillId="0" borderId="14" xfId="0" applyNumberFormat="1" applyFont="1" applyFill="1" applyBorder="1" applyAlignment="1">
      <x:alignment wrapText="1"/>
    </x:xf>
    <x:xf numFmtId="205" fontId="9" fillId="0" borderId="15" xfId="0" applyNumberFormat="1" applyFont="1" applyFill="1" applyBorder="1" applyAlignment="1">
      <x:alignment wrapText="1"/>
    </x:xf>
    <x:xf numFmtId="205" fontId="9" fillId="0" borderId="17" xfId="0" applyNumberFormat="1" applyFont="1" applyFill="1" applyBorder="1" applyAlignment="1">
      <x:alignment wrapText="1"/>
    </x:xf>
    <x:xf numFmtId="205" fontId="9" fillId="0" borderId="18" xfId="0" applyNumberFormat="1" applyFont="1" applyFill="1" applyBorder="1" applyAlignment="1">
      <x:alignment wrapText="1"/>
    </x:xf>
    <x:xf numFmtId="205" fontId="9" fillId="0" borderId="12" xfId="0" applyNumberFormat="1" applyFont="1" applyFill="1" applyBorder="1" applyAlignment="1">
      <x:alignment vertical="center" wrapText="1"/>
    </x:xf>
    <x:xf numFmtId="205" fontId="9" fillId="0" borderId="15" xfId="0" applyNumberFormat="1" applyFont="1" applyFill="1" applyBorder="1" applyAlignment="1">
      <x:alignment vertical="center" wrapText="1"/>
    </x:xf>
    <x:xf numFmtId="205" fontId="9" fillId="0" borderId="18" xfId="0" applyNumberFormat="1" applyFont="1" applyFill="1" applyBorder="1" applyAlignment="1">
      <x:alignment vertical="center" wrapText="1"/>
    </x:xf>
    <x:xf numFmtId="207" fontId="9" fillId="0" borderId="0" xfId="0" applyNumberFormat="1" applyFont="1" applyFill="1" applyBorder="1"/>
    <x:xf numFmtId="207" fontId="9" fillId="0" borderId="11" xfId="0" applyNumberFormat="1" applyFont="1" applyFill="1" applyBorder="1"/>
    <x:xf numFmtId="207" fontId="9" fillId="0" borderId="12" xfId="0" applyNumberFormat="1" applyFont="1" applyFill="1" applyBorder="1"/>
    <x:xf numFmtId="207" fontId="9" fillId="0" borderId="14" xfId="0" applyNumberFormat="1" applyFont="1" applyFill="1" applyBorder="1"/>
    <x:xf numFmtId="207" fontId="9" fillId="0" borderId="15" xfId="0" applyNumberFormat="1" applyFont="1" applyFill="1" applyBorder="1"/>
    <x:xf numFmtId="207" fontId="9" fillId="0" borderId="17" xfId="0" applyNumberFormat="1" applyFont="1" applyFill="1" applyBorder="1"/>
    <x:xf numFmtId="207" fontId="9" fillId="0" borderId="18" xfId="0" applyNumberFormat="1" applyFont="1" applyFill="1" applyBorder="1"/>
    <x:xf numFmtId="207" fontId="9" fillId="0" borderId="11" xfId="0" applyNumberFormat="1" applyFont="1" applyFill="1" applyBorder="1" applyAlignment="1">
      <x:alignment wrapText="1"/>
    </x:xf>
    <x:xf numFmtId="207" fontId="9" fillId="0" borderId="12" xfId="0" applyNumberFormat="1" applyFont="1" applyFill="1" applyBorder="1" applyAlignment="1">
      <x:alignment wrapText="1"/>
    </x:xf>
    <x:xf numFmtId="207" fontId="9" fillId="0" borderId="14" xfId="0" applyNumberFormat="1" applyFont="1" applyFill="1" applyBorder="1" applyAlignment="1">
      <x:alignment wrapText="1"/>
    </x:xf>
    <x:xf numFmtId="207" fontId="9" fillId="0" borderId="15" xfId="0" applyNumberFormat="1" applyFont="1" applyFill="1" applyBorder="1" applyAlignment="1">
      <x:alignment wrapText="1"/>
    </x:xf>
    <x:xf numFmtId="207" fontId="9" fillId="0" borderId="17" xfId="0" applyNumberFormat="1" applyFont="1" applyFill="1" applyBorder="1" applyAlignment="1">
      <x:alignment wrapText="1"/>
    </x:xf>
    <x:xf numFmtId="207" fontId="9" fillId="0" borderId="18" xfId="0" applyNumberFormat="1" applyFont="1" applyFill="1" applyBorder="1" applyAlignment="1">
      <x:alignment wrapText="1"/>
    </x:xf>
    <x:xf numFmtId="207" fontId="9" fillId="0" borderId="12" xfId="0" applyNumberFormat="1" applyFont="1" applyFill="1" applyBorder="1" applyAlignment="1">
      <x:alignment vertical="center" wrapText="1"/>
    </x:xf>
    <x:xf numFmtId="207" fontId="9" fillId="0" borderId="15" xfId="0" applyNumberFormat="1" applyFont="1" applyFill="1" applyBorder="1" applyAlignment="1">
      <x:alignment vertical="center" wrapText="1"/>
    </x:xf>
    <x:xf numFmtId="207" fontId="9" fillId="0" borderId="18" xfId="0" applyNumberFormat="1" applyFont="1" applyFill="1" applyBorder="1" applyAlignment="1">
      <x:alignment vertical="center" wrapText="1"/>
    </x:xf>
    <x:xf numFmtId="203" fontId="9" fillId="0" borderId="0" xfId="0" applyNumberFormat="1" applyFont="1" applyFill="1" applyBorder="1"/>
    <x:xf numFmtId="203" fontId="9" fillId="0" borderId="12" xfId="0" applyNumberFormat="1" applyFont="1" applyFill="1" applyBorder="1"/>
    <x:xf numFmtId="203" fontId="9" fillId="0" borderId="15" xfId="0" applyNumberFormat="1" applyFont="1" applyFill="1" applyBorder="1"/>
    <x:xf numFmtId="203" fontId="9" fillId="0" borderId="18" xfId="0" applyNumberFormat="1" applyFont="1" applyFill="1" applyBorder="1"/>
    <x:xf numFmtId="203" fontId="9" fillId="0" borderId="12" xfId="0" applyNumberFormat="1" applyFont="1" applyFill="1" applyBorder="1" applyAlignment="1">
      <x:alignment wrapText="1"/>
    </x:xf>
    <x:xf numFmtId="203" fontId="9" fillId="0" borderId="15" xfId="0" applyNumberFormat="1" applyFont="1" applyFill="1" applyBorder="1" applyAlignment="1">
      <x:alignment wrapText="1"/>
    </x:xf>
    <x:xf numFmtId="203" fontId="9" fillId="0" borderId="18" xfId="0" applyNumberFormat="1" applyFont="1" applyFill="1" applyBorder="1" applyAlignment="1">
      <x:alignment wrapText="1"/>
    </x:xf>
    <x:xf numFmtId="203" fontId="9" fillId="0" borderId="12" xfId="0" applyNumberFormat="1" applyFont="1" applyFill="1" applyBorder="1" applyAlignment="1">
      <x:alignment vertical="center" wrapText="1"/>
    </x:xf>
    <x:xf numFmtId="203" fontId="9" fillId="0" borderId="15" xfId="0" applyNumberFormat="1" applyFont="1" applyFill="1" applyBorder="1" applyAlignment="1">
      <x:alignment vertical="center" wrapText="1"/>
    </x:xf>
    <x:xf numFmtId="203" fontId="9" fillId="0" borderId="18" xfId="0" applyNumberFormat="1" applyFont="1" applyFill="1" applyBorder="1" applyAlignment="1">
      <x:alignment vertical="center" wrapText="1"/>
    </x:xf>
    <x:xf numFmtId="0" fontId="21" fillId="26" borderId="0" xfId="0" applyNumberFormat="1" applyFont="1" applyFill="1" applyBorder="1"/>
    <x:xf numFmtId="0" fontId="21" fillId="26" borderId="36" xfId="0" applyNumberFormat="1" applyFont="1" applyFill="1" applyBorder="1"/>
    <x:xf numFmtId="0" fontId="21" fillId="26" borderId="37" xfId="0" applyNumberFormat="1" applyFont="1" applyFill="1" applyBorder="1"/>
    <x:xf numFmtId="0" fontId="21" fillId="26" borderId="38" xfId="0" applyNumberFormat="1" applyFont="1" applyFill="1" applyBorder="1"/>
    <x:xf numFmtId="0" fontId="21" fillId="26" borderId="39" xfId="0" applyNumberFormat="1" applyFont="1" applyFill="1" applyBorder="1"/>
    <x:xf numFmtId="0" fontId="21" fillId="26" xfId="0" applyNumberFormat="1" applyFont="1" applyFill="1" applyBorder="0"/>
    <x:xf numFmtId="0" fontId="21" fillId="26" borderId="40" xfId="0" applyNumberFormat="1" applyFont="1" applyFill="1" applyBorder="1"/>
    <x:xf numFmtId="0" fontId="21" fillId="26" borderId="41" xfId="0" applyNumberFormat="1" applyFont="1" applyFill="1" applyBorder="1"/>
    <x:xf numFmtId="0" fontId="21" fillId="26" borderId="42" xfId="0" applyNumberFormat="1" applyFont="1" applyFill="1" applyBorder="1"/>
    <x:xf numFmtId="0" fontId="21" fillId="26" borderId="43" xfId="0" applyNumberFormat="1" applyFont="1" applyFill="1" applyBorder="1"/>
    <x:xf numFmtId="0" fontId="21" fillId="26" borderId="36" xfId="0" applyNumberFormat="1" applyFont="1" applyFill="1" applyBorder="1" applyAlignment="1">
      <x:alignment wrapText="1"/>
    </x:xf>
    <x:xf numFmtId="0" fontId="21" fillId="26" borderId="37" xfId="0" applyNumberFormat="1" applyFont="1" applyFill="1" applyBorder="1" applyAlignment="1">
      <x:alignment wrapText="1"/>
    </x:xf>
    <x:xf numFmtId="0" fontId="21" fillId="26" borderId="38" xfId="0" applyNumberFormat="1" applyFont="1" applyFill="1" applyBorder="1" applyAlignment="1">
      <x:alignment wrapText="1"/>
    </x:xf>
    <x:xf numFmtId="0" fontId="21" fillId="26" borderId="39" xfId="0" applyNumberFormat="1" applyFont="1" applyFill="1" applyBorder="1" applyAlignment="1">
      <x:alignment wrapText="1"/>
    </x:xf>
    <x:xf numFmtId="0" fontId="21" fillId="26" xfId="0" applyNumberFormat="1" applyFont="1" applyFill="1" applyBorder="0" applyAlignment="1">
      <x:alignment wrapText="1"/>
    </x:xf>
    <x:xf numFmtId="0" fontId="21" fillId="26" borderId="40" xfId="0" applyNumberFormat="1" applyFont="1" applyFill="1" applyBorder="1" applyAlignment="1">
      <x:alignment wrapText="1"/>
    </x:xf>
    <x:xf numFmtId="0" fontId="21" fillId="26" borderId="41" xfId="0" applyNumberFormat="1" applyFont="1" applyFill="1" applyBorder="1" applyAlignment="1">
      <x:alignment wrapText="1"/>
    </x:xf>
    <x:xf numFmtId="0" fontId="21" fillId="26" borderId="42" xfId="0" applyNumberFormat="1" applyFont="1" applyFill="1" applyBorder="1" applyAlignment="1">
      <x:alignment wrapText="1"/>
    </x:xf>
    <x:xf numFmtId="0" fontId="21" fillId="26" borderId="43" xfId="0" applyNumberFormat="1" applyFont="1" applyFill="1" applyBorder="1" applyAlignment="1">
      <x:alignment wrapText="1"/>
    </x:xf>
    <x:xf numFmtId="0" fontId="21" fillId="26" borderId="36" xfId="0" applyNumberFormat="1" applyFont="1" applyFill="1" applyBorder="1" applyAlignment="1">
      <x:alignment vertical="top" wrapText="1"/>
    </x:xf>
    <x:xf numFmtId="0" fontId="21" fillId="26" borderId="37" xfId="0" applyNumberFormat="1" applyFont="1" applyFill="1" applyBorder="1" applyAlignment="1">
      <x:alignment vertical="top" wrapText="1"/>
    </x:xf>
    <x:xf numFmtId="0" fontId="21" fillId="26" borderId="38" xfId="0" applyNumberFormat="1" applyFont="1" applyFill="1" applyBorder="1" applyAlignment="1">
      <x:alignment vertical="top" wrapText="1"/>
    </x:xf>
    <x:xf numFmtId="0" fontId="21" fillId="26" borderId="39" xfId="0" applyNumberFormat="1" applyFont="1" applyFill="1" applyBorder="1" applyAlignment="1">
      <x:alignment vertical="top" wrapText="1"/>
    </x:xf>
    <x:xf numFmtId="0" fontId="21" fillId="26" xfId="0" applyNumberFormat="1" applyFont="1" applyFill="1" applyBorder="0" applyAlignment="1">
      <x:alignment vertical="top" wrapText="1"/>
    </x:xf>
    <x:xf numFmtId="0" fontId="21" fillId="26" borderId="40" xfId="0" applyNumberFormat="1" applyFont="1" applyFill="1" applyBorder="1" applyAlignment="1">
      <x:alignment vertical="top" wrapText="1"/>
    </x:xf>
    <x:xf numFmtId="0" fontId="21" fillId="26" borderId="41" xfId="0" applyNumberFormat="1" applyFont="1" applyFill="1" applyBorder="1" applyAlignment="1">
      <x:alignment vertical="top" wrapText="1"/>
    </x:xf>
    <x:xf numFmtId="0" fontId="21" fillId="26" borderId="42" xfId="0" applyNumberFormat="1" applyFont="1" applyFill="1" applyBorder="1" applyAlignment="1">
      <x:alignment vertical="top" wrapText="1"/>
    </x:xf>
    <x:xf numFmtId="0" fontId="21" fillId="26" borderId="43" xfId="0" applyNumberFormat="1" applyFont="1" applyFill="1" applyBorder="1" applyAlignment="1">
      <x:alignment vertical="top" wrapText="1"/>
    </x:xf>
    <x:xf numFmtId="0" fontId="6" fillId="23" borderId="0" xfId="0" applyNumberFormat="1" applyFont="1" applyFill="1" applyBorder="1"/>
    <x:xf numFmtId="0" fontId="6" fillId="23" borderId="30" xfId="0" applyNumberFormat="1" applyFont="1" applyFill="1" applyBorder="1"/>
    <x:xf numFmtId="0" fontId="6" fillId="23" borderId="31" xfId="0" applyNumberFormat="1" applyFont="1" applyFill="1" applyBorder="1"/>
    <x:xf numFmtId="0" fontId="6" fillId="23" borderId="32" xfId="0" applyNumberFormat="1" applyFont="1" applyFill="1" applyBorder="1"/>
    <x:xf numFmtId="0" fontId="6" fillId="23" borderId="44" xfId="0" applyNumberFormat="1" applyFont="1" applyFill="1" applyBorder="1"/>
    <x:xf numFmtId="0" fontId="6" fillId="23" xfId="0" applyNumberFormat="1" applyFont="1" applyFill="1" applyBorder="0"/>
    <x:xf numFmtId="0" fontId="6" fillId="23" borderId="45" xfId="0" applyNumberFormat="1" applyFont="1" applyFill="1" applyBorder="1"/>
    <x:xf numFmtId="0" fontId="6" fillId="23" borderId="33" xfId="0" applyNumberFormat="1" applyFont="1" applyFill="1" applyBorder="1"/>
    <x:xf numFmtId="0" fontId="6" fillId="23" borderId="34" xfId="0" applyNumberFormat="1" applyFont="1" applyFill="1" applyBorder="1"/>
    <x:xf numFmtId="0" fontId="6" fillId="23" borderId="35" xfId="0" applyNumberFormat="1" applyFont="1" applyFill="1" applyBorder="1"/>
    <x:xf numFmtId="0" fontId="6" fillId="23" borderId="30" xfId="0" applyNumberFormat="1" applyFont="1" applyFill="1" applyBorder="1" applyAlignment="1">
      <x:alignment wrapText="1"/>
    </x:xf>
    <x:xf numFmtId="0" fontId="6" fillId="23" borderId="31" xfId="0" applyNumberFormat="1" applyFont="1" applyFill="1" applyBorder="1" applyAlignment="1">
      <x:alignment wrapText="1"/>
    </x:xf>
    <x:xf numFmtId="0" fontId="6" fillId="23" borderId="32" xfId="0" applyNumberFormat="1" applyFont="1" applyFill="1" applyBorder="1" applyAlignment="1">
      <x:alignment wrapText="1"/>
    </x:xf>
    <x:xf numFmtId="0" fontId="6" fillId="23" borderId="44" xfId="0" applyNumberFormat="1" applyFont="1" applyFill="1" applyBorder="1" applyAlignment="1">
      <x:alignment wrapText="1"/>
    </x:xf>
    <x:xf numFmtId="0" fontId="6" fillId="23" xfId="0" applyNumberFormat="1" applyFont="1" applyFill="1" applyBorder="0" applyAlignment="1">
      <x:alignment wrapText="1"/>
    </x:xf>
    <x:xf numFmtId="0" fontId="6" fillId="23" borderId="45" xfId="0" applyNumberFormat="1" applyFont="1" applyFill="1" applyBorder="1" applyAlignment="1">
      <x:alignment wrapText="1"/>
    </x:xf>
    <x:xf numFmtId="0" fontId="6" fillId="23" borderId="33" xfId="0" applyNumberFormat="1" applyFont="1" applyFill="1" applyBorder="1" applyAlignment="1">
      <x:alignment wrapText="1"/>
    </x:xf>
    <x:xf numFmtId="0" fontId="6" fillId="23" borderId="34" xfId="0" applyNumberFormat="1" applyFont="1" applyFill="1" applyBorder="1" applyAlignment="1">
      <x:alignment wrapText="1"/>
    </x:xf>
    <x:xf numFmtId="0" fontId="6" fillId="23" borderId="35" xfId="0" applyNumberFormat="1" applyFont="1" applyFill="1" applyBorder="1" applyAlignment="1">
      <x:alignment wrapText="1"/>
    </x:xf>
    <x:xf numFmtId="0" fontId="6" fillId="23" borderId="30" xfId="0" applyNumberFormat="1" applyFont="1" applyFill="1" applyBorder="1" applyAlignment="1">
      <x:alignment horizontal="center" wrapText="1"/>
    </x:xf>
    <x:xf numFmtId="0" fontId="6" fillId="23" borderId="31" xfId="0" applyNumberFormat="1" applyFont="1" applyFill="1" applyBorder="1" applyAlignment="1">
      <x:alignment horizontal="center" wrapText="1"/>
    </x:xf>
    <x:xf numFmtId="0" fontId="6" fillId="23" borderId="32" xfId="0" applyNumberFormat="1" applyFont="1" applyFill="1" applyBorder="1" applyAlignment="1">
      <x:alignment horizontal="center" wrapText="1"/>
    </x:xf>
    <x:xf numFmtId="0" fontId="6" fillId="23" borderId="44" xfId="0" applyNumberFormat="1" applyFont="1" applyFill="1" applyBorder="1" applyAlignment="1">
      <x:alignment horizontal="center" wrapText="1"/>
    </x:xf>
    <x:xf numFmtId="0" fontId="6" fillId="23" xfId="0" applyNumberFormat="1" applyFont="1" applyFill="1" applyBorder="0" applyAlignment="1">
      <x:alignment horizontal="center" wrapText="1"/>
    </x:xf>
    <x:xf numFmtId="0" fontId="6" fillId="23" borderId="45" xfId="0" applyNumberFormat="1" applyFont="1" applyFill="1" applyBorder="1" applyAlignment="1">
      <x:alignment horizontal="center" wrapText="1"/>
    </x:xf>
    <x:xf numFmtId="0" fontId="6" fillId="23" borderId="33" xfId="0" applyNumberFormat="1" applyFont="1" applyFill="1" applyBorder="1" applyAlignment="1">
      <x:alignment horizontal="center" wrapText="1"/>
    </x:xf>
    <x:xf numFmtId="0" fontId="6" fillId="23" borderId="34" xfId="0" applyNumberFormat="1" applyFont="1" applyFill="1" applyBorder="1" applyAlignment="1">
      <x:alignment horizontal="center" wrapText="1"/>
    </x:xf>
    <x:xf numFmtId="0" fontId="6" fillId="23" borderId="35" xfId="0" applyNumberFormat="1" applyFont="1" applyFill="1" applyBorder="1" applyAlignment="1">
      <x:alignment horizontal="center" wrapText="1"/>
    </x:xf>
    <x:xf numFmtId="0" fontId="6" fillId="23" borderId="30" xfId="0" applyNumberFormat="1" applyFont="1" applyFill="1" applyBorder="1" applyAlignment="1">
      <x:alignment horizontal="center" vertical="center" wrapText="1"/>
    </x:xf>
    <x:xf numFmtId="0" fontId="6" fillId="23" borderId="31" xfId="0" applyNumberFormat="1" applyFont="1" applyFill="1" applyBorder="1" applyAlignment="1">
      <x:alignment horizontal="center" vertical="center" wrapText="1"/>
    </x:xf>
    <x:xf numFmtId="0" fontId="6" fillId="23" borderId="32" xfId="0" applyNumberFormat="1" applyFont="1" applyFill="1" applyBorder="1" applyAlignment="1">
      <x:alignment horizontal="center" vertical="center" wrapText="1"/>
    </x:xf>
    <x:xf numFmtId="0" fontId="6" fillId="23" borderId="44" xfId="0" applyNumberFormat="1" applyFont="1" applyFill="1" applyBorder="1" applyAlignment="1">
      <x:alignment horizontal="center" vertical="center" wrapText="1"/>
    </x:xf>
    <x:xf numFmtId="0" fontId="6" fillId="23" xfId="0" applyNumberFormat="1" applyFont="1" applyFill="1" applyBorder="0" applyAlignment="1">
      <x:alignment horizontal="center" vertical="center" wrapText="1"/>
    </x:xf>
    <x:xf numFmtId="0" fontId="6" fillId="23" borderId="45" xfId="0" applyNumberFormat="1" applyFont="1" applyFill="1" applyBorder="1" applyAlignment="1">
      <x:alignment horizontal="center" vertical="center" wrapText="1"/>
    </x:xf>
    <x:xf numFmtId="0" fontId="6" fillId="23" borderId="33" xfId="0" applyNumberFormat="1" applyFont="1" applyFill="1" applyBorder="1" applyAlignment="1">
      <x:alignment horizontal="center" vertical="center" wrapText="1"/>
    </x:xf>
    <x:xf numFmtId="0" fontId="6" fillId="23" borderId="34" xfId="0" applyNumberFormat="1" applyFont="1" applyFill="1" applyBorder="1" applyAlignment="1">
      <x:alignment horizontal="center" vertical="center" wrapText="1"/>
    </x:xf>
    <x:xf numFmtId="0" fontId="6" fillId="23" borderId="35" xfId="0" applyNumberFormat="1" applyFont="1" applyFill="1" applyBorder="1" applyAlignment="1">
      <x:alignment horizontal="center" vertical="center" wrapText="1"/>
    </x:xf>
    <x:xf numFmtId="0" fontId="0" fillId="33" borderId="0" xfId="0" applyNumberFormat="1" applyFont="1" applyFill="1" applyBorder="1"/>
    <x:xf numFmtId="0" fontId="22" fillId="33" borderId="0" xfId="0" applyNumberFormat="1" applyFont="1" applyFill="1" applyBorder="1"/>
    <x:xf numFmtId="0" fontId="22" fillId="33" borderId="0" xfId="0" applyNumberFormat="1" applyFont="1" applyFill="1" applyBorder="1" applyAlignment="1">
      <x:alignment horizontal="left"/>
    </x:xf>
    <x:xf numFmtId="0" fontId="22" fillId="33" borderId="0" xfId="0" applyNumberFormat="1" applyFont="1" applyFill="1" applyBorder="1" applyAlignment="1">
      <x:alignment horizontal="left" vertical="center"/>
    </x:xf>
    <x:xf numFmtId="0" fontId="0" fillId="34" borderId="0" xfId="0" applyNumberFormat="1" applyFont="1" applyFill="1" applyBorder="1"/>
    <x:xf numFmtId="0" fontId="2" fillId="34" borderId="0" xfId="0" applyNumberFormat="1" applyFont="1" applyFill="1" applyBorder="1"/>
    <x:xf numFmtId="0" fontId="2" fillId="34" borderId="0" xfId="0" applyNumberFormat="1" applyFont="1" applyFill="1" applyBorder="1" applyAlignment="1">
      <x:alignment wrapText="1"/>
    </x:xf>
    <x:xf numFmtId="0" fontId="2" fillId="34" borderId="0" xfId="0" applyNumberFormat="1" applyFont="1" applyFill="1" applyBorder="1" applyAlignment="1">
      <x:alignment vertical="center" wrapText="1"/>
    </x:xf>
    <x:xf numFmtId="0" fontId="0" fillId="35" borderId="0" xfId="0" applyNumberFormat="1" applyFont="1" applyFill="1" applyBorder="1"/>
    <x:xf numFmtId="0" fontId="23" fillId="35" borderId="0" xfId="0" applyNumberFormat="1" applyFont="1" applyFill="1" applyBorder="1"/>
    <x:xf numFmtId="0" fontId="23" fillId="35" borderId="46" xfId="0" applyNumberFormat="1" applyFont="1" applyFill="1" applyBorder="1"/>
    <x:xf numFmtId="0" fontId="23" fillId="35" borderId="47" xfId="0" applyNumberFormat="1" applyFont="1" applyFill="1" applyBorder="1"/>
    <x:xf numFmtId="0" fontId="23" fillId="35" borderId="48" xfId="0" applyNumberFormat="1" applyFont="1" applyFill="1" applyBorder="1"/>
    <x:xf numFmtId="0" fontId="23" fillId="35" borderId="46" xfId="0" applyNumberFormat="1" applyFont="1" applyFill="1" applyBorder="1" applyAlignment="1">
      <x:alignment horizontal="left"/>
    </x:xf>
    <x:xf numFmtId="0" fontId="23" fillId="35" borderId="47" xfId="0" applyNumberFormat="1" applyFont="1" applyFill="1" applyBorder="1" applyAlignment="1">
      <x:alignment horizontal="left"/>
    </x:xf>
    <x:xf numFmtId="0" fontId="23" fillId="35" borderId="48" xfId="0" applyNumberFormat="1" applyFont="1" applyFill="1" applyBorder="1" applyAlignment="1">
      <x:alignment horizontal="left"/>
    </x:xf>
    <x:xf numFmtId="0" fontId="23" fillId="35" borderId="46" xfId="0" applyNumberFormat="1" applyFont="1" applyFill="1" applyBorder="1" applyAlignment="1">
      <x:alignment horizontal="left" vertical="center"/>
    </x:xf>
    <x:xf numFmtId="0" fontId="23" fillId="35" borderId="47" xfId="0" applyNumberFormat="1" applyFont="1" applyFill="1" applyBorder="1" applyAlignment="1">
      <x:alignment horizontal="left" vertical="center"/>
    </x:xf>
    <x:xf numFmtId="0" fontId="23" fillId="35" borderId="48" xfId="0" applyNumberFormat="1" applyFont="1" applyFill="1" applyBorder="1" applyAlignment="1">
      <x:alignment horizontal="left" vertical="center"/>
    </x:xf>
    <x:xf numFmtId="0" fontId="0" fillId="36" borderId="0" xfId="0" applyNumberFormat="1" applyFont="1" applyFill="1" applyBorder="1"/>
    <x:xf numFmtId="0" fontId="14" fillId="36" borderId="0" xfId="0" applyNumberFormat="1" applyFont="1" applyFill="1" applyBorder="1"/>
    <x:xf numFmtId="0" fontId="14" fillId="36" borderId="49" xfId="0" applyNumberFormat="1" applyFont="1" applyFill="1" applyBorder="1"/>
    <x:xf numFmtId="0" fontId="14" fillId="36" borderId="49" xfId="0" applyNumberFormat="1" applyFont="1" applyFill="1" applyBorder="1" applyAlignment="1">
      <x:alignment wrapText="1"/>
    </x:xf>
    <x:xf numFmtId="0" fontId="14" fillId="36" borderId="49" xfId="0" applyNumberFormat="1" applyFont="1" applyFill="1" applyBorder="1" applyAlignment="1">
      <x:alignment horizontal="center" wrapText="1"/>
    </x:xf>
    <x:xf numFmtId="0" fontId="14" fillId="36" borderId="49" xfId="0" applyNumberFormat="1" applyFont="1" applyFill="1" applyBorder="1" applyAlignment="1">
      <x:alignment horizontal="center" vertical="center" wrapText="1"/>
    </x:xf>
    <x:xf numFmtId="0" fontId="24" fillId="0" borderId="0" xfId="0" applyNumberFormat="1" applyFont="1" applyFill="1" applyBorder="1"/>
    <x:xf numFmtId="0" fontId="24" fillId="0" borderId="14" xfId="0" applyNumberFormat="1" applyFont="1" applyFill="1" applyBorder="1"/>
    <x:xf numFmtId="0" fontId="24" fillId="0" borderId="14" xfId="0" applyNumberFormat="1" applyFont="1" applyFill="1" applyBorder="1" applyAlignment="1">
      <x:alignment wrapText="1"/>
    </x:xf>
    <x:xf numFmtId="0" fontId="24" fillId="0" borderId="14" xfId="0" applyNumberFormat="1" applyFont="1" applyFill="1" applyBorder="1" applyAlignment="1">
      <x:alignment vertical="center" wrapText="1"/>
    </x:xf>
    <x:xf numFmtId="0" fontId="25" fillId="0" borderId="14" xfId="0" applyNumberFormat="1" applyFont="1" applyFill="1" applyBorder="1" applyAlignment="1">
      <x:alignment vertical="center" wrapText="1"/>
    </x:xf>
    <x:xf numFmtId="219" fontId="25" fillId="0" borderId="14" xfId="0" applyNumberFormat="1" applyFont="1" applyFill="1" applyBorder="1" applyAlignment="1">
      <x:alignment vertical="center" wrapText="1"/>
    </x:xf>
    <x:xf numFmtId="220" fontId="25" fillId="0" borderId="14" xfId="0" applyNumberFormat="1" applyFont="1" applyFill="1" applyBorder="1" applyAlignment="1">
      <x:alignment vertical="center" wrapText="1"/>
    </x:xf>
    <x:xf numFmtId="221" fontId="25" fillId="0" borderId="14" xfId="0" applyNumberFormat="1" applyFont="1" applyFill="1" applyBorder="1" applyAlignment="1">
      <x:alignment vertical="center" wrapText="1"/>
    </x:xf>
    <x:xf numFmtId="0" fontId="16" fillId="0" borderId="14" xfId="0" applyNumberFormat="1" applyFont="1" applyFill="1" applyBorder="1" applyAlignment="1">
      <x:alignment vertical="center" wrapText="1"/>
    </x:xf>
    <x:xf numFmtId="219" fontId="16" fillId="0" borderId="14" xfId="0" applyNumberFormat="1" applyFont="1" applyFill="1" applyBorder="1" applyAlignment="1">
      <x:alignment vertical="center" wrapText="1"/>
    </x:xf>
    <x:xf numFmtId="220" fontId="16" fillId="0" borderId="14" xfId="0" applyNumberFormat="1" applyFont="1" applyFill="1" applyBorder="1" applyAlignment="1">
      <x:alignment vertical="center" wrapText="1"/>
    </x:xf>
    <x:xf numFmtId="221" fontId="16" fillId="0" borderId="14" xfId="0" applyNumberFormat="1" applyFont="1" applyFill="1" applyBorder="1" applyAlignment="1">
      <x:alignment vertical="center" wrapText="1"/>
    </x:xf>
    <x:xf numFmtId="0" fontId="16" fillId="37" borderId="14" xfId="0" applyNumberFormat="1" applyFont="1" applyFill="1" applyBorder="1" applyAlignment="1">
      <x:alignment vertical="center" wrapText="1"/>
    </x:xf>
    <x:xf numFmtId="0" fontId="0" fillId="38" borderId="0" xfId="0" applyNumberFormat="1" applyFont="1" applyFill="1" applyBorder="1"/>
    <x:xf numFmtId="0" fontId="26" fillId="38" borderId="0" xfId="0" applyNumberFormat="1" applyFont="1" applyFill="1" applyBorder="1"/>
    <x:xf numFmtId="0" fontId="26" fillId="38" borderId="50" xfId="0" applyNumberFormat="1" applyFont="1" applyFill="1" applyBorder="1"/>
    <x:xf numFmtId="0" fontId="26" fillId="38" borderId="51" xfId="0" applyNumberFormat="1" applyFont="1" applyFill="1" applyBorder="1"/>
    <x:xf numFmtId="0" fontId="26" fillId="38" borderId="52" xfId="0" applyNumberFormat="1" applyFont="1" applyFill="1" applyBorder="1"/>
    <x:xf numFmtId="0" fontId="26" fillId="38" borderId="53" xfId="0" applyNumberFormat="1" applyFont="1" applyFill="1" applyBorder="1"/>
    <x:xf numFmtId="0" fontId="26" fillId="38" xfId="0" applyNumberFormat="1" applyFont="1" applyFill="1" applyBorder="0"/>
    <x:xf numFmtId="0" fontId="26" fillId="38" borderId="54" xfId="0" applyNumberFormat="1" applyFont="1" applyFill="1" applyBorder="1"/>
    <x:xf numFmtId="0" fontId="26" fillId="38" borderId="55" xfId="0" applyNumberFormat="1" applyFont="1" applyFill="1" applyBorder="1"/>
    <x:xf numFmtId="0" fontId="26" fillId="38" borderId="56" xfId="0" applyNumberFormat="1" applyFont="1" applyFill="1" applyBorder="1"/>
    <x:xf numFmtId="0" fontId="26" fillId="38" borderId="57" xfId="0" applyNumberFormat="1" applyFont="1" applyFill="1" applyBorder="1"/>
    <x:xf numFmtId="0" fontId="26" fillId="38" borderId="50" xfId="0" applyNumberFormat="1" applyFont="1" applyFill="1" applyBorder="1" applyAlignment="1">
      <x:alignment wrapText="1"/>
    </x:xf>
    <x:xf numFmtId="0" fontId="26" fillId="38" borderId="51" xfId="0" applyNumberFormat="1" applyFont="1" applyFill="1" applyBorder="1" applyAlignment="1">
      <x:alignment wrapText="1"/>
    </x:xf>
    <x:xf numFmtId="0" fontId="26" fillId="38" borderId="52" xfId="0" applyNumberFormat="1" applyFont="1" applyFill="1" applyBorder="1" applyAlignment="1">
      <x:alignment wrapText="1"/>
    </x:xf>
    <x:xf numFmtId="0" fontId="26" fillId="38" borderId="53" xfId="0" applyNumberFormat="1" applyFont="1" applyFill="1" applyBorder="1" applyAlignment="1">
      <x:alignment wrapText="1"/>
    </x:xf>
    <x:xf numFmtId="0" fontId="26" fillId="38" xfId="0" applyNumberFormat="1" applyFont="1" applyFill="1" applyBorder="0" applyAlignment="1">
      <x:alignment wrapText="1"/>
    </x:xf>
    <x:xf numFmtId="0" fontId="26" fillId="38" borderId="54" xfId="0" applyNumberFormat="1" applyFont="1" applyFill="1" applyBorder="1" applyAlignment="1">
      <x:alignment wrapText="1"/>
    </x:xf>
    <x:xf numFmtId="0" fontId="26" fillId="38" borderId="55" xfId="0" applyNumberFormat="1" applyFont="1" applyFill="1" applyBorder="1" applyAlignment="1">
      <x:alignment wrapText="1"/>
    </x:xf>
    <x:xf numFmtId="0" fontId="26" fillId="38" borderId="56" xfId="0" applyNumberFormat="1" applyFont="1" applyFill="1" applyBorder="1" applyAlignment="1">
      <x:alignment wrapText="1"/>
    </x:xf>
    <x:xf numFmtId="0" fontId="26" fillId="38" borderId="57" xfId="0" applyNumberFormat="1" applyFont="1" applyFill="1" applyBorder="1" applyAlignment="1">
      <x:alignment wrapText="1"/>
    </x:xf>
    <x:xf numFmtId="0" fontId="26" fillId="38" borderId="50" xfId="0" applyNumberFormat="1" applyFont="1" applyFill="1" applyBorder="1" applyAlignment="1">
      <x:alignment horizontal="left" wrapText="1"/>
    </x:xf>
    <x:xf numFmtId="0" fontId="26" fillId="38" borderId="51" xfId="0" applyNumberFormat="1" applyFont="1" applyFill="1" applyBorder="1" applyAlignment="1">
      <x:alignment horizontal="left" wrapText="1"/>
    </x:xf>
    <x:xf numFmtId="0" fontId="26" fillId="38" borderId="52" xfId="0" applyNumberFormat="1" applyFont="1" applyFill="1" applyBorder="1" applyAlignment="1">
      <x:alignment horizontal="left" wrapText="1"/>
    </x:xf>
    <x:xf numFmtId="0" fontId="26" fillId="38" borderId="53" xfId="0" applyNumberFormat="1" applyFont="1" applyFill="1" applyBorder="1" applyAlignment="1">
      <x:alignment horizontal="left" wrapText="1"/>
    </x:xf>
    <x:xf numFmtId="0" fontId="26" fillId="38" xfId="0" applyNumberFormat="1" applyFont="1" applyFill="1" applyBorder="0" applyAlignment="1">
      <x:alignment horizontal="left" wrapText="1"/>
    </x:xf>
    <x:xf numFmtId="0" fontId="26" fillId="38" borderId="54" xfId="0" applyNumberFormat="1" applyFont="1" applyFill="1" applyBorder="1" applyAlignment="1">
      <x:alignment horizontal="left" wrapText="1"/>
    </x:xf>
    <x:xf numFmtId="0" fontId="26" fillId="38" borderId="55" xfId="0" applyNumberFormat="1" applyFont="1" applyFill="1" applyBorder="1" applyAlignment="1">
      <x:alignment horizontal="left" wrapText="1"/>
    </x:xf>
    <x:xf numFmtId="0" fontId="26" fillId="38" borderId="56" xfId="0" applyNumberFormat="1" applyFont="1" applyFill="1" applyBorder="1" applyAlignment="1">
      <x:alignment horizontal="left" wrapText="1"/>
    </x:xf>
    <x:xf numFmtId="0" fontId="26" fillId="38" borderId="57" xfId="0" applyNumberFormat="1" applyFont="1" applyFill="1" applyBorder="1" applyAlignment="1">
      <x:alignment horizontal="left" wrapText="1"/>
    </x:xf>
    <x:xf numFmtId="0" fontId="26" fillId="38" borderId="50" xfId="0" applyNumberFormat="1" applyFont="1" applyFill="1" applyBorder="1" applyAlignment="1">
      <x:alignment horizontal="left" vertical="center" wrapText="1"/>
    </x:xf>
    <x:xf numFmtId="0" fontId="26" fillId="38" borderId="51" xfId="0" applyNumberFormat="1" applyFont="1" applyFill="1" applyBorder="1" applyAlignment="1">
      <x:alignment horizontal="left" vertical="center" wrapText="1"/>
    </x:xf>
    <x:xf numFmtId="0" fontId="26" fillId="38" borderId="52" xfId="0" applyNumberFormat="1" applyFont="1" applyFill="1" applyBorder="1" applyAlignment="1">
      <x:alignment horizontal="left" vertical="center" wrapText="1"/>
    </x:xf>
    <x:xf numFmtId="0" fontId="26" fillId="38" borderId="53" xfId="0" applyNumberFormat="1" applyFont="1" applyFill="1" applyBorder="1" applyAlignment="1">
      <x:alignment horizontal="left" vertical="center" wrapText="1"/>
    </x:xf>
    <x:xf numFmtId="0" fontId="26" fillId="38" xfId="0" applyNumberFormat="1" applyFont="1" applyFill="1" applyBorder="0" applyAlignment="1">
      <x:alignment horizontal="left" vertical="center" wrapText="1"/>
    </x:xf>
    <x:xf numFmtId="0" fontId="26" fillId="38" borderId="54" xfId="0" applyNumberFormat="1" applyFont="1" applyFill="1" applyBorder="1" applyAlignment="1">
      <x:alignment horizontal="left" vertical="center" wrapText="1"/>
    </x:xf>
    <x:xf numFmtId="0" fontId="26" fillId="38" borderId="55" xfId="0" applyNumberFormat="1" applyFont="1" applyFill="1" applyBorder="1" applyAlignment="1">
      <x:alignment horizontal="left" vertical="center" wrapText="1"/>
    </x:xf>
    <x:xf numFmtId="0" fontId="26" fillId="38" borderId="56" xfId="0" applyNumberFormat="1" applyFont="1" applyFill="1" applyBorder="1" applyAlignment="1">
      <x:alignment horizontal="left" vertical="center" wrapText="1"/>
    </x:xf>
    <x:xf numFmtId="0" fontId="26" fillId="38" borderId="57" xfId="0" applyNumberFormat="1" applyFont="1" applyFill="1" applyBorder="1" applyAlignment="1">
      <x:alignment horizontal="left" vertical="center" wrapText="1"/>
    </x:xf>
    <x:xf numFmtId="0" fontId="24" fillId="0" borderId="14" xfId="0" applyNumberFormat="1" applyFont="1" applyFill="1" applyBorder="1" applyAlignment="1">
      <x:alignment horizontal="center" vertical="center" wrapText="1"/>
    </x:xf>
    <x:xf numFmtId="0" fontId="24" fillId="37" borderId="14" xfId="0" applyNumberFormat="1" applyFont="1" applyFill="1" applyBorder="1" applyAlignment="1">
      <x:alignment vertical="center" wrapText="1"/>
    </x:xf>
    <x:xf numFmtId="0" fontId="27" fillId="37" borderId="14" xfId="0" applyNumberFormat="1" applyFont="1" applyFill="1" applyBorder="1" applyAlignment="1">
      <x:alignment vertical="center" wrapText="1"/>
    </x:xf>
    <x:xf numFmtId="0" fontId="0" fillId="39" borderId="0" xfId="0" applyNumberFormat="1" applyFont="1" applyFill="1" applyBorder="1"/>
    <x:xf numFmtId="0" fontId="24" fillId="39" borderId="0" xfId="0" applyNumberFormat="1" applyFont="1" applyFill="1" applyBorder="1"/>
    <x:xf numFmtId="0" fontId="24" fillId="39" borderId="58" xfId="0" applyNumberFormat="1" applyFont="1" applyFill="1" applyBorder="1"/>
    <x:xf numFmtId="0" fontId="24" fillId="39" borderId="59" xfId="0" applyNumberFormat="1" applyFont="1" applyFill="1" applyBorder="1"/>
    <x:xf numFmtId="0" fontId="24" fillId="39" borderId="60" xfId="0" applyNumberFormat="1" applyFont="1" applyFill="1" applyBorder="1"/>
    <x:xf numFmtId="0" fontId="24" fillId="39" borderId="61" xfId="0" applyNumberFormat="1" applyFont="1" applyFill="1" applyBorder="1"/>
    <x:xf numFmtId="0" fontId="24" fillId="39" xfId="0" applyNumberFormat="1" applyFont="1" applyFill="1" applyBorder="0"/>
    <x:xf numFmtId="0" fontId="24" fillId="39" borderId="62" xfId="0" applyNumberFormat="1" applyFont="1" applyFill="1" applyBorder="1"/>
    <x:xf numFmtId="0" fontId="24" fillId="39" borderId="63" xfId="0" applyNumberFormat="1" applyFont="1" applyFill="1" applyBorder="1"/>
    <x:xf numFmtId="0" fontId="24" fillId="39" borderId="64" xfId="0" applyNumberFormat="1" applyFont="1" applyFill="1" applyBorder="1"/>
    <x:xf numFmtId="0" fontId="24" fillId="39" borderId="65" xfId="0" applyNumberFormat="1" applyFont="1" applyFill="1" applyBorder="1"/>
    <x:xf numFmtId="0" fontId="24" fillId="39" borderId="58" xfId="0" applyNumberFormat="1" applyFont="1" applyFill="1" applyBorder="1" applyAlignment="1">
      <x:alignment wrapText="1"/>
    </x:xf>
    <x:xf numFmtId="0" fontId="24" fillId="39" borderId="59" xfId="0" applyNumberFormat="1" applyFont="1" applyFill="1" applyBorder="1" applyAlignment="1">
      <x:alignment wrapText="1"/>
    </x:xf>
    <x:xf numFmtId="0" fontId="24" fillId="39" borderId="60" xfId="0" applyNumberFormat="1" applyFont="1" applyFill="1" applyBorder="1" applyAlignment="1">
      <x:alignment wrapText="1"/>
    </x:xf>
    <x:xf numFmtId="0" fontId="24" fillId="39" borderId="61" xfId="0" applyNumberFormat="1" applyFont="1" applyFill="1" applyBorder="1" applyAlignment="1">
      <x:alignment wrapText="1"/>
    </x:xf>
    <x:xf numFmtId="0" fontId="24" fillId="39" xfId="0" applyNumberFormat="1" applyFont="1" applyFill="1" applyBorder="0" applyAlignment="1">
      <x:alignment wrapText="1"/>
    </x:xf>
    <x:xf numFmtId="0" fontId="24" fillId="39" borderId="62" xfId="0" applyNumberFormat="1" applyFont="1" applyFill="1" applyBorder="1" applyAlignment="1">
      <x:alignment wrapText="1"/>
    </x:xf>
    <x:xf numFmtId="0" fontId="24" fillId="39" borderId="63" xfId="0" applyNumberFormat="1" applyFont="1" applyFill="1" applyBorder="1" applyAlignment="1">
      <x:alignment wrapText="1"/>
    </x:xf>
    <x:xf numFmtId="0" fontId="24" fillId="39" borderId="64" xfId="0" applyNumberFormat="1" applyFont="1" applyFill="1" applyBorder="1" applyAlignment="1">
      <x:alignment wrapText="1"/>
    </x:xf>
    <x:xf numFmtId="0" fontId="24" fillId="39" borderId="65" xfId="0" applyNumberFormat="1" applyFont="1" applyFill="1" applyBorder="1" applyAlignment="1">
      <x:alignment wrapText="1"/>
    </x:xf>
    <x:xf numFmtId="0" fontId="24" fillId="39" borderId="58" xfId="0" applyNumberFormat="1" applyFont="1" applyFill="1" applyBorder="1" applyAlignment="1">
      <x:alignment vertical="center" wrapText="1"/>
    </x:xf>
    <x:xf numFmtId="0" fontId="24" fillId="39" borderId="59" xfId="0" applyNumberFormat="1" applyFont="1" applyFill="1" applyBorder="1" applyAlignment="1">
      <x:alignment vertical="center" wrapText="1"/>
    </x:xf>
    <x:xf numFmtId="0" fontId="24" fillId="39" borderId="60" xfId="0" applyNumberFormat="1" applyFont="1" applyFill="1" applyBorder="1" applyAlignment="1">
      <x:alignment vertical="center" wrapText="1"/>
    </x:xf>
    <x:xf numFmtId="0" fontId="24" fillId="39" borderId="61" xfId="0" applyNumberFormat="1" applyFont="1" applyFill="1" applyBorder="1" applyAlignment="1">
      <x:alignment vertical="center" wrapText="1"/>
    </x:xf>
    <x:xf numFmtId="0" fontId="24" fillId="39" xfId="0" applyNumberFormat="1" applyFont="1" applyFill="1" applyBorder="0" applyAlignment="1">
      <x:alignment vertical="center" wrapText="1"/>
    </x:xf>
    <x:xf numFmtId="0" fontId="24" fillId="39" borderId="62" xfId="0" applyNumberFormat="1" applyFont="1" applyFill="1" applyBorder="1" applyAlignment="1">
      <x:alignment vertical="center" wrapText="1"/>
    </x:xf>
    <x:xf numFmtId="0" fontId="24" fillId="39" borderId="63" xfId="0" applyNumberFormat="1" applyFont="1" applyFill="1" applyBorder="1" applyAlignment="1">
      <x:alignment vertical="center" wrapText="1"/>
    </x:xf>
    <x:xf numFmtId="0" fontId="24" fillId="39" borderId="64" xfId="0" applyNumberFormat="1" applyFont="1" applyFill="1" applyBorder="1" applyAlignment="1">
      <x:alignment vertical="center" wrapText="1"/>
    </x:xf>
    <x:xf numFmtId="0" fontId="24" fillId="39" borderId="65" xfId="0" applyNumberFormat="1" applyFont="1" applyFill="1" applyBorder="1" applyAlignment="1">
      <x:alignment vertical="center" wrapText="1"/>
    </x:xf>
    <x:xf numFmtId="0" fontId="1" fillId="33" borderId="0" xfId="0" applyNumberFormat="1" applyFont="1" applyFill="1" applyBorder="1"/>
    <x:xf numFmtId="0" fontId="1" fillId="33" borderId="0" xfId="0" applyNumberFormat="1" applyFont="1" applyFill="1" applyBorder="1" applyAlignment="1">
      <x:alignment vertical="center"/>
    </x:xf>
    <x:xf numFmtId="205" fontId="24" fillId="0" borderId="14" xfId="0" applyNumberFormat="1" applyFont="1" applyFill="1" applyBorder="1" applyAlignment="1">
      <x:alignment vertical="center" wrapText="1"/>
    </x:xf>
    <x:xf numFmtId="0" fontId="0" fillId="37" borderId="0" xfId="0" applyNumberFormat="1" applyFont="1" applyFill="1" applyBorder="1"/>
    <x:xf numFmtId="0" fontId="19" fillId="37" borderId="0" xfId="0" applyNumberFormat="1" applyFont="1" applyFill="1" applyBorder="1"/>
    <x:xf numFmtId="0" fontId="19" fillId="37" borderId="30" xfId="0" applyNumberFormat="1" applyFont="1" applyFill="1" applyBorder="1"/>
    <x:xf numFmtId="0" fontId="19" fillId="37" borderId="31" xfId="0" applyNumberFormat="1" applyFont="1" applyFill="1" applyBorder="1"/>
    <x:xf numFmtId="0" fontId="19" fillId="37" borderId="32" xfId="0" applyNumberFormat="1" applyFont="1" applyFill="1" applyBorder="1"/>
    <x:xf numFmtId="0" fontId="19" fillId="37" borderId="33" xfId="0" applyNumberFormat="1" applyFont="1" applyFill="1" applyBorder="1"/>
    <x:xf numFmtId="0" fontId="19" fillId="37" borderId="34" xfId="0" applyNumberFormat="1" applyFont="1" applyFill="1" applyBorder="1"/>
    <x:xf numFmtId="0" fontId="19" fillId="37" borderId="35" xfId="0" applyNumberFormat="1" applyFont="1" applyFill="1" applyBorder="1"/>
    <x:xf numFmtId="0" fontId="19" fillId="37" borderId="30" xfId="0" applyNumberFormat="1" applyFont="1" applyFill="1" applyBorder="1" applyAlignment="1">
      <x:alignment wrapText="1"/>
    </x:xf>
    <x:xf numFmtId="0" fontId="19" fillId="37" borderId="31" xfId="0" applyNumberFormat="1" applyFont="1" applyFill="1" applyBorder="1" applyAlignment="1">
      <x:alignment wrapText="1"/>
    </x:xf>
    <x:xf numFmtId="0" fontId="19" fillId="37" borderId="32" xfId="0" applyNumberFormat="1" applyFont="1" applyFill="1" applyBorder="1" applyAlignment="1">
      <x:alignment wrapText="1"/>
    </x:xf>
    <x:xf numFmtId="0" fontId="19" fillId="37" borderId="33" xfId="0" applyNumberFormat="1" applyFont="1" applyFill="1" applyBorder="1" applyAlignment="1">
      <x:alignment wrapText="1"/>
    </x:xf>
    <x:xf numFmtId="0" fontId="19" fillId="37" borderId="34" xfId="0" applyNumberFormat="1" applyFont="1" applyFill="1" applyBorder="1" applyAlignment="1">
      <x:alignment wrapText="1"/>
    </x:xf>
    <x:xf numFmtId="0" fontId="19" fillId="37" borderId="35" xfId="0" applyNumberFormat="1" applyFont="1" applyFill="1" applyBorder="1" applyAlignment="1">
      <x:alignment wrapText="1"/>
    </x:xf>
    <x:xf numFmtId="0" fontId="19" fillId="37" borderId="30" xfId="0" applyNumberFormat="1" applyFont="1" applyFill="1" applyBorder="1" applyAlignment="1">
      <x:alignment horizontal="center" wrapText="1"/>
    </x:xf>
    <x:xf numFmtId="0" fontId="19" fillId="37" borderId="31" xfId="0" applyNumberFormat="1" applyFont="1" applyFill="1" applyBorder="1" applyAlignment="1">
      <x:alignment horizontal="center" wrapText="1"/>
    </x:xf>
    <x:xf numFmtId="0" fontId="19" fillId="37" borderId="32" xfId="0" applyNumberFormat="1" applyFont="1" applyFill="1" applyBorder="1" applyAlignment="1">
      <x:alignment horizontal="center" wrapText="1"/>
    </x:xf>
    <x:xf numFmtId="0" fontId="19" fillId="37" borderId="33" xfId="0" applyNumberFormat="1" applyFont="1" applyFill="1" applyBorder="1" applyAlignment="1">
      <x:alignment horizontal="center" wrapText="1"/>
    </x:xf>
    <x:xf numFmtId="0" fontId="19" fillId="37" borderId="34" xfId="0" applyNumberFormat="1" applyFont="1" applyFill="1" applyBorder="1" applyAlignment="1">
      <x:alignment horizontal="center" wrapText="1"/>
    </x:xf>
    <x:xf numFmtId="0" fontId="19" fillId="37" borderId="35" xfId="0" applyNumberFormat="1" applyFont="1" applyFill="1" applyBorder="1" applyAlignment="1">
      <x:alignment horizontal="center" wrapText="1"/>
    </x:xf>
    <x:xf numFmtId="0" fontId="19" fillId="37" borderId="30" xfId="0" applyNumberFormat="1" applyFont="1" applyFill="1" applyBorder="1" applyAlignment="1">
      <x:alignment horizontal="center" vertical="center" wrapText="1"/>
    </x:xf>
    <x:xf numFmtId="0" fontId="19" fillId="37" borderId="31" xfId="0" applyNumberFormat="1" applyFont="1" applyFill="1" applyBorder="1" applyAlignment="1">
      <x:alignment horizontal="center" vertical="center" wrapText="1"/>
    </x:xf>
    <x:xf numFmtId="0" fontId="19" fillId="37" borderId="32" xfId="0" applyNumberFormat="1" applyFont="1" applyFill="1" applyBorder="1" applyAlignment="1">
      <x:alignment horizontal="center" vertical="center" wrapText="1"/>
    </x:xf>
    <x:xf numFmtId="0" fontId="19" fillId="37" borderId="33" xfId="0" applyNumberFormat="1" applyFont="1" applyFill="1" applyBorder="1" applyAlignment="1">
      <x:alignment horizontal="center" vertical="center" wrapText="1"/>
    </x:xf>
    <x:xf numFmtId="0" fontId="19" fillId="37" borderId="34" xfId="0" applyNumberFormat="1" applyFont="1" applyFill="1" applyBorder="1" applyAlignment="1">
      <x:alignment horizontal="center" vertical="center" wrapText="1"/>
    </x:xf>
    <x:xf numFmtId="0" fontId="19" fillId="37" borderId="35" xfId="0" applyNumberFormat="1" applyFont="1" applyFill="1" applyBorder="1" applyAlignment="1">
      <x:alignment horizontal="center" vertical="center" wrapText="1"/>
    </x:xf>
    <x:xf numFmtId="0" fontId="26" fillId="38" borderId="50" xfId="0" applyNumberFormat="1" applyFont="1" applyFill="1" applyBorder="1" applyAlignment="1">
      <x:alignment vertical="center" wrapText="1"/>
    </x:xf>
    <x:xf numFmtId="0" fontId="26" fillId="38" borderId="51" xfId="0" applyNumberFormat="1" applyFont="1" applyFill="1" applyBorder="1" applyAlignment="1">
      <x:alignment vertical="center" wrapText="1"/>
    </x:xf>
    <x:xf numFmtId="0" fontId="26" fillId="38" borderId="52" xfId="0" applyNumberFormat="1" applyFont="1" applyFill="1" applyBorder="1" applyAlignment="1">
      <x:alignment vertical="center" wrapText="1"/>
    </x:xf>
    <x:xf numFmtId="0" fontId="26" fillId="38" borderId="53" xfId="0" applyNumberFormat="1" applyFont="1" applyFill="1" applyBorder="1" applyAlignment="1">
      <x:alignment vertical="center" wrapText="1"/>
    </x:xf>
    <x:xf numFmtId="0" fontId="26" fillId="38" xfId="0" applyNumberFormat="1" applyFont="1" applyFill="1" applyBorder="0" applyAlignment="1">
      <x:alignment vertical="center" wrapText="1"/>
    </x:xf>
    <x:xf numFmtId="0" fontId="26" fillId="38" borderId="54" xfId="0" applyNumberFormat="1" applyFont="1" applyFill="1" applyBorder="1" applyAlignment="1">
      <x:alignment vertical="center" wrapText="1"/>
    </x:xf>
    <x:xf numFmtId="0" fontId="26" fillId="38" borderId="55" xfId="0" applyNumberFormat="1" applyFont="1" applyFill="1" applyBorder="1" applyAlignment="1">
      <x:alignment vertical="center" wrapText="1"/>
    </x:xf>
    <x:xf numFmtId="0" fontId="26" fillId="38" borderId="56" xfId="0" applyNumberFormat="1" applyFont="1" applyFill="1" applyBorder="1" applyAlignment="1">
      <x:alignment vertical="center" wrapText="1"/>
    </x:xf>
    <x:xf numFmtId="0" fontId="26" fillId="38" borderId="57" xfId="0" applyNumberFormat="1" applyFont="1" applyFill="1" applyBorder="1" applyAlignment="1">
      <x:alignment vertical="center" wrapText="1"/>
    </x:xf>
  </x:cellXfs>
  <x:cellStyles count="1">
    <x:cellStyle name="Normal" xfId="0"/>
  </x:cellStyles>
  <x:dxfs count="17">
    <x:dxf>
      <x:font>
        <x:b/>
        <x:color rgb="FFC00000"/>
      </x:font>
      <x:fill>
        <x:patternFill>
          <x:bgColor rgb="FFFCE4D6"/>
        </x:patternFill>
      </x:fill>
    </x:dxf>
    <x:dxf>
      <x:font>
        <x:b/>
        <x:color rgb="FF2E7D32"/>
      </x:font>
      <x:fill>
        <x:patternFill>
          <x:bgColor rgb="FFE2F0D9"/>
        </x:patternFill>
      </x:fill>
    </x:dxf>
    <x:dxf>
      <x:font>
        <x:b/>
        <x:color rgb="FFC00000"/>
      </x:font>
      <x:fill>
        <x:patternFill>
          <x:bgColor rgb="FFFCE4D6"/>
        </x:patternFill>
      </x:fill>
    </x:dxf>
    <x:dxf>
      <x:font>
        <x:b/>
        <x:color rgb="FF2E7D32"/>
      </x:font>
      <x:fill>
        <x:patternFill>
          <x:bgColor rgb="FFE2F0D9"/>
        </x:patternFill>
      </x:fill>
    </x:dxf>
    <x:dxf>
      <x:font>
        <x:b/>
        <x:color rgb="FFC00000"/>
      </x:font>
      <x:fill>
        <x:patternFill>
          <x:bgColor rgb="FFFCE4D6"/>
        </x:patternFill>
      </x:fill>
    </x:dxf>
    <x:dxf>
      <x:font>
        <x:b/>
        <x:color rgb="FFC00000"/>
      </x:font>
      <x:fill>
        <x:patternFill>
          <x:bgColor rgb="FFFCE4D6"/>
        </x:patternFill>
      </x:fill>
    </x:dxf>
    <x:dxf>
      <x:font>
        <x:b/>
        <x:color rgb="FF2E7D32"/>
      </x:font>
      <x:fill>
        <x:patternFill>
          <x:bgColor rgb="FFE2F0D9"/>
        </x:patternFill>
      </x:fill>
    </x:dxf>
    <x:dxf>
      <x:font>
        <x:b/>
        <x:color rgb="FFC00000"/>
      </x:font>
      <x:fill>
        <x:patternFill>
          <x:bgColor rgb="FFFCE4D6"/>
        </x:patternFill>
      </x:fill>
    </x:dxf>
    <x:dxf>
      <x:font>
        <x:b/>
        <x:color rgb="FF000000"/>
      </x:font>
      <x:fill>
        <x:patternFill>
          <x:bgColor rgb="FFFFF2CC"/>
        </x:patternFill>
      </x:fill>
    </x:dxf>
    <x:dxf>
      <x:font>
        <x:b/>
        <x:color rgb="FF2E7D32"/>
      </x:font>
      <x:fill>
        <x:patternFill>
          <x:bgColor rgb="FFE2F0D9"/>
        </x:patternFill>
      </x:fill>
    </x:dxf>
    <x:dxf>
      <x:font>
        <x:b/>
        <x:color rgb="FF2E7D32"/>
      </x:font>
      <x:fill>
        <x:patternFill>
          <x:bgColor rgb="FFE2F0D9"/>
        </x:patternFill>
      </x:fill>
    </x:dxf>
    <x:dxf>
      <x:font>
        <x:b/>
        <x:color rgb="FFC00000"/>
      </x:font>
      <x:fill>
        <x:patternFill>
          <x:bgColor rgb="FFFCE4D6"/>
        </x:patternFill>
      </x:fill>
    </x:dxf>
    <x:dxf>
      <x:font>
        <x:b/>
        <x:color rgb="FF2E7D32"/>
      </x:font>
      <x:fill>
        <x:patternFill>
          <x:bgColor rgb="FFE2F0D9"/>
        </x:patternFill>
      </x:fill>
    </x:dxf>
    <x:dxf>
      <x:font>
        <x:b/>
        <x:color rgb="FF2E7D32"/>
      </x:font>
      <x:fill>
        <x:patternFill patternType="solid">
          <x:bgColor rgb="FFE2F0D9"/>
        </x:patternFill>
      </x:fill>
    </x:dxf>
    <x:dxf>
      <x:font>
        <x:b/>
        <x:color rgb="FFC00000"/>
      </x:font>
      <x:fill>
        <x:patternFill patternType="solid">
          <x:bgColor rgb="FFFCE4D6"/>
        </x:patternFill>
      </x:fill>
    </x:dxf>
    <x:dxf>
      <x:font>
        <x:b/>
        <x:color rgb="FF2E7D32"/>
      </x:font>
      <x:fill>
        <x:patternFill patternType="solid">
          <x:bgColor rgb="FFE2F0D9"/>
        </x:patternFill>
      </x:fill>
    </x:dxf>
    <x:dxf>
      <x:font>
        <x:b/>
        <x:color rgb="FFC00000"/>
      </x:font>
      <x:fill>
        <x:patternFill patternType="solid">
          <x:bgColor rgb="FFFCE4D6"/>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1f8c0aa8c5a14924" /><Relationship Type="http://schemas.openxmlformats.org/officeDocument/2006/relationships/theme" Target="/xl/theme/theme1.xml" Id="R3986ce12e4ba4ce2" /><Relationship Type="http://schemas.openxmlformats.org/officeDocument/2006/relationships/sharedStrings" Target="/xl/sharedStrings.xml" Id="Re167b3192a7a41bc" /><Relationship Type="http://schemas.openxmlformats.org/officeDocument/2006/relationships/worksheet" Target="/xl/worksheets/sheet1.xml" Id="Rf3f8b9e7c1024399" /><Relationship Type="http://schemas.openxmlformats.org/officeDocument/2006/relationships/worksheet" Target="/xl/worksheets/sheet2.xml" Id="R3176d9e061994f25" /><Relationship Type="http://schemas.openxmlformats.org/officeDocument/2006/relationships/worksheet" Target="/xl/worksheets/sheet3.xml" Id="R8de85d314ff940b1" /><Relationship Type="http://schemas.openxmlformats.org/officeDocument/2006/relationships/worksheet" Target="/xl/worksheets/sheet4.xml" Id="R2b9f477a4dbe488d" /><Relationship Type="http://schemas.openxmlformats.org/officeDocument/2006/relationships/worksheet" Target="/xl/worksheets/sheet5.xml" Id="R5eacc6c52f504207" /><Relationship Type="http://schemas.openxmlformats.org/officeDocument/2006/relationships/worksheet" Target="/xl/worksheets/sheet6.xml" Id="Ra264b3d15d244bfa" /><Relationship Type="http://schemas.openxmlformats.org/officeDocument/2006/relationships/worksheet" Target="/xl/worksheets/sheet7.xml" Id="Rad5bc41fc6ef4a69" /><Relationship Type="http://schemas.openxmlformats.org/officeDocument/2006/relationships/worksheet" Target="/xl/worksheets/sheet8.xml" Id="R1a616eb5ff454433" /><Relationship Type="http://schemas.openxmlformats.org/officeDocument/2006/relationships/worksheet" Target="/xl/worksheets/sheet9.xml" Id="R58c7b62524b34143" /><Relationship Type="http://schemas.openxmlformats.org/officeDocument/2006/relationships/worksheet" Target="/xl/worksheets/sheet10.xml" Id="R8ea025253d134972" /><Relationship Type="http://schemas.openxmlformats.org/officeDocument/2006/relationships/worksheet" Target="/xl/worksheets/sheet11.xml" Id="R3cbec94f685d4760" /><Relationship Type="http://schemas.openxmlformats.org/officeDocument/2006/relationships/worksheet" Target="/xl/worksheets/sheet12.xml" Id="Rfb6f3a93a83248ad" /><Relationship Type="http://schemas.openxmlformats.org/officeDocument/2006/relationships/worksheet" Target="/xl/worksheets/sheet13.xml" Id="R69f5e4d3cf0f4e44" /><Relationship Type="http://schemas.openxmlformats.org/officeDocument/2006/relationships/worksheet" Target="/xl/worksheets/sheet14.xml" Id="R3cbb8848f7fc4768" /><Relationship Type="http://schemas.openxmlformats.org/officeDocument/2006/relationships/worksheet" Target="/xl/worksheets/sheet15.xml" Id="Rb7984438c8294b3f" /><Relationship Type="http://schemas.openxmlformats.org/officeDocument/2006/relationships/worksheet" Target="/xl/worksheets/sheet16.xml" Id="R78c62339e15341b1" /><Relationship Type="http://schemas.openxmlformats.org/officeDocument/2006/relationships/worksheet" Target="/xl/worksheets/sheet17.xml" Id="Rbb308c0f67054e04" /><Relationship Type="http://schemas.openxmlformats.org/officeDocument/2006/relationships/worksheet" Target="/xl/worksheets/sheet18.xml" Id="Raf1a960122a54620" /><Relationship Type="http://schemas.openxmlformats.org/officeDocument/2006/relationships/worksheet" Target="/xl/worksheets/sheet19.xml" Id="R778aba39f56945d5" /><Relationship Type="http://schemas.openxmlformats.org/officeDocument/2006/relationships/worksheet" Target="/xl/worksheets/sheet20.xml" Id="R91bdab765d2a4b04" /><Relationship Type="http://schemas.openxmlformats.org/officeDocument/2006/relationships/worksheet" Target="/xl/worksheets/sheet21.xml" Id="R7ad876bd210d4e97" /><Relationship Type="http://schemas.openxmlformats.org/officeDocument/2006/relationships/worksheet" Target="/xl/worksheets/sheet22.xml" Id="R500d0ecc51534b4a" /><Relationship Type="http://schemas.openxmlformats.org/officeDocument/2006/relationships/worksheet" Target="/xl/worksheets/sheet23.xml" Id="R6a67338273d04ff5" /><Relationship Type="http://schemas.openxmlformats.org/officeDocument/2006/relationships/worksheet" Target="/xl/worksheets/sheet24.xml" Id="R2e599f72a4a7424e" /><Relationship Type="http://schemas.openxmlformats.org/officeDocument/2006/relationships/worksheet" Target="/xl/worksheets/sheet25.xml" Id="R452d660abc7044ef" /><Relationship Type="http://schemas.openxmlformats.org/officeDocument/2006/relationships/worksheet" Target="/xl/worksheets/sheet26.xml" Id="R13c66ef0b3d14e19" /><Relationship Type="http://schemas.openxmlformats.org/officeDocument/2006/relationships/worksheet" Target="/xl/worksheets/sheet27.xml" Id="R26bb44c166fb47d7" /><Relationship Type="http://schemas.openxmlformats.org/officeDocument/2006/relationships/worksheet" Target="/xl/worksheets/sheet28.xml" Id="Rf2826193f0ea4b5f" /><Relationship Type="http://schemas.openxmlformats.org/officeDocument/2006/relationships/worksheet" Target="/xl/worksheets/sheet29.xml" Id="Rf13b519a52c44091" /><Relationship Type="http://schemas.openxmlformats.org/officeDocument/2006/relationships/worksheet" Target="/xl/worksheets/sheet30.xml" Id="R4d7dfd2b88f24fcb" /><Relationship Type="http://schemas.openxmlformats.org/officeDocument/2006/relationships/worksheet" Target="/xl/worksheets/sheet31.xml" Id="R16f5be2fcc7f4456" /><Relationship Type="http://schemas.openxmlformats.org/officeDocument/2006/relationships/worksheet" Target="/xl/worksheets/sheet32.xml" Id="R3f834aeeb2eb46ae" /><Relationship Type="http://schemas.openxmlformats.org/officeDocument/2006/relationships/worksheet" Target="/xl/worksheets/sheet33.xml" Id="Ra79453459b1f43de" /><Relationship Type="http://schemas.openxmlformats.org/officeDocument/2006/relationships/worksheet" Target="/xl/worksheets/sheet34.xml" Id="R9b86f74204b44277" /><Relationship Type="http://schemas.openxmlformats.org/officeDocument/2006/relationships/worksheet" Target="/xl/worksheets/sheet35.xml" Id="R176def7ff31345dc" /><Relationship Type="http://schemas.microsoft.com/office/2017/10/relationships/person" Target="/xl/persons/person.xml" Id="R325d25539a8044ec" /></Relationships>
</file>

<file path=xl/drawings/_rels/drawing1.xml.rels>&#65279;<?xml version="1.0" encoding="utf-8"?><Relationships xmlns="http://schemas.openxmlformats.org/package/2006/relationships"><Relationship Type="http://schemas.openxmlformats.org/officeDocument/2006/relationships/chart" Target="/xl/drawings/charts/chart1.xml" Id="R01107e3755434035" /></Relationships>
</file>

<file path=xl/drawings/_rels/drawing2.xml.rels>&#65279;<?xml version="1.0" encoding="utf-8"?><Relationships xmlns="http://schemas.openxmlformats.org/package/2006/relationships"><Relationship Type="http://schemas.openxmlformats.org/officeDocument/2006/relationships/chart" Target="/xl/drawings/charts/chart2.xml" Id="R2e21159916b94df4" /><Relationship Type="http://schemas.openxmlformats.org/officeDocument/2006/relationships/chart" Target="/xl/drawings/charts/chart3.xml" Id="Rcedb4d7d18654862" /></Relationships>
</file>

<file path=xl/drawings/_rels/drawing3.xml.rels>&#65279;<?xml version="1.0" encoding="utf-8"?><Relationships xmlns="http://schemas.openxmlformats.org/package/2006/relationships"><Relationship Type="http://schemas.openxmlformats.org/officeDocument/2006/relationships/chart" Target="/xl/drawings/charts/chart4.xml" Id="R35191e32d1cf42a0" /><Relationship Type="http://schemas.openxmlformats.org/officeDocument/2006/relationships/chart" Target="/xl/drawings/charts/chart5.xml" Id="Ra35af8f12ac94bef" /><Relationship Type="http://schemas.openxmlformats.org/officeDocument/2006/relationships/chart" Target="/xl/drawings/charts/chart6.xml" Id="R821eea89d1c74bbf" /></Relationships>
</file>

<file path=xl/drawings/charts/chart1.xml><?xml version="1.0" encoding="utf-8"?>
<c:chartSpace xmlns:c="http://schemas.openxmlformats.org/drawingml/2006/chart">
  <c:lang val="en-US"/>
  <c:roundedCorners val="0"/>
  <c:chart>
    <c:title>
      <c:tx>
        <c:rich>
          <a:bodyPr xmlns:a="http://schemas.openxmlformats.org/drawingml/2006/main"/>
          <a:lstStyle xmlns:a="http://schemas.openxmlformats.org/drawingml/2006/main"/>
          <a:p xmlns:a="http://schemas.openxmlformats.org/drawingml/2006/main">
            <a:r>
              <a:rPr sz="900"/>
              <a:t>GMD leads the operational screen (score / 5)</a:t>
            </a:r>
          </a:p>
        </c:rich>
      </c:tx>
      <c:txPr>
        <a:bodyPr xmlns:a="http://schemas.openxmlformats.org/drawingml/2006/main" anchorCtr="1"/>
        <a:lstStyle xmlns:a="http://schemas.openxmlformats.org/drawingml/2006/main"/>
        <a:p xmlns:a="http://schemas.openxmlformats.org/drawingml/2006/main">
          <a:pPr>
            <a:defRPr sz="900"/>
          </a:pPr>
        </a:p>
      </c:txPr>
    </c:title>
    <c:plotArea>
      <c:barChart>
        <c:barDir val="col"/>
        <c:varyColors val="0"/>
        <c:ser>
          <c:idx val="0"/>
          <c:order val="0"/>
          <c:tx>
            <c:v>Weighted score</c:v>
          </c:tx>
          <c:cat>
            <c:strRef>
              <c:f>'P2 Scorecard'!$H$22:$H$25</c:f>
              <c:strCache>
                <c:ptCount val="0"/>
              </c:strCache>
            </c:strRef>
          </c:cat>
          <c:val>
            <c:numRef>
              <c:f>'P2 Scorecard'!$I$22:$I$25</c:f>
              <c:numCache>
                <c:formatCode>0.00x</c:formatCode>
                <c:ptCount val="0"/>
              </c:numCache>
            </c:numRef>
          </c:val>
        </c:ser>
        <c:axId val="48650112"/>
        <c:axId val="48672768"/>
      </c:barChart>
      <c:catAx>
        <c:axId val="48650112"/>
        <c:scaling>
          <c:orientation val="minMax"/>
        </c:scaling>
        <c:delete val="0"/>
        <c:axPos val="b"/>
        <c:majorGridlines>
          <c:spPr>
            <a:ln xmlns:a="http://schemas.openxmlformats.org/drawingml/2006/main" w="9525">
              <a:solidFill>
                <a:srgbClr val="CCCCCC"/>
              </a:solidFill>
              <a:prstDash val="dash"/>
            </a:ln>
          </c:spPr>
        </c:majorGridlines>
        <c:numFmt formatCode="General"/>
        <c:majorTickMark val="none"/>
        <c:minorTickMark val="none"/>
        <c:tickLblPos val="nextTo"/>
        <c:crossAx val="48672768"/>
        <c:lblAlgn val="ctr"/>
        <c:lblOffset val="100"/>
        <c:noMultiLvlLbl val="0"/>
      </c:catAx>
      <c:valAx>
        <c:axId val="48672768"/>
        <c:scaling>
          <c:orientation val="minMax"/>
          <c:max val="5"/>
          <c:min val="0"/>
        </c:scaling>
        <c:delete val="0"/>
        <c:axPos val="l"/>
        <c:majorGridlines>
          <c:spPr>
            <a:ln xmlns:a="http://schemas.openxmlformats.org/drawingml/2006/main" w="9525">
              <a:solidFill>
                <a:srgbClr val="CCCCCC"/>
              </a:solidFill>
              <a:prstDash val="dash"/>
            </a:ln>
          </c:spPr>
        </c:majorGridlines>
        <c:numFmt formatCode="0.0x"/>
        <c:majorTickMark val="none"/>
        <c:minorTickMark val="none"/>
        <c:crossAx val="48650112"/>
        <c:crossBetween val="between"/>
      </c:valAx>
    </c:plotArea>
    <c:plotVisOnly val="1"/>
  </c:chart>
  <c:spPr>
    <a:ln xmlns:a="http://schemas.openxmlformats.org/drawingml/2006/main" w="9525">
      <a:solidFill>
        <a:srgbClr val="D9D9D9"/>
      </a:solidFill>
      <a:prstDash val="solid"/>
    </a:ln>
  </c:spPr>
</c:chartSpace>
</file>

<file path=xl/drawings/charts/chart2.xml><?xml version="1.0" encoding="utf-8"?>
<c:chartSpace xmlns:c="http://schemas.openxmlformats.org/drawingml/2006/chart">
  <c:lang val="en-US"/>
  <c:roundedCorners val="0"/>
  <c:chart>
    <c:title>
      <c:tx>
        <c:rich>
          <a:bodyPr xmlns:a="http://schemas.openxmlformats.org/drawingml/2006/main"/>
          <a:lstStyle xmlns:a="http://schemas.openxmlformats.org/drawingml/2006/main"/>
          <a:p xmlns:a="http://schemas.openxmlformats.org/drawingml/2006/main">
            <a:r>
              <a:t>System throughput expanded to 5.1m TEU</a:t>
            </a:r>
          </a:p>
        </c:rich>
      </c:tx>
    </c:title>
    <c:plotArea>
      <c:lineChart>
        <c:grouping val="standard"/>
        <c:varyColors val="0"/>
        <c:ser>
          <c:idx val="0"/>
          <c:order val="0"/>
          <c:tx>
            <c:v>System throughput (m TEU)</c:v>
          </c:tx>
          <c:marker>
            <c:symbol val="none"/>
          </c:marker>
          <c:cat>
            <c:strRef>
              <c:f>'P3 Dashboard'!$A$33:$A$37</c:f>
              <c:strCache>
                <c:ptCount val="0"/>
              </c:strCache>
            </c:strRef>
          </c:cat>
          <c:val>
            <c:numRef>
              <c:f>'P3 Dashboard'!$B$33:$B$37</c:f>
              <c:numCache>
                <c:formatCode>#,##0.000;[Red](#,##0.000);-</c:formatCode>
                <c:ptCount val="0"/>
              </c:numCache>
            </c:numRef>
          </c:val>
        </c:ser>
        <c:axId val="48650112"/>
        <c:axId val="48672768"/>
      </c:lineChart>
      <c:catAx>
        <c:axId val="48650112"/>
        <c:scaling>
          <c:orientation val="minMax"/>
        </c:scaling>
        <c:delete val="0"/>
        <c:axPos val="b"/>
        <c:majorGridlines>
          <c:spPr>
            <a:ln xmlns:a="http://schemas.openxmlformats.org/drawingml/2006/main" w="9525">
              <a:solidFill>
                <a:srgbClr val="CCCCCC"/>
              </a:solidFill>
              <a:prstDash val="dash"/>
            </a:ln>
          </c:spPr>
        </c:majorGridlines>
        <c:numFmt formatCode="General"/>
        <c:majorTickMark val="none"/>
        <c:minorTickMark val="none"/>
        <c:tickLblPos val="nextTo"/>
        <c:crossAx val="48672768"/>
        <c:lblAlgn val="ctr"/>
        <c:lblOffset val="100"/>
        <c:noMultiLvlLbl val="0"/>
      </c:catAx>
      <c:valAx>
        <c:axId val="48672768"/>
        <c:scaling>
          <c:orientation val="minMax"/>
        </c:scaling>
        <c:delete val="0"/>
        <c:axPos val="l"/>
        <c:majorGridlines>
          <c:spPr>
            <a:ln xmlns:a="http://schemas.openxmlformats.org/drawingml/2006/main" w="9525">
              <a:solidFill>
                <a:srgbClr val="CCCCCC"/>
              </a:solidFill>
              <a:prstDash val="dash"/>
            </a:ln>
          </c:spPr>
        </c:majorGridlines>
        <c:numFmt formatCode="0.0"/>
        <c:majorTickMark val="none"/>
        <c:minorTickMark val="none"/>
        <c:crossAx val="48650112"/>
        <c:crossBetween val="between"/>
      </c:valAx>
    </c:plotArea>
    <c:plotVisOnly val="1"/>
  </c:chart>
  <c:spPr>
    <a:ln xmlns:a="http://schemas.openxmlformats.org/drawingml/2006/main" w="9525">
      <a:solidFill>
        <a:srgbClr val="D9D9D9"/>
      </a:solidFill>
      <a:prstDash val="solid"/>
    </a:ln>
  </c:spPr>
</c:chartSpace>
</file>

<file path=xl/drawings/charts/chart3.xml><?xml version="1.0" encoding="utf-8"?>
<c:chartSpace xmlns:c="http://schemas.openxmlformats.org/drawingml/2006/chart">
  <c:lang val="en-US"/>
  <c:roundedCorners val="0"/>
  <c:chart>
    <c:title>
      <c:tx>
        <c:rich>
          <a:bodyPr xmlns:a="http://schemas.openxmlformats.org/drawingml/2006/main"/>
          <a:lstStyle xmlns:a="http://schemas.openxmlformats.org/drawingml/2006/main"/>
          <a:p xmlns:a="http://schemas.openxmlformats.org/drawingml/2006/main">
            <a:r>
              <a:t>Associates became a major share of core PBT (VND bn)</a:t>
            </a:r>
          </a:p>
        </c:rich>
      </c:tx>
    </c:title>
    <c:plotArea>
      <c:barChart>
        <c:barDir val="col"/>
        <c:varyColors val="0"/>
        <c:ser>
          <c:idx val="0"/>
          <c:order val="0"/>
          <c:tx>
            <c:v>Associate earnings</c:v>
          </c:tx>
          <c:cat>
            <c:strRef>
              <c:f>'P3 Dashboard'!$F$33:$F$37</c:f>
              <c:strCache>
                <c:ptCount val="0"/>
              </c:strCache>
            </c:strRef>
          </c:cat>
          <c:val>
            <c:numRef>
              <c:f>'P3 Dashboard'!$G$33:$G$37</c:f>
              <c:numCache>
                <c:formatCode>#,##0.0;[Red](#,##0.0);-</c:formatCode>
                <c:ptCount val="0"/>
              </c:numCache>
            </c:numRef>
          </c:val>
        </c:ser>
        <c:ser>
          <c:idx val="1"/>
          <c:order val="1"/>
          <c:tx>
            <c:v>Residual core PBT</c:v>
          </c:tx>
          <c:cat>
            <c:strRef>
              <c:f>'P3 Dashboard'!$F$33:$F$37</c:f>
              <c:strCache>
                <c:ptCount val="0"/>
              </c:strCache>
            </c:strRef>
          </c:cat>
          <c:val>
            <c:numRef>
              <c:f>'P3 Dashboard'!$H$33:$H$37</c:f>
              <c:numCache>
                <c:formatCode>#,##0.0;[Red](#,##0.0);-</c:formatCode>
                <c:ptCount val="0"/>
              </c:numCache>
            </c:numRef>
          </c:val>
        </c:ser>
        <c:axId val="48650112"/>
        <c:axId val="48672768"/>
      </c:barChart>
      <c:catAx>
        <c:axId val="48650112"/>
        <c:scaling>
          <c:orientation val="minMax"/>
        </c:scaling>
        <c:delete val="0"/>
        <c:axPos val="b"/>
        <c:majorGridlines>
          <c:spPr>
            <a:ln xmlns:a="http://schemas.openxmlformats.org/drawingml/2006/main" w="9525">
              <a:solidFill>
                <a:srgbClr val="CCCCCC"/>
              </a:solidFill>
              <a:prstDash val="dash"/>
            </a:ln>
          </c:spPr>
        </c:majorGridlines>
        <c:numFmt formatCode="General"/>
        <c:majorTickMark val="none"/>
        <c:minorTickMark val="none"/>
        <c:tickLblPos val="nextTo"/>
        <c:crossAx val="48672768"/>
        <c:lblAlgn val="ctr"/>
        <c:lblOffset val="100"/>
        <c:noMultiLvlLbl val="0"/>
      </c:catAx>
      <c:valAx>
        <c:axId val="48672768"/>
        <c:scaling>
          <c:orientation val="minMax"/>
        </c:scaling>
        <c:delete val="0"/>
        <c:axPos val="l"/>
        <c:majorGridlines>
          <c:spPr>
            <a:ln xmlns:a="http://schemas.openxmlformats.org/drawingml/2006/main" w="9525">
              <a:solidFill>
                <a:srgbClr val="CCCCCC"/>
              </a:solidFill>
              <a:prstDash val="dash"/>
            </a:ln>
          </c:spPr>
        </c:majorGridlines>
        <c:numFmt formatCode="#,##0"/>
        <c:majorTickMark val="none"/>
        <c:minorTickMark val="none"/>
        <c:crossAx val="48650112"/>
        <c:crossBetween val="between"/>
      </c:valAx>
    </c:plotArea>
    <c:legend>
      <c:legendPos val="b"/>
      <c:overlay val="0"/>
    </c:legend>
    <c:plotVisOnly val="1"/>
  </c:chart>
  <c:spPr>
    <a:ln xmlns:a="http://schemas.openxmlformats.org/drawingml/2006/main" w="9525">
      <a:solidFill>
        <a:srgbClr val="D9D9D9"/>
      </a:solidFill>
      <a:prstDash val="solid"/>
    </a:ln>
  </c:spPr>
</c:chartSpace>
</file>

<file path=xl/drawings/charts/chart4.xml><?xml version="1.0" encoding="utf-8"?>
<c:chartSpace xmlns:c="http://schemas.openxmlformats.org/drawingml/2006/chart">
  <c:lang val="en-US"/>
  <c:roundedCorners val="0"/>
  <c:chart>
    <c:title>
      <c:tx>
        <c:rich>
          <a:bodyPr xmlns:a="http://schemas.openxmlformats.org/drawingml/2006/main"/>
          <a:lstStyle xmlns:a="http://schemas.openxmlformats.org/drawingml/2006/main"/>
          <a:p xmlns:a="http://schemas.openxmlformats.org/drawingml/2006/main">
            <a:r>
              <a:t>GMD system throughput scales with share and capacity (m TEU)</a:t>
            </a:r>
          </a:p>
        </c:rich>
      </c:tx>
    </c:title>
    <c:plotArea>
      <c:lineChart>
        <c:grouping val="standard"/>
        <c:varyColors val="0"/>
        <c:ser>
          <c:idx val="0"/>
          <c:order val="0"/>
          <c:tx>
            <c:v>Base throughput</c:v>
          </c:tx>
          <c:spPr>
            <a:solidFill xmlns:a="http://schemas.openxmlformats.org/drawingml/2006/main">
              <a:srgbClr val="1F4E78"/>
            </a:solidFill>
          </c:spPr>
          <c:marker>
            <c:symbol val="none"/>
          </c:marker>
          <c:cat>
            <c:strRef>
              <c:f>'P4 Dashboard'!$A$49:$A$54</c:f>
              <c:strCache>
                <c:ptCount val="0"/>
              </c:strCache>
            </c:strRef>
          </c:cat>
          <c:val>
            <c:numRef>
              <c:f>'P4 Dashboard'!$B$49:$B$54</c:f>
              <c:numCache>
                <c:formatCode>#,##0.000;[Red](#,##0.000);-</c:formatCode>
                <c:ptCount val="0"/>
              </c:numCache>
            </c:numRef>
          </c:val>
        </c:ser>
        <c:ser>
          <c:idx val="1"/>
          <c:order val="1"/>
          <c:tx>
            <c:v>Bull throughput</c:v>
          </c:tx>
          <c:spPr>
            <a:solidFill xmlns:a="http://schemas.openxmlformats.org/drawingml/2006/main">
              <a:srgbClr val="2E7D32"/>
            </a:solidFill>
          </c:spPr>
          <c:marker>
            <c:symbol val="none"/>
          </c:marker>
          <c:cat>
            <c:strRef>
              <c:f>'P4 Dashboard'!$A$49:$A$54</c:f>
              <c:strCache>
                <c:ptCount val="0"/>
              </c:strCache>
            </c:strRef>
          </c:cat>
          <c:val>
            <c:numRef>
              <c:f>'P4 Dashboard'!$C$49:$C$54</c:f>
              <c:numCache>
                <c:formatCode>#,##0.000;[Red](#,##0.000);-</c:formatCode>
                <c:ptCount val="0"/>
              </c:numCache>
            </c:numRef>
          </c:val>
        </c:ser>
        <c:ser>
          <c:idx val="2"/>
          <c:order val="2"/>
          <c:tx>
            <c:v>Bear throughput</c:v>
          </c:tx>
          <c:spPr>
            <a:solidFill xmlns:a="http://schemas.openxmlformats.org/drawingml/2006/main">
              <a:srgbClr val="C00000"/>
            </a:solidFill>
          </c:spPr>
          <c:marker>
            <c:symbol val="none"/>
          </c:marker>
          <c:cat>
            <c:strRef>
              <c:f>'P4 Dashboard'!$A$49:$A$54</c:f>
              <c:strCache>
                <c:ptCount val="0"/>
              </c:strCache>
            </c:strRef>
          </c:cat>
          <c:val>
            <c:numRef>
              <c:f>'P4 Dashboard'!$D$49:$D$54</c:f>
              <c:numCache>
                <c:formatCode>#,##0.000;[Red](#,##0.000);-</c:formatCode>
                <c:ptCount val="0"/>
              </c:numCache>
            </c:numRef>
          </c:val>
        </c:ser>
        <c:axId val="48650112"/>
        <c:axId val="48672768"/>
      </c:lineChart>
      <c:catAx>
        <c:axId val="48650112"/>
        <c:scaling>
          <c:orientation val="minMax"/>
        </c:scaling>
        <c:delete val="0"/>
        <c:axPos val="b"/>
        <c:majorGridlines>
          <c:spPr>
            <a:ln xmlns:a="http://schemas.openxmlformats.org/drawingml/2006/main" w="9525">
              <a:solidFill>
                <a:srgbClr val="CCCCCC"/>
              </a:solidFill>
              <a:prstDash val="dash"/>
            </a:ln>
          </c:spPr>
        </c:majorGridlines>
        <c:numFmt formatCode="General"/>
        <c:majorTickMark val="none"/>
        <c:minorTickMark val="none"/>
        <c:tickLblPos val="nextTo"/>
        <c:txPr>
          <a:bodyPr xmlns:a="http://schemas.openxmlformats.org/drawingml/2006/main" anchorCtr="1"/>
          <a:lstStyle xmlns:a="http://schemas.openxmlformats.org/drawingml/2006/main"/>
          <a:p xmlns:a="http://schemas.openxmlformats.org/drawingml/2006/main">
            <a:pPr>
              <a:defRPr sz="675"/>
            </a:pPr>
          </a:p>
        </c:txPr>
        <c:crossAx val="48672768"/>
        <c:lblAlgn val="ctr"/>
        <c:lblOffset val="100"/>
        <c:noMultiLvlLbl val="0"/>
      </c:catAx>
      <c:valAx>
        <c:axId val="48672768"/>
        <c:scaling>
          <c:orientation val="minMax"/>
          <c:min val="0"/>
        </c:scaling>
        <c:delete val="0"/>
        <c:axPos val="l"/>
        <c:majorGridlines>
          <c:spPr>
            <a:ln xmlns:a="http://schemas.openxmlformats.org/drawingml/2006/main" w="9525">
              <a:solidFill>
                <a:srgbClr val="CCCCCC"/>
              </a:solidFill>
              <a:prstDash val="dash"/>
            </a:ln>
          </c:spPr>
        </c:majorGridlines>
        <c:numFmt formatCode="0.0"/>
        <c:majorTickMark val="none"/>
        <c:minorTickMark val="none"/>
        <c:crossAx val="48650112"/>
        <c:crossBetween val="between"/>
      </c:valAx>
    </c:plotArea>
    <c:legend>
      <c:legendPos val="b"/>
      <c:overlay val="0"/>
    </c:legend>
    <c:plotVisOnly val="1"/>
  </c:chart>
  <c:spPr>
    <a:ln xmlns:a="http://schemas.openxmlformats.org/drawingml/2006/main" w="9525">
      <a:solidFill>
        <a:srgbClr val="D9D9D9"/>
      </a:solidFill>
      <a:prstDash val="solid"/>
    </a:ln>
  </c:spPr>
</c:chartSpace>
</file>

<file path=xl/drawings/charts/chart5.xml><?xml version="1.0" encoding="utf-8"?>
<c:chartSpace xmlns:c="http://schemas.openxmlformats.org/drawingml/2006/chart">
  <c:lang val="en-US"/>
  <c:roundedCorners val="0"/>
  <c:chart>
    <c:title>
      <c:tx>
        <c:rich>
          <a:bodyPr xmlns:a="http://schemas.openxmlformats.org/drawingml/2006/main"/>
          <a:lstStyle xmlns:a="http://schemas.openxmlformats.org/drawingml/2006/main"/>
          <a:p xmlns:a="http://schemas.openxmlformats.org/drawingml/2006/main">
            <a:r>
              <a:t>Base-case revenue and parent PAT (VND bn)</a:t>
            </a:r>
          </a:p>
        </c:rich>
      </c:tx>
    </c:title>
    <c:plotArea>
      <c:lineChart>
        <c:grouping val="standard"/>
        <c:varyColors val="0"/>
        <c:ser>
          <c:idx val="0"/>
          <c:order val="0"/>
          <c:tx>
            <c:v>Revenue</c:v>
          </c:tx>
          <c:spPr>
            <a:solidFill xmlns:a="http://schemas.openxmlformats.org/drawingml/2006/main">
              <a:srgbClr val="1F4E78"/>
            </a:solidFill>
          </c:spPr>
          <c:marker>
            <c:symbol val="none"/>
          </c:marker>
          <c:cat>
            <c:strRef>
              <c:f>'P4 Dashboard'!$F$49:$F$54</c:f>
              <c:strCache>
                <c:ptCount val="0"/>
              </c:strCache>
            </c:strRef>
          </c:cat>
          <c:val>
            <c:numRef>
              <c:f>'P4 Dashboard'!$G$49:$G$54</c:f>
              <c:numCache>
                <c:formatCode>#,##0.0;[Red](#,##0.0);-</c:formatCode>
                <c:ptCount val="0"/>
              </c:numCache>
            </c:numRef>
          </c:val>
        </c:ser>
        <c:ser>
          <c:idx val="1"/>
          <c:order val="1"/>
          <c:tx>
            <c:v>Parent PAT</c:v>
          </c:tx>
          <c:spPr>
            <a:solidFill xmlns:a="http://schemas.openxmlformats.org/drawingml/2006/main">
              <a:srgbClr val="F4B183"/>
            </a:solidFill>
          </c:spPr>
          <c:marker>
            <c:symbol val="none"/>
          </c:marker>
          <c:cat>
            <c:strRef>
              <c:f>'P4 Dashboard'!$F$49:$F$54</c:f>
              <c:strCache>
                <c:ptCount val="0"/>
              </c:strCache>
            </c:strRef>
          </c:cat>
          <c:val>
            <c:numRef>
              <c:f>'P4 Dashboard'!$H$49:$H$54</c:f>
              <c:numCache>
                <c:formatCode>#,##0.0;[Red](#,##0.0);-</c:formatCode>
                <c:ptCount val="0"/>
              </c:numCache>
            </c:numRef>
          </c:val>
        </c:ser>
        <c:axId val="48650112"/>
        <c:axId val="48672768"/>
      </c:lineChart>
      <c:catAx>
        <c:axId val="48650112"/>
        <c:scaling>
          <c:orientation val="minMax"/>
        </c:scaling>
        <c:delete val="0"/>
        <c:axPos val="b"/>
        <c:majorGridlines>
          <c:spPr>
            <a:ln xmlns:a="http://schemas.openxmlformats.org/drawingml/2006/main" w="9525">
              <a:solidFill>
                <a:srgbClr val="CCCCCC"/>
              </a:solidFill>
              <a:prstDash val="dash"/>
            </a:ln>
          </c:spPr>
        </c:majorGridlines>
        <c:numFmt formatCode="General"/>
        <c:majorTickMark val="none"/>
        <c:minorTickMark val="none"/>
        <c:tickLblPos val="nextTo"/>
        <c:txPr>
          <a:bodyPr xmlns:a="http://schemas.openxmlformats.org/drawingml/2006/main" anchorCtr="1"/>
          <a:lstStyle xmlns:a="http://schemas.openxmlformats.org/drawingml/2006/main"/>
          <a:p xmlns:a="http://schemas.openxmlformats.org/drawingml/2006/main">
            <a:pPr>
              <a:defRPr sz="675"/>
            </a:pPr>
          </a:p>
        </c:txPr>
        <c:crossAx val="48672768"/>
        <c:lblAlgn val="ctr"/>
        <c:lblOffset val="100"/>
        <c:noMultiLvlLbl val="0"/>
      </c:catAx>
      <c:valAx>
        <c:axId val="48672768"/>
        <c:scaling>
          <c:orientation val="minMax"/>
          <c:min val="0"/>
        </c:scaling>
        <c:delete val="0"/>
        <c:axPos val="l"/>
        <c:majorGridlines>
          <c:spPr>
            <a:ln xmlns:a="http://schemas.openxmlformats.org/drawingml/2006/main" w="9525">
              <a:solidFill>
                <a:srgbClr val="CCCCCC"/>
              </a:solidFill>
              <a:prstDash val="dash"/>
            </a:ln>
          </c:spPr>
        </c:majorGridlines>
        <c:numFmt formatCode="#,##0"/>
        <c:majorTickMark val="none"/>
        <c:minorTickMark val="none"/>
        <c:crossAx val="48650112"/>
        <c:crossBetween val="between"/>
      </c:valAx>
    </c:plotArea>
    <c:legend>
      <c:legendPos val="b"/>
      <c:overlay val="0"/>
    </c:legend>
    <c:plotVisOnly val="1"/>
  </c:chart>
  <c:spPr>
    <a:ln xmlns:a="http://schemas.openxmlformats.org/drawingml/2006/main" w="9525">
      <a:solidFill>
        <a:srgbClr val="D9D9D9"/>
      </a:solidFill>
      <a:prstDash val="solid"/>
    </a:ln>
  </c:spPr>
</c:chartSpace>
</file>

<file path=xl/drawings/charts/chart6.xml><?xml version="1.0" encoding="utf-8"?>
<c:chartSpace xmlns:c="http://schemas.openxmlformats.org/drawingml/2006/chart">
  <c:lang val="en-US"/>
  <c:roundedCorners val="0"/>
  <c:chart>
    <c:title>
      <c:tx>
        <c:rich>
          <a:bodyPr xmlns:a="http://schemas.openxmlformats.org/drawingml/2006/main"/>
          <a:lstStyle xmlns:a="http://schemas.openxmlformats.org/drawingml/2006/main"/>
          <a:p xmlns:a="http://schemas.openxmlformats.org/drawingml/2006/main">
            <a:r>
              <a:t>Scenario target prices vs current (VND/share)</a:t>
            </a:r>
          </a:p>
        </c:rich>
      </c:tx>
    </c:title>
    <c:plotArea>
      <c:barChart>
        <c:barDir val="col"/>
        <c:varyColors val="0"/>
        <c:ser>
          <c:idx val="0"/>
          <c:order val="0"/>
          <c:tx>
            <c:v>Value</c:v>
          </c:tx>
          <c:spPr>
            <a:solidFill xmlns:a="http://schemas.openxmlformats.org/drawingml/2006/main">
              <a:srgbClr val="1F4E78"/>
            </a:solidFill>
          </c:spPr>
          <c:cat>
            <c:strRef>
              <c:f>'P4 Dashboard'!$J$49:$J$52</c:f>
              <c:strCache>
                <c:ptCount val="0"/>
              </c:strCache>
            </c:strRef>
          </c:cat>
          <c:val>
            <c:numRef>
              <c:f>'P4 Dashboard'!$K$49:$K$52</c:f>
              <c:numCache>
                <c:formatCode>#,##0;[Red](#,##0);-</c:formatCode>
                <c:ptCount val="0"/>
              </c:numCache>
            </c:numRef>
          </c:val>
        </c:ser>
        <c:axId val="48650112"/>
        <c:axId val="48672768"/>
      </c:barChart>
      <c:catAx>
        <c:axId val="48650112"/>
        <c:scaling>
          <c:orientation val="minMax"/>
        </c:scaling>
        <c:delete val="0"/>
        <c:axPos val="b"/>
        <c:majorGridlines>
          <c:spPr>
            <a:ln xmlns:a="http://schemas.openxmlformats.org/drawingml/2006/main" w="9525">
              <a:solidFill>
                <a:srgbClr val="CCCCCC"/>
              </a:solidFill>
              <a:prstDash val="dash"/>
            </a:ln>
          </c:spPr>
        </c:majorGridlines>
        <c:numFmt formatCode="General"/>
        <c:majorTickMark val="none"/>
        <c:minorTickMark val="none"/>
        <c:tickLblPos val="nextTo"/>
        <c:crossAx val="48672768"/>
        <c:lblAlgn val="ctr"/>
        <c:lblOffset val="100"/>
        <c:noMultiLvlLbl val="0"/>
      </c:catAx>
      <c:valAx>
        <c:axId val="48672768"/>
        <c:scaling>
          <c:orientation val="minMax"/>
        </c:scaling>
        <c:delete val="0"/>
        <c:axPos val="l"/>
        <c:majorGridlines>
          <c:spPr>
            <a:ln xmlns:a="http://schemas.openxmlformats.org/drawingml/2006/main" w="9525">
              <a:solidFill>
                <a:srgbClr val="CCCCCC"/>
              </a:solidFill>
              <a:prstDash val="dash"/>
            </a:ln>
          </c:spPr>
        </c:majorGridlines>
        <c:numFmt formatCode="#,##0"/>
        <c:majorTickMark val="none"/>
        <c:minorTickMark val="none"/>
        <c:crossAx val="48650112"/>
        <c:crossBetween val="between"/>
      </c:valAx>
    </c:plotArea>
    <c:plotVisOnly val="1"/>
  </c:chart>
  <c:spPr>
    <a:ln xmlns:a="http://schemas.openxmlformats.org/drawingml/2006/main" w="9525">
      <a:solidFill>
        <a:srgbClr val="D9D9D9"/>
      </a:solidFill>
      <a:prstDash val="solid"/>
    </a:ln>
  </c:spPr>
</c:chartSpace>
</file>

<file path=xl/drawings/drawing1.xml><?xml version="1.0" encoding="utf-8"?>
<xdr:wsDr xmlns:xdr="http://schemas.openxmlformats.org/drawingml/2006/spreadsheetDrawing">
  <xdr:twoCellAnchor>
    <xdr:from>
      <xdr:col>7</xdr:col>
      <xdr:colOff>0</xdr:colOff>
      <xdr:row>3</xdr:row>
      <xdr:rowOff>0</xdr:rowOff>
    </xdr:from>
    <xdr:to>
      <xdr:col>15</xdr:col>
      <xdr:colOff>0</xdr:colOff>
      <xdr:row>18</xdr:row>
      <xdr:rowOff>0</xdr:rowOff>
    </xdr:to>
    <xdr:graphicFrame macro="">
      <xdr:nvGraphicFramePr>
        <xdr:cNvPr id="1"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01107e3755434035"/>
        </a:graphicData>
      </a:graphic>
    </xdr:graphicFrame>
    <xdr:clientData/>
  </xdr:twoCellAnchor>
</xdr:wsDr>
</file>

<file path=xl/drawings/drawing2.xml><?xml version="1.0" encoding="utf-8"?>
<xdr:wsDr xmlns:xdr="http://schemas.openxmlformats.org/drawingml/2006/spreadsheetDrawing">
  <xdr:twoCellAnchor>
    <xdr:from>
      <xdr:col>7</xdr:col>
      <xdr:colOff>0</xdr:colOff>
      <xdr:row>3</xdr:row>
      <xdr:rowOff>0</xdr:rowOff>
    </xdr:from>
    <xdr:to>
      <xdr:col>14</xdr:col>
      <xdr:colOff>0</xdr:colOff>
      <xdr:row>15</xdr:row>
      <xdr:rowOff>0</xdr:rowOff>
    </xdr:to>
    <xdr:graphicFrame macro="">
      <xdr:nvGraphicFramePr>
        <xdr:cNvPr id="1"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2e21159916b94df4"/>
        </a:graphicData>
      </a:graphic>
    </xdr:graphicFrame>
    <xdr:clientData/>
  </xdr:twoCellAnchor>
  <xdr:twoCellAnchor>
    <xdr:from>
      <xdr:col>7</xdr:col>
      <xdr:colOff>0</xdr:colOff>
      <xdr:row>16</xdr:row>
      <xdr:rowOff>0</xdr:rowOff>
    </xdr:from>
    <xdr:to>
      <xdr:col>14</xdr:col>
      <xdr:colOff>0</xdr:colOff>
      <xdr:row>30</xdr:row>
      <xdr:rowOff>0</xdr:rowOff>
    </xdr:to>
    <xdr:graphicFrame macro="">
      <xdr:nvGraphicFramePr>
        <xdr:cNvPr id="2"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cedb4d7d18654862"/>
        </a:graphicData>
      </a:graphic>
    </xdr:graphicFrame>
    <xdr:clientData/>
  </xdr:twoCellAnchor>
</xdr:wsDr>
</file>

<file path=xl/drawings/drawing3.xml><?xml version="1.0" encoding="utf-8"?>
<xdr:wsDr xmlns:xdr="http://schemas.openxmlformats.org/drawingml/2006/spreadsheetDrawing">
  <xdr:twoCellAnchor>
    <xdr:from>
      <xdr:col>0</xdr:col>
      <xdr:colOff>0</xdr:colOff>
      <xdr:row>15</xdr:row>
      <xdr:rowOff>0</xdr:rowOff>
    </xdr:from>
    <xdr:to>
      <xdr:col>7</xdr:col>
      <xdr:colOff>0</xdr:colOff>
      <xdr:row>31</xdr:row>
      <xdr:rowOff>0</xdr:rowOff>
    </xdr:to>
    <xdr:graphicFrame macro="">
      <xdr:nvGraphicFramePr>
        <xdr:cNvPr id="1"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35191e32d1cf42a0"/>
        </a:graphicData>
      </a:graphic>
    </xdr:graphicFrame>
    <xdr:clientData/>
  </xdr:twoCellAnchor>
  <xdr:twoCellAnchor>
    <xdr:from>
      <xdr:col>7</xdr:col>
      <xdr:colOff>0</xdr:colOff>
      <xdr:row>15</xdr:row>
      <xdr:rowOff>0</xdr:rowOff>
    </xdr:from>
    <xdr:to>
      <xdr:col>14</xdr:col>
      <xdr:colOff>0</xdr:colOff>
      <xdr:row>31</xdr:row>
      <xdr:rowOff>0</xdr:rowOff>
    </xdr:to>
    <xdr:graphicFrame macro="">
      <xdr:nvGraphicFramePr>
        <xdr:cNvPr id="2"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a35af8f12ac94bef"/>
        </a:graphicData>
      </a:graphic>
    </xdr:graphicFrame>
    <xdr:clientData/>
  </xdr:twoCellAnchor>
  <xdr:twoCellAnchor>
    <xdr:from>
      <xdr:col>0</xdr:col>
      <xdr:colOff>0</xdr:colOff>
      <xdr:row>32</xdr:row>
      <xdr:rowOff>0</xdr:rowOff>
    </xdr:from>
    <xdr:to>
      <xdr:col>7</xdr:col>
      <xdr:colOff>0</xdr:colOff>
      <xdr:row>46</xdr:row>
      <xdr:rowOff>0</xdr:rowOff>
    </xdr:to>
    <xdr:graphicFrame macro="">
      <xdr:nvGraphicFramePr>
        <xdr:cNvPr id="3"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821eea89d1c74bbf"/>
        </a:graphicData>
      </a:graphic>
    </xdr:graphicFrame>
    <xdr:clientData/>
  </xdr:twoCellAnchor>
</xdr:wsDr>
</file>

<file path=xl/persons/person.xml><?xml version="1.0" encoding="utf-8"?>
<xltc:personList xmlns:xltc="http://schemas.microsoft.com/office/spreadsheetml/2018/threadedcomments">
  <xltc:person displayName="Hoang" id="{A8268A1E-939A-4C1C-8768-738380D30AEC}"/>
  <xltc:person displayName="Hoang" id="{1328C053-4A22-4BE4-841F-FC72A980F73F}"/>
  <xltc:person displayName="Hoang" id="{EE165147-03F5-4C66-8FE2-0EB1F215D8DD}"/>
  <xltc:person displayName="Hoang" id="{7A18175A-8A26-4E83-9E41-49BF328882A3}"/>
</xltc:personList>
</file>

<file path=xl/tables/table1.xml><?xml version="1.0" encoding="utf-8"?>
<x:table xmlns:x="http://schemas.openxmlformats.org/spreadsheetml/2006/main" id="1" name="SourceAuditTable" displayName="SourceAuditTable" ref="A6:K47" headerRowCount="1" totalsRowCount="0" totalsRowShown="0">
  <x:tableColumns count="11">
    <x:tableColumn id="1" name="Source ID"/>
    <x:tableColumn id="2" name="Topic"/>
    <x:tableColumn id="3" name="Issuer / publisher"/>
    <x:tableColumn id="4" name="Document"/>
    <x:tableColumn id="5" name="Evidence class"/>
    <x:tableColumn id="6" name="Period"/>
    <x:tableColumn id="7" name="Accessed"/>
    <x:tableColumn id="8" name="Status"/>
    <x:tableColumn id="9" name="Source URL"/>
    <x:tableColumn id="10" name="Intended use"/>
    <x:tableColumn id="11" name="Audit note"/>
  </x:tableColumns>
  <x:tableStyleInfo name="TableStyleMedium2" showFirstColumn="0" showLastColumn="0" showRowStripes="1" showColumnStripes="0"/>
</x:table>
</file>

<file path=xl/tables/table2.xml><?xml version="1.0" encoding="utf-8"?>
<x:table xmlns:x="http://schemas.openxmlformats.org/spreadsheetml/2006/main" id="2" name="MacroAnnualTable" displayName="MacroAnnualTable" ref="A6:L11" headerRowCount="1" totalsRowCount="0" totalsRowShown="0">
  <x:tableColumns count="12">
    <x:tableColumn id="1" name="Year"/>
    <x:tableColumn id="2" name="Exports"/>
    <x:tableColumn id="3" name="Imports"/>
    <x:tableColumn id="4" name="Total trade"/>
    <x:tableColumn id="5" name="Trade YoY"/>
    <x:tableColumn id="6" name="Registered FDI"/>
    <x:tableColumn id="7" name="Disbursed FDI"/>
    <x:tableColumn id="8" name="FDI realization"/>
    <x:tableColumn id="9" name="Trade check"/>
    <x:tableColumn id="10" name="Source ID"/>
    <x:tableColumn id="11" name="Data class"/>
    <x:tableColumn id="12" name="Audit note"/>
  </x:tableColumns>
  <x:tableStyleInfo name="TableStyleMedium2" showFirstColumn="0" showLastColumn="0" showRowStripes="1" showColumnStripes="0"/>
</x:table>
</file>

<file path=xl/tables/table3.xml><?xml version="1.0" encoding="utf-8"?>
<x:table xmlns:x="http://schemas.openxmlformats.org/spreadsheetml/2006/main" id="3" name="MacroH1Table" displayName="MacroH1Table" ref="A6:J11" headerRowCount="1" totalsRowCount="0" totalsRowShown="0">
  <x:tableColumns count="10">
    <x:tableColumn id="1" name="Data ID"/>
    <x:tableColumn id="2" name="Indicator"/>
    <x:tableColumn id="3" name="Value"/>
    <x:tableColumn id="4" name="Unit"/>
    <x:tableColumn id="5" name="YoY growth"/>
    <x:tableColumn id="6" name="Period"/>
    <x:tableColumn id="7" name="Data class"/>
    <x:tableColumn id="8" name="Source ID"/>
    <x:tableColumn id="9" name="Intended use"/>
    <x:tableColumn id="10" name="Key caveat"/>
  </x:tableColumns>
  <x:tableStyleInfo name="TableStyleMedium2" showFirstColumn="0" showLastColumn="0" showRowStripes="1" showColumnStripes="0"/>
</x:table>
</file>

<file path=xl/tables/table4.xml><?xml version="1.0" encoding="utf-8"?>
<x:table xmlns:x="http://schemas.openxmlformats.org/spreadsheetml/2006/main" id="4" name="IndustryFactsTable" displayName="IndustryFactsTable" ref="A6:K17" headerRowCount="1" totalsRowCount="0" totalsRowShown="0">
  <x:tableColumns count="11">
    <x:tableColumn id="1" name="Data ID"/>
    <x:tableColumn id="2" name="Metric"/>
    <x:tableColumn id="3" name="Value"/>
    <x:tableColumn id="4" name="Unit"/>
    <x:tableColumn id="5" name="Growth"/>
    <x:tableColumn id="6" name="Period"/>
    <x:tableColumn id="7" name="Scope"/>
    <x:tableColumn id="8" name="Data class"/>
    <x:tableColumn id="9" name="Source ID"/>
    <x:tableColumn id="10" name="Intended use"/>
    <x:tableColumn id="11" name="Audit note"/>
  </x:tableColumns>
  <x:tableStyleInfo name="TableStyleMedium2" showFirstColumn="0" showLastColumn="0" showRowStripes="1" showColumnStripes="0"/>
</x:table>
</file>

<file path=xl/tables/table5.xml><?xml version="1.0" encoding="utf-8"?>
<x:table xmlns:x="http://schemas.openxmlformats.org/spreadsheetml/2006/main" id="5" name="GMDHistoryTable" displayName="GMDHistoryTable" ref="A6:K12" headerRowCount="1" totalsRowCount="0" totalsRowShown="0">
  <x:tableColumns count="11">
    <x:tableColumn id="1" name="Year"/>
    <x:tableColumn id="2" name="Net revenue"/>
    <x:tableColumn id="3" name="PBT / core PBT"/>
    <x:tableColumn id="4" name="PBT margin"/>
    <x:tableColumn id="5" name="Total assets"/>
    <x:tableColumn id="6" name="Equity"/>
    <x:tableColumn id="7" name="D/E"/>
    <x:tableColumn id="8" name="Debt / assets"/>
    <x:tableColumn id="9" name="Interest cover"/>
    <x:tableColumn id="10" name="Source ID"/>
    <x:tableColumn id="11" name="Data note"/>
  </x:tableColumns>
  <x:tableStyleInfo name="TableStyleMedium2" showFirstColumn="0" showLastColumn="0" showRowStripes="1" showColumnStripes="0"/>
</x:table>
</file>

<file path=xl/tables/table6.xml><?xml version="1.0" encoding="utf-8"?>
<x:table xmlns:x="http://schemas.openxmlformats.org/spreadsheetml/2006/main" id="6" name="GMDSegmentTable" displayName="GMDSegmentTable" ref="A17:I20" headerRowCount="1" totalsRowCount="0" totalsRowShown="0">
  <x:tableColumns count="9">
    <x:tableColumn id="1" name="Year"/>
    <x:tableColumn id="2" name="Port revenue"/>
    <x:tableColumn id="3" name="Logistics revenue"/>
    <x:tableColumn id="4" name="Port mix"/>
    <x:tableColumn id="5" name="COGS"/>
    <x:tableColumn id="6" name="Selling expense"/>
    <x:tableColumn id="7" name="G&amp;A"/>
    <x:tableColumn id="8" name="Interest expense"/>
    <x:tableColumn id="9" name="Source ID"/>
  </x:tableColumns>
  <x:tableStyleInfo name="TableStyleMedium2" showFirstColumn="0" showLastColumn="0" showRowStripes="1" showColumnStripes="0"/>
</x:table>
</file>

<file path=xl/tables/table7.xml><?xml version="1.0" encoding="utf-8"?>
<x:table xmlns:x="http://schemas.openxmlformats.org/spreadsheetml/2006/main" id="7" name="GMDOperationsTable" displayName="GMDOperationsTable" ref="A6:J35" headerRowCount="1" totalsRowCount="0" totalsRowShown="0">
  <x:tableColumns count="10">
    <x:tableColumn id="1" name="Data ID"/>
    <x:tableColumn id="2" name="Asset / cluster"/>
    <x:tableColumn id="3" name="Region"/>
    <x:tableColumn id="4" name="Metric"/>
    <x:tableColumn id="5" name="Value"/>
    <x:tableColumn id="6" name="Unit"/>
    <x:tableColumn id="7" name="Period / status"/>
    <x:tableColumn id="8" name="Data class"/>
    <x:tableColumn id="9" name="Source ID"/>
    <x:tableColumn id="10" name="Audit note"/>
  </x:tableColumns>
  <x:tableStyleInfo name="TableStyleMedium2" showFirstColumn="0" showLastColumn="0" showRowStripes="1" showColumnStripes="0"/>
</x:table>
</file>

<file path=xl/tables/table8.xml><?xml version="1.0" encoding="utf-8"?>
<x:table xmlns:x="http://schemas.openxmlformats.org/spreadsheetml/2006/main" id="8" name="PeerRegistryTable" displayName="PeerRegistryTable" ref="A6:I10" headerRowCount="1" totalsRowCount="0" totalsRowShown="0">
  <x:tableColumns count="9">
    <x:tableColumn id="1" name="Ticker"/>
    <x:tableColumn id="2" name="Company"/>
    <x:tableColumn id="3" name="Geography"/>
    <x:tableColumn id="4" name="Key assets / exposure"/>
    <x:tableColumn id="5" name="Strategic angle"/>
    <x:tableColumn id="6" name="Evidence status"/>
    <x:tableColumn id="7" name="Source ID"/>
    <x:tableColumn id="8" name="Phase 2 role"/>
    <x:tableColumn id="9" name="Normalization issue"/>
  </x:tableColumns>
  <x:tableStyleInfo name="TableStyleMedium2" showFirstColumn="0" showLastColumn="0" showRowStripes="1" showColumnStripes="0"/>
</x:table>
</file>

<file path=xl/tables/table9.xml><?xml version="1.0" encoding="utf-8"?>
<x:table xmlns:x="http://schemas.openxmlformats.org/spreadsheetml/2006/main" id="9" name="PHPFactsTable" displayName="PHPFactsTable" ref="A16:H23" headerRowCount="1" totalsRowCount="0" totalsRowShown="0">
  <x:tableColumns count="8">
    <x:tableColumn id="1" name="Data ID"/>
    <x:tableColumn id="2" name="Metric"/>
    <x:tableColumn id="3" name="Value"/>
    <x:tableColumn id="4" name="Unit"/>
    <x:tableColumn id="5" name="Period"/>
    <x:tableColumn id="6" name="Data class"/>
    <x:tableColumn id="7" name="Source ID"/>
    <x:tableColumn id="8" name="Audit note"/>
  </x:tableColumns>
  <x:tableStyleInfo name="TableStyleMedium2" showFirstColumn="0" showLastColumn="0" showRowStripes="1" showColumnStripes="0"/>
</x:table>
</file>

<file path=xl/tables/table10.xml><?xml version="1.0" encoding="utf-8"?>
<x:table xmlns:x="http://schemas.openxmlformats.org/spreadsheetml/2006/main" id="10" name="DataDictionaryTable" displayName="DataDictionaryTable" ref="A6:F21" headerRowCount="1" totalsRowCount="0" totalsRowShown="0">
  <x:tableColumns count="6">
    <x:tableColumn id="1" name="Metric"/>
    <x:tableColumn id="2" name="Definition"/>
    <x:tableColumn id="3" name="Standard unit"/>
    <x:tableColumn id="4" name="Frequency"/>
    <x:tableColumn id="5" name="Preferred source"/>
    <x:tableColumn id="6" name="Modeling caveat"/>
  </x:tableColumns>
  <x:tableStyleInfo name="TableStyleMedium2" showFirstColumn="0" showLastColumn="0" showRowStripes="1" showColumnStripes="0"/>
</x:table>
</file>

<file path=xl/tables/table11.xml><?xml version="1.0" encoding="utf-8"?>
<x:table xmlns:x="http://schemas.openxmlformats.org/spreadsheetml/2006/main" id="11" name="GapLogTable" displayName="GapLogTable" ref="A6:I16" headerRowCount="1" totalsRowCount="0" totalsRowShown="0">
  <x:tableColumns count="9">
    <x:tableColumn id="1" name="Gap ID"/>
    <x:tableColumn id="2" name="Topic"/>
    <x:tableColumn id="3" name="Missing evidence"/>
    <x:tableColumn id="4" name="Priority"/>
    <x:tableColumn id="5" name="Status"/>
    <x:tableColumn id="6" name="Required by"/>
    <x:tableColumn id="7" name="Owner"/>
    <x:tableColumn id="8" name="Next action"/>
    <x:tableColumn id="9" name="Why it matters"/>
  </x:tableColumns>
  <x:tableStyleInfo name="TableStyleMedium2" showFirstColumn="0" showLastColumn="0" showRowStripes="1" showColumnStripes="0"/>
</x:table>
</file>

<file path=xl/tables/table12.xml><?xml version="1.0" encoding="utf-8"?>
<x:table xmlns:x="http://schemas.openxmlformats.org/spreadsheetml/2006/main" id="12" name="ChecksTable" displayName="ChecksTable" ref="A6:F21" headerRowCount="1" totalsRowCount="0" totalsRowShown="0">
  <x:tableColumns count="6">
    <x:tableColumn id="1" name="Check"/>
    <x:tableColumn id="2" name="Actual"/>
    <x:tableColumn id="3" name="Expected"/>
    <x:tableColumn id="4" name="Difference"/>
    <x:tableColumn id="5" name="Status"/>
    <x:tableColumn id="6" name="Control note"/>
  </x:tableColumns>
  <x:tableStyleInfo name="TableStyleMedium2" showFirstColumn="0" showLastColumn="0" showRowStripes="1" showColumnStripes="0"/>
</x:table>
</file>

<file path=xl/tables/table13.xml><?xml version="1.0" encoding="utf-8"?>
<x:table xmlns:x="http://schemas.openxmlformats.org/spreadsheetml/2006/main" id="13" name="P2RegionalMapTable" displayName="P2RegionalMapTable" ref="A6:K10" headerRowCount="1" totalsRowCount="0" totalsRowShown="0">
  <x:tableColumns count="11">
    <x:tableColumn id="1" name="Region / cluster"/>
    <x:tableColumn id="2" name="Geography"/>
    <x:tableColumn id="3" name="Demand / connectivity anchor"/>
    <x:tableColumn id="4" name="Asset-position read"/>
    <x:tableColumn id="5" name="Relevant peers"/>
    <x:tableColumn id="6" name="Key assets"/>
    <x:tableColumn id="7" name="Structural score"/>
    <x:tableColumn id="8" name="ER implication"/>
    <x:tableColumn id="9" name="Main risk"/>
    <x:tableColumn id="10" name="Source ID"/>
    <x:tableColumn id="11" name="Audit note"/>
  </x:tableColumns>
  <x:tableStyleInfo name="TableStyleMedium2" showFirstColumn="0" showLastColumn="0" showRowStripes="1" showColumnStripes="0"/>
</x:table>
</file>

<file path=xl/tables/table14.xml><?xml version="1.0" encoding="utf-8"?>
<x:table xmlns:x="http://schemas.openxmlformats.org/spreadsheetml/2006/main" id="14" name="P2FinancialFactsTable" displayName="P2FinancialFactsTable" ref="A6:N10" headerRowCount="1" totalsRowCount="0" totalsRowShown="0">
  <x:tableColumns count="14">
    <x:tableColumn id="1" name="Ticker"/>
    <x:tableColumn id="2" name="Financial basis"/>
    <x:tableColumn id="3" name="Revenue 2024"/>
    <x:tableColumn id="4" name="Revenue 2025"/>
    <x:tableColumn id="5" name="Revenue growth"/>
    <x:tableColumn id="6" name="PBT 2024"/>
    <x:tableColumn id="7" name="PBT 2025"/>
    <x:tableColumn id="8" name="PBT growth"/>
    <x:tableColumn id="9" name="PBT margin 2025"/>
    <x:tableColumn id="10" name="Assets 2025"/>
    <x:tableColumn id="11" name="Equity 2025"/>
    <x:tableColumn id="12" name="Leverage metric"/>
    <x:tableColumn id="13" name="Source ID"/>
    <x:tableColumn id="14" name="Audit note"/>
  </x:tableColumns>
  <x:tableStyleInfo name="TableStyleMedium2" showFirstColumn="0" showLastColumn="0" showRowStripes="1" showColumnStripes="0"/>
</x:table>
</file>

<file path=xl/tables/table15.xml><?xml version="1.0" encoding="utf-8"?>
<x:table xmlns:x="http://schemas.openxmlformats.org/spreadsheetml/2006/main" id="15" name="P2OperatingFactsTable" displayName="P2OperatingFactsTable" ref="A14:L19" headerRowCount="1" totalsRowCount="0" totalsRowShown="0">
  <x:tableColumns count="12">
    <x:tableColumn id="1" name="Ticker"/>
    <x:tableColumn id="2" name="Operating scope"/>
    <x:tableColumn id="3" name="Period"/>
    <x:tableColumn id="4" name="Throughput"/>
    <x:tableColumn id="5" name="Unit"/>
    <x:tableColumn id="6" name="YoY"/>
    <x:tableColumn id="7" name="Capacity"/>
    <x:tableColumn id="8" name="Capacity unit"/>
    <x:tableColumn id="9" name="Indicative utilization"/>
    <x:tableColumn id="10" name="Data class"/>
    <x:tableColumn id="11" name="Source ID"/>
    <x:tableColumn id="12" name="Audit note"/>
  </x:tableColumns>
  <x:tableStyleInfo name="TableStyleMedium2" showFirstColumn="0" showLastColumn="0" showRowStripes="1" showColumnStripes="0"/>
</x:table>
</file>

<file path=xl/tables/table16.xml><?xml version="1.0" encoding="utf-8"?>
<x:table xmlns:x="http://schemas.openxmlformats.org/spreadsheetml/2006/main" id="16" name="P2ScoreInputsTable" displayName="P2ScoreInputsTable" ref="A5:F12" headerRowCount="1" totalsRowCount="0" totalsRowShown="0">
  <x:tableColumns count="6">
    <x:tableColumn id="1" name="Criterion"/>
    <x:tableColumn id="2" name="Weight"/>
    <x:tableColumn id="3" name="GMD"/>
    <x:tableColumn id="4" name="VSC"/>
    <x:tableColumn id="5" name="PHP"/>
    <x:tableColumn id="6" name="DVP"/>
  </x:tableColumns>
  <x:tableStyleInfo name="TableStyleMedium2" showFirstColumn="0" showLastColumn="0" showRowStripes="1" showColumnStripes="0"/>
</x:table>
</file>

<file path=xl/tables/table17.xml><?xml version="1.0" encoding="utf-8"?>
<x:table xmlns:x="http://schemas.openxmlformats.org/spreadsheetml/2006/main" id="17" name="P2RationaleTable" displayName="P2RationaleTable" ref="A17:F24" headerRowCount="1" totalsRowCount="0" totalsRowShown="0">
  <x:tableColumns count="6">
    <x:tableColumn id="1" name="Criterion"/>
    <x:tableColumn id="2" name="GMD"/>
    <x:tableColumn id="3" name="VSC"/>
    <x:tableColumn id="4" name="PHP"/>
    <x:tableColumn id="5" name="DVP"/>
    <x:tableColumn id="6" name="Source ID"/>
  </x:tableColumns>
  <x:tableStyleInfo name="TableStyleMedium2" showFirstColumn="0" showLastColumn="0" showRowStripes="1" showColumnStripes="0"/>
</x:table>
</file>

<file path=xl/tables/table18.xml><?xml version="1.0" encoding="utf-8"?>
<x:table xmlns:x="http://schemas.openxmlformats.org/spreadsheetml/2006/main" id="18" name="P2PeerRolesTable" displayName="P2PeerRolesTable" ref="A12:E16" headerRowCount="1" totalsRowCount="0" totalsRowShown="0">
  <x:tableColumns count="5">
    <x:tableColumn id="1" name="Ticker"/>
    <x:tableColumn id="2" name="Phase 2 decision"/>
    <x:tableColumn id="3" name="Role in Phase 3"/>
    <x:tableColumn id="4" name="Falsification / warning"/>
    <x:tableColumn id="5" name="Source ID"/>
  </x:tableColumns>
  <x:tableStyleInfo name="TableStyleMedium2" showFirstColumn="0" showLastColumn="0" showRowStripes="1" showColumnStripes="0"/>
</x:table>
</file>

<file path=xl/tables/table19.xml><?xml version="1.0" encoding="utf-8"?>
<x:table xmlns:x="http://schemas.openxmlformats.org/spreadsheetml/2006/main" id="19" name="P2HandoffTable" displayName="P2HandoffTable" ref="A20:D25" headerRowCount="1" totalsRowCount="0" totalsRowShown="0">
  <x:tableColumns count="4">
    <x:tableColumn id="1" name="Step"/>
    <x:tableColumn id="2" name="Schedule"/>
    <x:tableColumn id="3" name="Required output"/>
    <x:tableColumn id="4" name="Evidence class"/>
  </x:tableColumns>
  <x:tableStyleInfo name="TableStyleMedium2" showFirstColumn="0" showLastColumn="0" showRowStripes="1" showColumnStripes="0"/>
</x:table>
</file>

<file path=xl/tables/table20.xml><?xml version="1.0" encoding="utf-8"?>
<x:table xmlns:x="http://schemas.openxmlformats.org/spreadsheetml/2006/main" id="20" name="P2ChecksTable" displayName="P2ChecksTable" ref="A6:G15" headerRowCount="1" totalsRowCount="0" totalsRowShown="0">
  <x:tableColumns count="7">
    <x:tableColumn id="1" name="Check"/>
    <x:tableColumn id="2" name="Actual"/>
    <x:tableColumn id="3" name="Expected"/>
    <x:tableColumn id="4" name="Difference"/>
    <x:tableColumn id="5" name="Tolerance"/>
    <x:tableColumn id="6" name="Status"/>
    <x:tableColumn id="7" name="Control note"/>
  </x:tableColumns>
  <x:tableStyleInfo name="TableStyleMedium2" showFirstColumn="0" showLastColumn="0" showRowStripes="1" showColumnStripes="0"/>
</x:table>
</file>

<file path=xl/tables/table21.xml><?xml version="1.0" encoding="utf-8"?>
<x:table xmlns:x="http://schemas.openxmlformats.org/spreadsheetml/2006/main" id="21" name="RawGMDVNStockTable" displayName="RawGMDVNStockTable" ref="A5:M193" headerRowCount="1" totalsRowCount="0" totalsRowShown="0">
  <x:tableColumns count="13">
    <x:tableColumn id="1" name="Statement"/>
    <x:tableColumn id="2" name="Item ID"/>
    <x:tableColumn id="3" name="Item (Vietnamese)"/>
    <x:tableColumn id="4" name="Item (English)"/>
    <x:tableColumn id="5" name="Fri Dec 31 2021 07:00:00 GMT+0700 (Giờ Đông Dương)"/>
    <x:tableColumn id="6" name="Sat Dec 31 2022 07:00:00 GMT+0700 (Giờ Đông Dương)"/>
    <x:tableColumn id="7" name="Sun Dec 31 2023 07:00:00 GMT+0700 (Giờ Đông Dương)"/>
    <x:tableColumn id="8" name="Tue Dec 31 2024 07:00:00 GMT+0700 (Giờ Đông Dương)"/>
    <x:tableColumn id="9" name="Wed Dec 31 2025 07:00:00 GMT+0700 (Giờ Đông Dương)"/>
    <x:tableColumn id="10" name="Unit"/>
    <x:tableColumn id="11" name="Source ID"/>
    <x:tableColumn id="12" name="Source URL"/>
    <x:tableColumn id="13" name="Fetched at"/>
  </x:tableColumns>
  <x:tableStyleInfo name="TableStyleMedium2" showFirstColumn="0" showLastColumn="0" showRowStripes="1" showColumnStripes="0"/>
</x:table>
</file>

<file path=xl/tables/table22.xml><?xml version="1.0" encoding="utf-8"?>
<x:table xmlns:x="http://schemas.openxmlformats.org/spreadsheetml/2006/main" id="22" name="RawGMDDisclosureTable" displayName="RawGMDDisclosureTable" ref="A4:K21" headerRowCount="1" totalsRowCount="0" totalsRowShown="0">
  <x:tableColumns count="11">
    <x:tableColumn id="1" name="Key"/>
    <x:tableColumn id="2" name="Metric"/>
    <x:tableColumn id="3" name="Unit"/>
    <x:tableColumn id="4" name="Fri Dec 31 2021 07:00:00 GMT+0700 (Giờ Đông Dương)"/>
    <x:tableColumn id="5" name="Sat Dec 31 2022 07:00:00 GMT+0700 (Giờ Đông Dương)"/>
    <x:tableColumn id="6" name="Sun Dec 31 2023 07:00:00 GMT+0700 (Giờ Đông Dương)"/>
    <x:tableColumn id="7" name="Tue Dec 31 2024 07:00:00 GMT+0700 (Giờ Đông Dương)"/>
    <x:tableColumn id="8" name="Wed Dec 31 2025 07:00:00 GMT+0700 (Giờ Đông Dương)"/>
    <x:tableColumn id="9" name="Source ID"/>
    <x:tableColumn id="10" name="Data class"/>
    <x:tableColumn id="11" name="Audit note"/>
  </x:tableColumns>
  <x:tableStyleInfo name="TableStyleMedium2" showFirstColumn="0" showLastColumn="0" showRowStripes="1" showColumnStripes="0"/>
</x:table>
</file>

<file path=xl/tables/table23.xml><?xml version="1.0" encoding="utf-8"?>
<x:table xmlns:x="http://schemas.openxmlformats.org/spreadsheetml/2006/main" id="23" name="RawGMDMarketOHLCV" displayName="RawGMDMarketOHLCV" ref="A5:H11" headerRowCount="1" totalsRowCount="0" totalsRowShown="0">
  <x:tableColumns count="8">
    <x:tableColumn id="1" name="Date"/>
    <x:tableColumn id="2" name="Open"/>
    <x:tableColumn id="3" name="High"/>
    <x:tableColumn id="4" name="Low"/>
    <x:tableColumn id="5" name="Close"/>
    <x:tableColumn id="6" name="Volume"/>
    <x:tableColumn id="7" name="Source ID"/>
    <x:tableColumn id="8" name="Source URL"/>
  </x:tableColumns>
  <x:tableStyleInfo name="TableStyleMedium2" showFirstColumn="0" showLastColumn="0" showRowStripes="1" showColumnStripes="0"/>
</x:table>
</file>

<file path=xl/tables/table24.xml><?xml version="1.0" encoding="utf-8"?>
<x:table xmlns:x="http://schemas.openxmlformats.org/spreadsheetml/2006/main" id="24" name="RawGMDPhase4Facts" displayName="RawGMDPhase4Facts" ref="A14:H30" headerRowCount="1" totalsRowCount="0" totalsRowShown="0">
  <x:tableColumns count="8">
    <x:tableColumn id="1" name="Metric"/>
    <x:tableColumn id="2" name="Unit"/>
    <x:tableColumn id="3" name="Value"/>
    <x:tableColumn id="4" name="Source ID"/>
    <x:tableColumn id="5" name="Source URL"/>
    <x:tableColumn id="6" name="Data class"/>
    <x:tableColumn id="7" name="As of / period"/>
    <x:tableColumn id="8" name="Audit note"/>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threadedcomments/threadedcomment.xml><?xml version="1.0" encoding="utf-8"?>
<xltc:ThreadedComments xmlns:xltc="http://schemas.microsoft.com/office/spreadsheetml/2018/threadedcomments">
  <xltc:threadedComment ref="B7" dT="2026-07-25T12:58:54.066" personId="{A8268A1E-939A-4C1C-8768-738380D30AEC}" id="{63146D7A-0999-1846-B25E-1DC3CA53E368}">
    <xltc:text>Source SRC-M07 / SRC-M08: National Statistics Office annual releases. See Source Audit for the exact URL. Caveat: Trade value is not container throughput.</xltc:text>
  </xltc:threadedComment>
  <xltc:threadedComment ref="F7" dT="2026-07-25T12:58:54.067" personId="{A8268A1E-939A-4C1C-8768-738380D30AEC}" id="{87A70166-A5EE-2EAB-EA4E-7E3AB718A731}">
    <xltc:text>Source SRC-M07 / SRC-M08: National Statistics Office annual releases. See Source Audit for the exact URL. Caveat: Registered FDI is not realized activity.</xltc:text>
  </xltc:threadedComment>
  <xltc:threadedComment ref="B8" dT="2026-07-25T12:58:54.067" personId="{A8268A1E-939A-4C1C-8768-738380D30AEC}" id="{3A5AC678-6081-2310-168C-3DCE65CFAD5B}">
    <xltc:text>Source SRC-M05 / SRC-M06: National Statistics Office annual releases. See Source Audit for the exact URL. Caveat: Trade value is not container throughput.</xltc:text>
  </xltc:threadedComment>
  <xltc:threadedComment ref="F8" dT="2026-07-25T12:58:54.067" personId="{A8268A1E-939A-4C1C-8768-738380D30AEC}" id="{F86A5D85-A28F-1BFB-AF63-38A380FB2B4F}">
    <xltc:text>Source SRC-M05 / SRC-M06: National Statistics Office annual releases. See Source Audit for the exact URL. Caveat: Registered FDI is not realized activity.</xltc:text>
  </xltc:threadedComment>
  <xltc:threadedComment ref="B9" dT="2026-07-25T12:58:54.067" personId="{A8268A1E-939A-4C1C-8768-738380D30AEC}" id="{5C27274A-DB57-49C6-B99E-00B6B1F86185}">
    <xltc:text>Source SRC-M04: National Statistics Office annual releases. See Source Audit for the exact URL. Caveat: Trade value is not container throughput.</xltc:text>
  </xltc:threadedComment>
  <xltc:threadedComment ref="F9" dT="2026-07-25T12:58:54.067" personId="{A8268A1E-939A-4C1C-8768-738380D30AEC}" id="{BDBB4277-F3A1-AF6B-D0C0-E0B0F87278FC}">
    <xltc:text>Source SRC-M04: National Statistics Office annual releases. See Source Audit for the exact URL. Caveat: Registered FDI is not realized activity.</xltc:text>
  </xltc:threadedComment>
  <xltc:threadedComment ref="B10" dT="2026-07-25T12:58:54.067" personId="{A8268A1E-939A-4C1C-8768-738380D30AEC}" id="{6CB1AC40-58F4-F956-2E99-A06C26B648E5}">
    <xltc:text>Source SRC-M03: National Statistics Office annual releases. See Source Audit for the exact URL. Caveat: Trade value is not container throughput.</xltc:text>
  </xltc:threadedComment>
  <xltc:threadedComment ref="F10" dT="2026-07-25T12:58:54.067" personId="{A8268A1E-939A-4C1C-8768-738380D30AEC}" id="{5F97D693-7C94-D69D-017B-FAE1124A7035}">
    <xltc:text>Source SRC-M03: National Statistics Office annual releases. See Source Audit for the exact URL. Caveat: Registered FDI is not realized activity.</xltc:text>
  </xltc:threadedComment>
  <xltc:threadedComment ref="B11" dT="2026-07-25T12:58:54.067" personId="{A8268A1E-939A-4C1C-8768-738380D30AEC}" id="{36359563-E6BE-EF6F-708E-B37B9B3BAB81}">
    <xltc:text>Source SRC-M02: National Statistics Office annual releases. See Source Audit for the exact URL. Caveat: Trade value is not container throughput.</xltc:text>
  </xltc:threadedComment>
  <xltc:threadedComment ref="F11" dT="2026-07-25T12:58:54.067" personId="{A8268A1E-939A-4C1C-8768-738380D30AEC}" id="{9B3EDD4A-E3CF-90F7-FFBD-91C10D776252}">
    <xltc:text>Source SRC-M02: National Statistics Office annual releases. See Source Audit for the exact URL. Caveat: Registered FDI is not realized activity.</xltc:text>
  </xltc:threadedComment>
</xltc:ThreadedComments>
</file>

<file path=xl/threadedcomments/threadedcomment2.xml><?xml version="1.0" encoding="utf-8"?>
<xltc:ThreadedComments xmlns:xltc="http://schemas.microsoft.com/office/spreadsheetml/2018/threadedcomments">
  <xltc:threadedComment ref="C7" dT="2026-07-25T12:58:54.075" personId="{A8268A1E-939A-4C1C-8768-738380D30AEC}" id="{7D145A6F-2FCE-AB7F-712D-6F125BC4C0C4}">
    <xltc:text>Source SRC-M01: National Statistics Office 1H2026 release. https://www.nso.gov.vn/wp-content/uploads/2026/07/VN.-T6.2026-final.pdf. Caveat: Aggregate trade value is not container volume.</xltc:text>
  </xltc:threadedComment>
  <xltc:threadedComment ref="C8" dT="2026-07-25T12:58:54.075" personId="{A8268A1E-939A-4C1C-8768-738380D30AEC}" id="{97BE1A17-849D-6BBC-336F-235CFB05A45F}">
    <xltc:text>Source SRC-M01: National Statistics Office 1H2026 release. https://www.nso.gov.vn/wp-content/uploads/2026/07/VN.-T6.2026-final.pdf. Caveat: Product mix and prices can break the link to TEU.</xltc:text>
  </xltc:threadedComment>
  <xltc:threadedComment ref="C9" dT="2026-07-25T12:58:54.075" personId="{A8268A1E-939A-4C1C-8768-738380D30AEC}" id="{BA0CE728-5612-6E79-AFAE-74E84BD876AD}">
    <xltc:text>Source SRC-M01: National Statistics Office 1H2026 release. https://www.nso.gov.vn/wp-content/uploads/2026/07/VN.-T6.2026-final.pdf. Caveat: Product mix and prices can break the link to TEU.</xltc:text>
  </xltc:threadedComment>
  <xltc:threadedComment ref="C10" dT="2026-07-25T12:58:54.075" personId="{A8268A1E-939A-4C1C-8768-738380D30AEC}" id="{1F8FA1DD-FF11-EDCE-083E-5A9E8C1F5F43}">
    <xltc:text>Source SRC-M01: National Statistics Office 1H2026 release. https://www.nso.gov.vn/wp-content/uploads/2026/07/VN.-T6.2026-final.pdf. Caveat: Not a near-term throughput proxy.</xltc:text>
  </xltc:threadedComment>
  <xltc:threadedComment ref="C11" dT="2026-07-25T12:58:54.075" personId="{A8268A1E-939A-4C1C-8768-738380D30AEC}" id="{45D4ADE2-26D8-5327-5FB9-6E836546A9D6}">
    <xltc:text>Source SRC-M01: National Statistics Office 1H2026 release. https://www.nso.gov.vn/wp-content/uploads/2026/07/VN.-T6.2026-final.pdf. Caveat: More relevant than registered FDI, but still indirect.</xltc:text>
  </xltc:threadedComment>
</xltc:ThreadedComments>
</file>

<file path=xl/threadedcomments/threadedcomment3.xml><?xml version="1.0" encoding="utf-8"?>
<xltc:ThreadedComments xmlns:xltc="http://schemas.microsoft.com/office/spreadsheetml/2018/threadedcomments">
  <xltc:threadedComment ref="C7" dT="2026-07-25T12:58:54.086" personId="{A8268A1E-939A-4C1C-8768-738380D30AEC}" id="{97B67ECE-BB22-C133-EB89-E3B37490B2C5}">
    <xltc:text>Source SRC-I01: Vietnam Maritime and Waterway Administration. https://vimawa.gov.vn/vi/node/15301. Caveat: Scope is broader than seaports.</xltc:text>
  </xltc:threadedComment>
  <xltc:threadedComment ref="C8" dT="2026-07-25T12:58:54.086" personId="{A8268A1E-939A-4C1C-8768-738380D30AEC}" id="{8BA8C446-50DC-0EDB-C1F6-E6D767A63C00}">
    <xltc:text>Source SRC-I01: Vietnam Maritime and Waterway Administration. https://vimawa.gov.vn/vi/node/15301. Caveat: Scope definition must stay unchanged.</xltc:text>
  </xltc:threadedComment>
  <xltc:threadedComment ref="C9" dT="2026-07-25T12:58:54.086" personId="{A8268A1E-939A-4C1C-8768-738380D30AEC}" id="{66EE6F11-650B-A9BA-27D6-88C04027AC1A}">
    <xltc:text>Source SRC-I02: Vietnam Maritime Administration. https://vimawa.gov.vn/vi/node/14557. Caveat: Partial year; not annualized in Phase 1.</xltc:text>
  </xltc:threadedComment>
  <xltc:threadedComment ref="C10" dT="2026-07-25T12:58:54.086" personId="{A8268A1E-939A-4C1C-8768-738380D30AEC}" id="{EAF517EB-9888-FA03-3FE6-28ECA06B3827}">
    <xltc:text>Source SRC-I02: Vietnam Maritime Administration. https://vimawa.gov.vn/vi/node/14557. Caveat: Route count can change; refresh before final report.</xltc:text>
  </xltc:threadedComment>
  <xltc:threadedComment ref="C11" dT="2026-07-25T12:58:54.086" personId="{A8268A1E-939A-4C1C-8768-738380D30AEC}" id="{B890A45D-BC8F-1BB4-4E49-8B5BBD1FA5C6}">
    <xltc:text>Source SRC-I02: Vietnam Maritime Administration. https://vimawa.gov.vn/vi/node/14557. Caveat: Includes Europe, America and intra-Asia.</xltc:text>
  </xltc:threadedComment>
  <xltc:threadedComment ref="C12" dT="2026-07-25T12:58:54.086" personId="{A8268A1E-939A-4C1C-8768-738380D30AEC}" id="{36AB642D-2B83-863F-EB62-DD8DF3E3CC72}">
    <xltc:text>Source SRC-I03: Vietnam Maritime and Waterway Administration. https://vimawa.gov.vn/vi/tin-tuc/quy-hoach-cang-bien-moi-ca-nuoc-con-23-cang-bien-uu-tien-can-gio-lien-chieu-nam-do-son-0. Caveat: Not a forecast or actual.</xltc:text>
  </xltc:threadedComment>
  <xltc:threadedComment ref="C13" dT="2026-07-25T12:58:54.086" personId="{A8268A1E-939A-4C1C-8768-738380D30AEC}" id="{7BDE2E93-039C-D715-E9D5-D94C9B70FEF2}">
    <xltc:text>Source SRC-I03: Vietnam Maritime and Waterway Administration. https://vimawa.gov.vn/vi/tin-tuc/quy-hoach-cang-bien-moi-ca-nuoc-con-23-cang-bien-uu-tien-can-gio-lien-chieu-nam-do-son-0. Caveat: Excludes transshipment.</xltc:text>
  </xltc:threadedComment>
  <xltc:threadedComment ref="C14" dT="2026-07-25T12:58:54.086" personId="{A8268A1E-939A-4C1C-8768-738380D30AEC}" id="{C7442947-FFB4-BC6C-C7A2-F7CDE2DD1AD8}">
    <xltc:text>Source SRC-I04: Prime Minister / Maritime Administration. https://www.vimawa.gov.vn/f/250116%20TTg%20140%20QD%20duyet%20QHCT%20Nhom.pdf. Caveat: Not a forecast or actual.</xltc:text>
  </xltc:threadedComment>
  <xltc:threadedComment ref="C15" dT="2026-07-25T12:58:54.086" personId="{A8268A1E-939A-4C1C-8768-738380D30AEC}" id="{0E5FE202-9084-6BFC-2D16-384A247DC0F2}">
    <xltc:text>Source SRC-I04: Prime Minister / Maritime Administration. https://www.vimawa.gov.vn/f/250116%20TTg%20140%20QD%20duyet%20QHCT%20Nhom.pdf. Caveat: Not a forecast or actual.</xltc:text>
  </xltc:threadedComment>
  <xltc:threadedComment ref="C16" dT="2026-07-25T12:58:54.086" personId="{A8268A1E-939A-4C1C-8768-738380D30AEC}" id="{15F86856-04F6-E333-46D9-9492935FB546}">
    <xltc:text>Source SRC-I05: Vietnam Maritime and Waterway Administration. https://www.vimawa.gov.vn/vi/tin-tuc/bo-truong-nguyen-van-thang-phat-huy-toi-da-tiem-nang-loi-cang-bien. Caveat: Do not use the page's broad national-share wording without clarification.</xltc:text>
  </xltc:threadedComment>
  <xltc:threadedComment ref="C17" dT="2026-07-25T12:58:54.086" personId="{A8268A1E-939A-4C1C-8768-738380D30AEC}" id="{9D46B2F1-BA80-D25B-D983-A3708F1D56CC}">
    <xltc:text>Source SRC-I05: Vietnam Maritime and Waterway Administration. https://www.vimawa.gov.vn/vi/tin-tuc/bo-truong-nguyen-van-thang-phat-huy-toi-da-tiem-nang-loi-cang-bien. Caveat: Vessel size is not annual capacity.</xltc:text>
  </xltc:threadedComment>
</xltc:ThreadedComments>
</file>

<file path=xl/threadedcomments/threadedcomment4.xml><?xml version="1.0" encoding="utf-8"?>
<xltc:ThreadedComments xmlns:xltc="http://schemas.microsoft.com/office/spreadsheetml/2018/threadedcomments">
  <xltc:threadedComment ref="B7" dT="2026-07-25T12:58:54.1" personId="{A8268A1E-939A-4C1C-8768-738380D30AEC}" id="{373FBC55-CDD5-0011-F04D-2B1C69ECFA46}">
    <xltc:text>Source SRC-G01: Gemadept Annual Report 2025. https://www.gemadept.com.vn/wp-content/uploads/2026/04/GMD-AR-2025_EN.pdf. Caveat: Reported actual</xltc:text>
  </xltc:threadedComment>
  <xltc:threadedComment ref="B8" dT="2026-07-25T12:58:54.1" personId="{A8268A1E-939A-4C1C-8768-738380D30AEC}" id="{32D28A74-5554-297B-7E2C-2DD2FB815083}">
    <xltc:text>Source SRC-G01: Gemadept Annual Report 2025. https://www.gemadept.com.vn/wp-content/uploads/2026/04/GMD-AR-2025_EN.pdf. Caveat: Reported actual</xltc:text>
  </xltc:threadedComment>
  <xltc:threadedComment ref="B9" dT="2026-07-25T12:58:54.1" personId="{A8268A1E-939A-4C1C-8768-738380D30AEC}" id="{F9271A12-C674-428E-A32A-5A14D94FAFEB}">
    <xltc:text>Source SRC-G01: Gemadept Annual Report 2025. https://www.gemadept.com.vn/wp-content/uploads/2026/04/GMD-AR-2025_EN.pdf. Caveat: Reported actual</xltc:text>
  </xltc:threadedComment>
  <xltc:threadedComment ref="B10" dT="2026-07-25T12:58:54.1" personId="{A8268A1E-939A-4C1C-8768-738380D30AEC}" id="{874AA304-F17B-AAB4-4745-5826F73962C4}">
    <xltc:text>Source SRC-G01: Gemadept Annual Report 2025. https://www.gemadept.com.vn/wp-content/uploads/2026/04/GMD-AR-2025_EN.pdf. Caveat: Core PBT series disclosed by GMD</xltc:text>
  </xltc:threadedComment>
  <xltc:threadedComment ref="B11" dT="2026-07-25T12:58:54.1" personId="{A8268A1E-939A-4C1C-8768-738380D30AEC}" id="{96AF83E1-72FA-C40A-3DF6-E806C7E2FD38}">
    <xltc:text>Source SRC-G01: Gemadept Annual Report 2025. https://www.gemadept.com.vn/wp-content/uploads/2026/04/GMD-AR-2025_EN.pdf. Caveat: Core PBT series disclosed by GMD</xltc:text>
  </xltc:threadedComment>
  <xltc:threadedComment ref="B12" dT="2026-07-25T12:58:54.1" personId="{A8268A1E-939A-4C1C-8768-738380D30AEC}" id="{98127C0F-A01C-EC1A-7631-5990595AA9E8}">
    <xltc:text>Source SRC-G01: Gemadept Annual Report 2025. https://www.gemadept.com.vn/wp-content/uploads/2026/04/GMD-AR-2025_EN.pdf. Caveat: Reported actual</xltc:text>
  </xltc:threadedComment>
</xltc:ThreadedComments>
</file>

<file path=xl/threadedcomments/threadedcomment5.xml><?xml version="1.0" encoding="utf-8"?>
<xltc:ThreadedComments xmlns:xltc="http://schemas.microsoft.com/office/spreadsheetml/2018/threadedcomments">
  <xltc:threadedComment ref="E7" dT="2026-07-25T12:58:54.114" personId="{A8268A1E-939A-4C1C-8768-738380D30AEC}" id="{EA11A6B5-7952-0D13-43FD-C0407FC64778}">
    <xltc:text>Source SRC-G01: Gemadept. https://www.gemadept.com.vn/wp-content/uploads/2026/04/GMD-AR-2025_EN.pdf. Caveat: Annual-report chart; exceeds 5m TEU.</xltc:text>
  </xltc:threadedComment>
  <xltc:threadedComment ref="E8" dT="2026-07-25T12:58:54.114" personId="{A8268A1E-939A-4C1C-8768-738380D30AEC}" id="{C4307CA9-F4BC-AE05-FFA9-40675E2FA248}">
    <xltc:text>Source SRC-G01: Gemadept. https://www.gemadept.com.vn/wp-content/uploads/2026/04/GMD-AR-2025_EN.pdf. Caveat: Approximate share disclosed by company.</xltc:text>
  </xltc:threadedComment>
  <xltc:threadedComment ref="E9" dT="2026-07-25T12:58:54.114" personId="{A8268A1E-939A-4C1C-8768-738380D30AEC}" id="{F40D0088-D1FB-9B35-3F7D-54CFB53D4D30}">
    <xltc:text>Source SRC-G02: Gemadept. https://www.gemadept.com.vn/wp-content/uploads/2026/05/IR-NEWSLETTER-Q12026.pdf. Caveat: Approximately +8% YoY.</xltc:text>
  </xltc:threadedComment>
  <xltc:threadedComment ref="E10" dT="2026-07-25T12:58:54.114" personId="{A8268A1E-939A-4C1C-8768-738380D30AEC}" id="{22E90AB2-3669-E9B1-4E09-BB0CA19B93AC}">
    <xltc:text>Source SRC-G02: Gemadept. https://www.gemadept.com.vn/wp-content/uploads/2026/05/IR-NEWSLETTER-Q12026.pdf. Caveat: Regional map disclosure.</xltc:text>
  </xltc:threadedComment>
  <xltc:threadedComment ref="E11" dT="2026-07-25T12:58:54.114" personId="{A8268A1E-939A-4C1C-8768-738380D30AEC}" id="{BC098978-F47E-0100-B3B4-A1D2ACB9F8B3}">
    <xltc:text>Source SRC-G02: Gemadept. https://www.gemadept.com.vn/wp-content/uploads/2026/05/IR-NEWSLETTER-Q12026.pdf. Caveat: Regional map disclosure.</xltc:text>
  </xltc:threadedComment>
  <xltc:threadedComment ref="E12" dT="2026-07-25T12:58:54.114" personId="{A8268A1E-939A-4C1C-8768-738380D30AEC}" id="{32F5CB9F-2804-CB38-F737-0A64EB58C1F8}">
    <xltc:text>Source SRC-G02: Gemadept. https://www.gemadept.com.vn/wp-content/uploads/2026/05/IR-NEWSLETTER-Q12026.pdf. Caveat: Unit is tonnes, not TEU.</xltc:text>
  </xltc:threadedComment>
  <xltc:threadedComment ref="E13" dT="2026-07-25T12:58:54.115" personId="{A8268A1E-939A-4C1C-8768-738380D30AEC}" id="{1646D617-4F86-C259-1C97-F42769AD0424}">
    <xltc:text>Source SRC-G02: Gemadept. https://www.gemadept.com.vn/wp-content/uploads/2026/05/IR-NEWSLETTER-Q12026.pdf. Caveat: Regional map disclosure.</xltc:text>
  </xltc:threadedComment>
  <xltc:threadedComment ref="E14" dT="2026-07-25T12:58:54.115" personId="{A8268A1E-939A-4C1C-8768-738380D30AEC}" id="{AAE611C2-A7EC-E8DD-6323-11AFD193A2C2}">
    <xltc:text>Source SRC-G02: Gemadept. https://www.gemadept.com.vn/wp-content/uploads/2026/05/IR-NEWSLETTER-Q12026.pdf. Caveat: Regional map disclosure.</xltc:text>
  </xltc:threadedComment>
  <xltc:threadedComment ref="E15" dT="2026-07-25T12:58:54.115" personId="{A8268A1E-939A-4C1C-8768-738380D30AEC}" id="{61CDB7F2-40E4-D1D3-6657-F0DB71CCBD98}">
    <xltc:text>Source SRC-G02: Gemadept. https://www.gemadept.com.vn/wp-content/uploads/2026/05/IR-NEWSLETTER-Q12026.pdf. Caveat: Regional map disclosure.</xltc:text>
  </xltc:threadedComment>
  <xltc:threadedComment ref="E16" dT="2026-07-25T12:58:54.115" personId="{A8268A1E-939A-4C1C-8768-738380D30AEC}" id="{3F68ABF2-8680-B6CC-7FFE-B15C40693A96}">
    <xltc:text>Source SRC-G01: Gemadept. https://www.gemadept.com.vn/wp-content/uploads/2026/04/GMD-AR-2025_EN.pdf. Caveat: Capacity is not throughput.</xltc:text>
  </xltc:threadedComment>
  <xltc:threadedComment ref="E17" dT="2026-07-25T12:58:54.115" personId="{A8268A1E-939A-4C1C-8768-738380D30AEC}" id="{5E8C4F19-A2E1-ED82-AA91-EA8E91CBF60F}">
    <xltc:text>Source SRC-G01: Gemadept. https://www.gemadept.com.vn/wp-content/uploads/2026/04/GMD-AR-2025_EN.pdf. Caveat: Capacity is not throughput.</xltc:text>
  </xltc:threadedComment>
  <xltc:threadedComment ref="E18" dT="2026-07-25T12:58:54.115" personId="{A8268A1E-939A-4C1C-8768-738380D30AEC}" id="{20772687-4BF6-EE75-C92F-6BBD2D220C6C}">
    <xltc:text>Source SRC-G01: Gemadept. https://www.gemadept.com.vn/wp-content/uploads/2026/04/GMD-AR-2025_EN.pdf. Caveat: Annual-report table; differs from issuer press release's ~650k TEU added.</xltc:text>
  </xltc:threadedComment>
  <xltc:threadedComment ref="E19" dT="2026-07-25T12:58:54.115" personId="{A8268A1E-939A-4C1C-8768-738380D30AEC}" id="{017143B6-7B0D-202E-8FDC-676C83551F56}">
    <xltc:text>Source SRC-G04: Gemadept. https://www.gemadept.com.vn/en/gemadept-officially-puts-phase-3-of-the-nam-dinh-vu-port-cluster-into-operation/. Caveat: Definition variance versus 0.8m TEU in annual report.</xltc:text>
  </xltc:threadedComment>
  <xltc:threadedComment ref="E20" dT="2026-07-25T12:58:54.115" personId="{A8268A1E-939A-4C1C-8768-738380D30AEC}" id="{1F8BDD36-29DF-7A3E-A15C-878AE3899A8A}">
    <xltc:text>Source SRC-G01: Gemadept. https://www.gemadept.com.vn/wp-content/uploads/2026/04/GMD-AR-2025_EN.pdf. Caveat: Historical disclosed capex.</xltc:text>
  </xltc:threadedComment>
  <xltc:threadedComment ref="E21" dT="2026-07-25T12:58:54.115" personId="{A8268A1E-939A-4C1C-8768-738380D30AEC}" id="{5DBFBB39-E7D5-4655-3EB1-9B2A16F16AFC}">
    <xltc:text>Source SRC-G01: Gemadept. https://www.gemadept.com.vn/wp-content/uploads/2026/04/GMD-AR-2025_EN.pdf. Caveat: Historical disclosed capex.</xltc:text>
  </xltc:threadedComment>
  <xltc:threadedComment ref="E22" dT="2026-07-25T12:58:54.115" personId="{A8268A1E-939A-4C1C-8768-738380D30AEC}" id="{A63E6667-0D0F-7B0C-F854-E6DBEB8E8FB5}">
    <xltc:text>Source SRC-G01 / SRC-G07: Gemadept. https://www.gemadept.com.vn/wp-content/uploads/2026/04/GMD-AR-2025_EN.pdf. Caveat: Disclosed project investment.</xltc:text>
  </xltc:threadedComment>
  <xltc:threadedComment ref="E23" dT="2026-07-25T12:58:54.115" personId="{A8268A1E-939A-4C1C-8768-738380D30AEC}" id="{A76BD4B4-5CC9-7DB1-4EF0-EBD8A161F144}">
    <xltc:text>Source SRC-G06: Gemadept. https://www.gemadept.com.vn/en/gemalink-port-licensed-to-receive-container-vessels-up-to-2324945-dwt/. Caveat: Gemadept 75%; CMA Terminals 25%.</xltc:text>
  </xltc:threadedComment>
  <xltc:threadedComment ref="E24" dT="2026-07-25T12:58:54.115" personId="{A8268A1E-939A-4C1C-8768-738380D30AEC}" id="{307A7913-8C36-4FE0-EF94-969B7EAAEB59}">
    <xltc:text>Source SRC-G05: Gemadept. https://www.gemadept.com.vn/en/services/port-operation/. Caveat: Marketing page; separate from 2025 actual throughput.</xltc:text>
  </xltc:threadedComment>
  <xltc:threadedComment ref="E25" dT="2026-07-25T12:58:54.115" personId="{A8268A1E-939A-4C1C-8768-738380D30AEC}" id="{FC403222-F35E-1099-D316-8E06E53B06C4}">
    <xltc:text>Source SRC-G01: Gemadept. https://www.gemadept.com.vn/wp-content/uploads/2026/04/GMD-AR-2025_EN.pdf. Caveat: Company says more than this level; +24% YoY.</xltc:text>
  </xltc:threadedComment>
  <xltc:threadedComment ref="E26" dT="2026-07-25T12:58:54.115" personId="{A8268A1E-939A-4C1C-8768-738380D30AEC}" id="{8F2D22BF-001D-FF97-3B0B-964DF610BF51}">
    <xltc:text>Source SRC-G01: Gemadept. https://www.gemadept.com.vn/wp-content/uploads/2026/04/GMD-AR-2025_EN.pdf. Caveat: 2024 actual was 1.145m TEU.</xltc:text>
  </xltc:threadedComment>
</xltc:ThreadedComments>
</file>

<file path=xl/threadedcomments/threadedcomment6.xml><?xml version="1.0" encoding="utf-8"?>
<xltc:ThreadedComments xmlns:xltc="http://schemas.microsoft.com/office/spreadsheetml/2018/threadedcomments">
  <xltc:threadedComment ref="C17" dT="2026-07-25T12:58:54.125" personId="{A8268A1E-939A-4C1C-8768-738380D30AEC}" id="{0C874926-9C93-FD1C-B74D-2D69FD27292F}">
    <xltc:text>Source SRC-P02: Port of Hai Phong Annual Report 2025. https://haiphongport.com.vn/FileUpload/Documents/annual_report_2025pdf.pdf. Caveat: 98.8% of 2024; 83.4% of plan.</xltc:text>
  </xltc:threadedComment>
  <xltc:threadedComment ref="C18" dT="2026-07-25T12:58:54.125" personId="{A8268A1E-939A-4C1C-8768-738380D30AEC}" id="{8C7FA544-0653-9B33-1AF3-6983CD1F9EBD}">
    <xltc:text>Source SRC-P02: Port of Hai Phong Annual Report 2025. https://haiphongport.com.vn/FileUpload/Documents/annual_report_2025pdf.pdf. Caveat: 97.4% of 2024; 85.8% of plan.</xltc:text>
  </xltc:threadedComment>
  <xltc:threadedComment ref="C19" dT="2026-07-25T12:58:54.125" personId="{A8268A1E-939A-4C1C-8768-738380D30AEC}" id="{1D2D15EB-0C34-D836-EBE9-DDCBCBE1FE0D}">
    <xltc:text>Source SRC-P02: Port of Hai Phong Annual Report 2025. https://haiphongport.com.vn/FileUpload/Documents/annual_report_2025pdf.pdf. Caveat: +33.8% YoY.</xltc:text>
  </xltc:threadedComment>
  <xltc:threadedComment ref="C20" dT="2026-07-25T12:58:54.125" personId="{A8268A1E-939A-4C1C-8768-738380D30AEC}" id="{1BA9A335-5CFC-1DC5-96C1-A7977DFA81D6}">
    <xltc:text>Source SRC-P02: Port of Hai Phong Annual Report 2025. https://haiphongport.com.vn/FileUpload/Documents/annual_report_2025pdf.pdf. Caveat: Annual report labels this 'profit'; verify PBT/net-profit definition before valuation use.</xltc:text>
  </xltc:threadedComment>
  <xltc:threadedComment ref="C21" dT="2026-07-25T12:58:54.125" personId="{A8268A1E-939A-4C1C-8768-738380D30AEC}" id="{2ED3167E-4877-7FAB-C53B-90D31DD6CB53}">
    <xltc:text>Source SRC-P02: Port of Hai Phong Annual Report 2025. https://haiphongport.com.vn/FileUpload/Documents/annual_report_2025pdf.pdf. Caveat: +6.9% YoY.</xltc:text>
  </xltc:threadedComment>
  <xltc:threadedComment ref="C22" dT="2026-07-25T12:58:54.125" personId="{A8268A1E-939A-4C1C-8768-738380D30AEC}" id="{658133C9-E2EB-4BDB-8224-A3EB2F4CB925}">
    <xltc:text>Source SRC-P02: Port of Hai Phong Annual Report 2025. https://haiphongport.com.vn/FileUpload/Documents/annual_report_2025pdf.pdf. Caveat: 98.16% of 2024.</xltc:text>
  </xltc:threadedComment>
  <xltc:threadedComment ref="C23" dT="2026-07-25T12:58:54.125" personId="{A8268A1E-939A-4C1C-8768-738380D30AEC}" id="{335F6AEA-7423-0F55-CAA6-E61368CA0B7C}">
    <xltc:text>Source SRC-P02: Port of Hai Phong Annual Report 2025. https://haiphongport.com.vn/FileUpload/Documents/annual_report_2025pdf.pdf. Caveat: +4.8% YoY; verify profit definition before valuation use.</xltc:text>
  </xltc:threadedComment>
</xltc:ThreadedComments>
</file>

<file path=xl/threadedcomments/threadedcomment7.xml><?xml version="1.0" encoding="utf-8"?>
<xltc:ThreadedComments xmlns:xltc="http://schemas.microsoft.com/office/spreadsheetml/2018/threadedcomments">
  <xltc:threadedComment ref="D7" dT="2026-07-25T13:20:22.35" personId="{1328C053-4A22-4BE4-841F-FC72A980F73F}" id="{FC752BB6-D280-BDCA-E255-F60AF9509B2C}">
    <xltc:text>Source SRC-G01: Gemadept Annual Report 2025. https://www.gemadept.com.vn/wp-content/uploads/2026/04/GMD-AR-2025_EN.pdf.</xltc:text>
  </xltc:threadedComment>
  <xltc:threadedComment ref="D8" dT="2026-07-25T13:20:22.351" personId="{1328C053-4A22-4BE4-841F-FC72A980F73F}" id="{ED6EEA5F-F687-F63D-F1F9-A2BFB3A17DD0}">
    <xltc:text>Source SRC-P06: Viconship audited consolidated financial statements 2025. https://viconship.com/wp-content/uploads/2026/03/VSC_Consolidated-FS-31.12.2025_VN.pdf.</xltc:text>
  </xltc:threadedComment>
  <xltc:threadedComment ref="D9" dT="2026-07-25T13:20:22.351" personId="{1328C053-4A22-4BE4-841F-FC72A980F73F}" id="{DABC32AC-8466-9C29-8592-031290643177}">
    <xltc:text>Source SRC-P02: Port of Hai Phong Annual Report 2025. https://haiphongport.com.vn/FileUpload/Documents/annual_report_2025pdf.pdf. Caveat: Parent-company financial basis.</xltc:text>
  </xltc:threadedComment>
  <xltc:threadedComment ref="D10" dT="2026-07-25T13:20:22.351" personId="{1328C053-4A22-4BE4-841F-FC72A980F73F}" id="{6F621AEF-404D-2851-E865-2B5ED5A60839}">
    <xltc:text>Source SRC-P09: Dinh Vu Port 2025 business-result proposal. https://dinhvuport.com.vn/aj/Download.ashx?Key=885.</xltc:text>
  </xltc:threadedComment>
  <xltc:threadedComment ref="D15" dT="2026-07-25T13:20:22.351" personId="{1328C053-4A22-4BE4-841F-FC72A980F73F}" id="{B4928E55-6BE8-4FFC-A93C-6D41F7E45376}">
    <xltc:text>Source SRC-G01: Gemadept Annual Report 2025. https://www.gemadept.com.vn/wp-content/uploads/2026/04/GMD-AR-2025_EN.pdf.</xltc:text>
  </xltc:threadedComment>
  <xltc:threadedComment ref="D16" dT="2026-07-25T13:20:22.351" personId="{1328C053-4A22-4BE4-841F-FC72A980F73F}" id="{77474E38-1815-E71F-B3AB-C4E555B133A2}">
    <xltc:text>Source SRC-P05 / SRC-P07: Viconship issuer disclosures. https://viconship.com/wp-content/uploads/2026/04/CBTT-Bao-cao-thuong-nien-nam-2025.pdf. Caveat: The 1m TEU system milestone is the latest clearly attributable issuer-level operating fact used here.</xltc:text>
  </xltc:threadedComment>
  <xltc:threadedComment ref="D17" dT="2026-07-25T13:20:22.351" personId="{1328C053-4A22-4BE4-841F-FC72A980F73F}" id="{D5F3643C-B274-4A00-DF46-458C5430B374}">
    <xltc:text>Source SRC-P02: Port of Hai Phong Annual Report 2025. https://haiphongport.com.vn/FileUpload/Documents/annual_report_2025pdf.pdf.</xltc:text>
  </xltc:threadedComment>
  <xltc:threadedComment ref="D19" dT="2026-07-25T13:20:22.351" personId="{1328C053-4A22-4BE4-841F-FC72A980F73F}" id="{F3355021-BE91-82D3-366D-5E865300E09A}">
    <xltc:text>Source SRC-P09: Dinh Vu Port 2025 business-result proposal. https://dinhvuport.com.vn/aj/Download.ashx?Key=885.</xltc:text>
  </xltc:threadedComment>
</xltc:ThreadedComments>
</file>

<file path=xl/threadedcomments/threadedcomment8.xml><?xml version="1.0" encoding="utf-8"?>
<xltc:ThreadedComments xmlns:xltc="http://schemas.microsoft.com/office/spreadsheetml/2018/threadedcomments">
  <xltc:threadedComment ref="C6" dT="2026-07-25T14:14:36.582" personId="{EE165147-03F5-4C66-8FE2-0EB1F215D8DD}" id="{C4E0B7B3-DEF0-9B37-55BD-3541A1680E67}">
    <xltc:text>Source SRC-API01: VNStock 4.0.5 Finance API. https://vnstocks.com/docs/vnstock/phan-tich-co-ban-fundamental. Caveat: 2021 net sales linked from Raw GMD VNStock and divided by the visible unit divisor.</xltc:text>
  </xltc:threadedComment>
  <xltc:threadedComment ref="G6" dT="2026-07-25T14:14:36.582" personId="{EE165147-03F5-4C66-8FE2-0EB1F215D8DD}" id="{75D34924-D273-1A86-37FC-E0F130283C0F}">
    <xltc:text>Source SRC-API01: VNStock 4.0.5 Finance API. https://vnstocks.com/docs/vnstock/phan-tich-co-ban-fundamental. Caveat: 2025 net sales linked from Raw GMD VNStock; reconciled to the 2025 audited annual report.</xltc:text>
  </xltc:threadedComment>
  <xltc:threadedComment ref="C25" dT="2026-07-25T14:14:36.582" personId="{EE165147-03F5-4C66-8FE2-0EB1F215D8DD}" id="{182C1A1F-38A6-FDBB-6398-E3A424213E61}">
    <xltc:text>Source SRC-G10: Gemadept Annual Report 2022. https://www.gemadept.com.vn/wp-content/uploads/2023/04/2022-Annual-Report.pdf. Caveat: 2021–2022 core PBT equals reported PBT.</xltc:text>
  </xltc:threadedComment>
  <xltc:threadedComment ref="G25" dT="2026-07-25T14:14:36.582" personId="{EE165147-03F5-4C66-8FE2-0EB1F215D8DD}" id="{62C864BF-75F2-A126-4BB8-2B6BF5664D91}">
    <xltc:text>Source SRC-G01: Gemadept Annual Report 2025. https://www.gemadept.com.vn/wp-content/uploads/2026/04/GMD-AR-2025_EN.pdf. Caveat: 2025 core PBT benchmark.</xltc:text>
  </xltc:threadedComment>
</xltc:ThreadedComments>
</file>

<file path=xl/threadedcomments/threadedcomment9.xml><?xml version="1.0" encoding="utf-8"?>
<xltc:ThreadedComments xmlns:xltc="http://schemas.microsoft.com/office/spreadsheetml/2018/threadedcomments">
  <xltc:threadedComment ref="C6" dT="2026-07-25T14:14:36.582" personId="{EE165147-03F5-4C66-8FE2-0EB1F215D8DD}" id="{8CA5FA56-F7CE-9B27-E245-22BDBC07340C}">
    <xltc:text>Source SRC-G01: Gemadept Annual Report 2025. https://www.gemadept.com.vn/wp-content/uploads/2026/04/GMD-AR-2025_EN.pdf. Caveat: 2021 point is chart-derived from a rounded growth label.</xltc:text>
  </xltc:threadedComment>
  <xltc:threadedComment ref="G6" dT="2026-07-25T14:14:36.582" personId="{EE165147-03F5-4C66-8FE2-0EB1F215D8DD}" id="{FAF2C895-70F7-6B6D-C0A2-B07FC0F81BC5}">
    <xltc:text>Source SRC-G01: Gemadept Annual Report 2025. https://www.gemadept.com.vn/wp-content/uploads/2026/04/GMD-AR-2025_EN.pdf. Caveat: 2025 exact system throughput.</xltc:text>
  </xltc:threadedComment>
</xltc:ThreadedComments>
</file>

<file path=xl/threadedcomments/threadedcomment10.xml><?xml version="1.0" encoding="utf-8"?>
<xltc:ThreadedComments xmlns:xltc="http://schemas.microsoft.com/office/spreadsheetml/2018/threadedcomments">
  <xltc:threadedComment ref="C6" dT="2026-07-25T14:14:36.582" personId="{EE165147-03F5-4C66-8FE2-0EB1F215D8DD}" id="{BC39D41E-2F4F-258A-3F90-21E594CFEF02}">
    <xltc:text>Source SRC-API01: VNStock 4.0.5 Finance API. https://vnstocks.com/docs/vnstock/phan-tich-co-ban-fundamental. Caveat: 2021 audited associate/JV profit.</xltc:text>
  </xltc:threadedComment>
  <xltc:threadedComment ref="G6" dT="2026-07-25T14:14:36.582" personId="{EE165147-03F5-4C66-8FE2-0EB1F215D8DD}" id="{C0AAB08D-DEF6-AA97-84F6-1FA429412A5A}">
    <xltc:text>Source SRC-API01: VNStock 4.0.5 Finance API. https://vnstocks.com/docs/vnstock/phan-tich-co-ban-fundamental. Caveat: 2025 audited associate/JV profit.</xltc:text>
  </xltc:threadedComment>
</xltc:ThreadedComments>
</file>

<file path=xl/threadedcomments/threadedcomment11.xml><?xml version="1.0" encoding="utf-8"?>
<xltc:ThreadedComments xmlns:xltc="http://schemas.microsoft.com/office/spreadsheetml/2018/threadedcomments">
  <xltc:threadedComment ref="C6" dT="2026-07-25T14:14:36.582" personId="{EE165147-03F5-4C66-8FE2-0EB1F215D8DD}" id="{7A10BAB9-B95F-B154-7F79-6CB77D6455F4}">
    <xltc:text>Source SRC-API01: VNStock 4.0.5 Finance API. https://vnstocks.com/docs/vnstock/phan-tich-co-ban-fundamental. Caveat: 2021 audited CFO.</xltc:text>
  </xltc:threadedComment>
  <xltc:threadedComment ref="G6" dT="2026-07-25T14:14:36.582" personId="{EE165147-03F5-4C66-8FE2-0EB1F215D8DD}" id="{1D2AA77F-0343-628A-C1B2-239EFB201F1B}">
    <xltc:text>Source SRC-API01: VNStock 4.0.5 Finance API. https://vnstocks.com/docs/vnstock/phan-tich-co-ban-fundamental. Caveat: 2025 audited CFO.</xltc:text>
  </xltc:threadedComment>
</xltc:ThreadedComments>
</file>

<file path=xl/threadedcomments/threadedcomment12.xml><?xml version="1.0" encoding="utf-8"?>
<xltc:ThreadedComments xmlns:xltc="http://schemas.microsoft.com/office/spreadsheetml/2018/threadedcomments">
  <xltc:threadedComment ref="C6" dT="2026-07-25T14:14:36.582" personId="{EE165147-03F5-4C66-8FE2-0EB1F215D8DD}" id="{7E7DD16F-1E09-C775-3565-4D07DCBD78B0}">
    <xltc:text>Source SRC-G03: Gemadept 2026 AGM business-plan submission. https://www.gemadept.com.vn/wp-content/uploads/2026/04/AGM-2026-7.3.-Submission-03-Business-Plan-2026.pdf. Caveat: Management registered plan, not analyst forecast.</xltc:text>
  </xltc:threadedComment>
  <xltc:threadedComment ref="H6" dT="2026-07-25T14:14:36.582" personId="{EE165147-03F5-4C66-8FE2-0EB1F215D8DD}" id="{F1C288FD-F6A2-858F-C8BB-29DF5F882A68}">
    <xltc:text>Source SRC-G02: Gemadept Q1 2026 IR Newsletter. https://www.gemadept.com.vn/wp-content/uploads/2026/05/IR-NEWSLETTER-Q12026.pdf. Caveat: Q1 issuer actual.</xltc:text>
  </xltc:threadedComment>
</xltc:ThreadedComments>
</file>

<file path=xl/threadedcomments/threadedcomment13.xml><?xml version="1.0" encoding="utf-8"?>
<xltc:ThreadedComments xmlns:xltc="http://schemas.microsoft.com/office/spreadsheetml/2018/threadedcomments">
  <xltc:threadedComment ref="C15" dT="2026-07-25T14:48:36.556" personId="{7A18175A-8A26-4E83-9E41-49BF328882A3}" id="{158BFD68-A27A-39D4-A841-9C2BEFFDF869}">
    <xltc:text>Source SRC-P401: VNStock VCI and KBS daily OHLCV. https://vnstocks.com/docs/vnstock/du-lieu-thi-truong-market-data. Close on 24-Jul-2026: VND 73,200.</xltc:text>
  </xltc:threadedComment>
  <xltc:threadedComment ref="C16" dT="2026-07-25T14:48:36.557" personId="{7A18175A-8A26-4E83-9E41-49BF328882A3}" id="{014C832A-C380-049B-B978-CC4BF7087F1E}">
    <xltc:text>Source SRC-P402: Gemadept shareholders page. https://www.gemadept.com.vn/en/shareholders/. 426,495,109 listed shares.</xltc:text>
  </xltc:threadedComment>
  <xltc:threadedComment ref="C24" dT="2026-07-25T14:48:36.557" personId="{7A18175A-8A26-4E83-9E41-49BF328882A3}" id="{7F227A6B-E00E-7FAE-B15D-602F20F8FAA6}">
    <xltc:text>Source SRC-P403: AsianBondsOnline / Asian Development Bank. https://asianbondsonline.adb.org/vietnam/. Vietnam 10-year government bond yield: 4.409% at 23-Jul-2026.</xltc:text>
  </xltc:threadedComment>
</xltc:ThreadedComments>
</file>

<file path=xl/threadedcomments/threadedcomment14.xml><?xml version="1.0" encoding="utf-8"?>
<xltc:ThreadedComments xmlns:xltc="http://schemas.microsoft.com/office/spreadsheetml/2018/threadedcomments">
  <xltc:threadedComment ref="C32" dT="2026-07-25T14:48:37.313" personId="{7A18175A-8A26-4E83-9E41-49BF328882A3}" id="{D42E95D8-F5DD-4265-6E5B-0BD62C21AA94}">
    <xltc:text>Analyst assumption. Calibrated below 1H2026 trade-value growth because trade value is not container volume; anchored to SRC-M01 and SRC-I01.</xltc:text>
  </xltc:threadedComment>
  <xltc:threadedComment ref="C33" dT="2026-07-25T14:48:37.313" personId="{7A18175A-8A26-4E83-9E41-49BF328882A3}" id="{4851AEA8-6C17-69D0-5E60-3B176DE53A20}">
    <xltc:text>Analyst assumption. Anchored to issuer-estimated 2025 share of about 15% and the Nam Dinh Vu / Gemalink capacity schedule.</xltc:text>
  </xltc:threadedComment>
  <xltc:threadedComment ref="E41" dT="2026-07-25T14:48:37.313" personId="{7A18175A-8A26-4E83-9E41-49BF328882A3}" id="{B8C2AFBA-704B-AE06-23F6-62F198DAD230}">
    <xltc:text>Analyst assumption. Material 2028 ramp follows issuer-stated Gemalink Phase 2 operating timing from Q4 2027; source SRC-G02.</xltc:text>
  </xltc:threadedComment>
  <xltc:threadedComment ref="C104" dT="2026-07-25T14:48:37.313" personId="{7A18175A-8A26-4E83-9E41-49BF328882A3}" id="{21A2B83B-E9F9-A4B1-CA7C-3F5279C60223}">
    <xltc:text>Source anchor SRC-P403: https://asianbondsonline.adb.org/vietnam/. 10-year government bond yield was 4.409% at 23-Jul-2026; rounded to 4.5%.</xltc:text>
  </xltc:threadedComment>
</xltc:ThreadedComments>
</file>

<file path=xl/worksheets/_rels/sheet3.xml.rels>&#65279;<?xml version="1.0" encoding="utf-8"?><Relationships xmlns="http://schemas.openxmlformats.org/package/2006/relationships"><Relationship Type="http://schemas.openxmlformats.org/officeDocument/2006/relationships/table" Target="/xl/tables/table1.xml" Id="R60e09185e8df4d55" /></Relationships>
</file>

<file path=xl/worksheets/_rels/sheet4.xml.rels>&#65279;<?xml version="1.0" encoding="utf-8"?><Relationships xmlns="http://schemas.openxmlformats.org/package/2006/relationships"><Relationship Type="http://schemas.openxmlformats.org/officeDocument/2006/relationships/comments" Target="/xl/comments1.xml" Id="Ra9fdba1714774366" /><Relationship Type="http://schemas.openxmlformats.org/officeDocument/2006/relationships/vmlDrawing" Target="/xl/drawings/vmldrawing.vml" Id="R486154bc362248a4" /><Relationship Type="http://schemas.microsoft.com/office/2017/10/relationships/threadedComment" Target="/xl/threadedcomments/threadedcomment.xml" Id="R07b9455def4d4904" /><Relationship Type="http://schemas.openxmlformats.org/officeDocument/2006/relationships/table" Target="/xl/tables/table2.xml" Id="Rcae0244e81e84a8f" /></Relationships>
</file>

<file path=xl/worksheets/_rels/sheet5.xml.rels>&#65279;<?xml version="1.0" encoding="utf-8"?><Relationships xmlns="http://schemas.openxmlformats.org/package/2006/relationships"><Relationship Type="http://schemas.openxmlformats.org/officeDocument/2006/relationships/comments" Target="/xl/comments2.xml" Id="R2feb685e4ac443d0" /><Relationship Type="http://schemas.openxmlformats.org/officeDocument/2006/relationships/vmlDrawing" Target="/xl/drawings/vmldrawing2.vml" Id="Rdf0bf6f33f984455" /><Relationship Type="http://schemas.microsoft.com/office/2017/10/relationships/threadedComment" Target="/xl/threadedcomments/threadedcomment2.xml" Id="Rec26bfc5588e428a" /><Relationship Type="http://schemas.openxmlformats.org/officeDocument/2006/relationships/table" Target="/xl/tables/table3.xml" Id="Rd7f22222e3ec421a" /></Relationships>
</file>

<file path=xl/worksheets/_rels/sheet6.xml.rels>&#65279;<?xml version="1.0" encoding="utf-8"?><Relationships xmlns="http://schemas.openxmlformats.org/package/2006/relationships"><Relationship Type="http://schemas.openxmlformats.org/officeDocument/2006/relationships/comments" Target="/xl/comments3.xml" Id="Rb2cd4afc2c2842d7" /><Relationship Type="http://schemas.openxmlformats.org/officeDocument/2006/relationships/vmlDrawing" Target="/xl/drawings/vmldrawing3.vml" Id="R5fa83538ee9b4d50" /><Relationship Type="http://schemas.microsoft.com/office/2017/10/relationships/threadedComment" Target="/xl/threadedcomments/threadedcomment3.xml" Id="R292472aff82a4d6e" /><Relationship Type="http://schemas.openxmlformats.org/officeDocument/2006/relationships/table" Target="/xl/tables/table4.xml" Id="R25bbd4aa793d44d3" /></Relationships>
</file>

<file path=xl/worksheets/_rels/sheet7.xml.rels>&#65279;<?xml version="1.0" encoding="utf-8"?><Relationships xmlns="http://schemas.openxmlformats.org/package/2006/relationships"><Relationship Type="http://schemas.openxmlformats.org/officeDocument/2006/relationships/comments" Target="/xl/comments4.xml" Id="R452b9f68248f4677" /><Relationship Type="http://schemas.openxmlformats.org/officeDocument/2006/relationships/vmlDrawing" Target="/xl/drawings/vmldrawing4.vml" Id="R5d8fd52dfabb45c5" /><Relationship Type="http://schemas.microsoft.com/office/2017/10/relationships/threadedComment" Target="/xl/threadedcomments/threadedcomment4.xml" Id="R38661c6852eb49ba" /><Relationship Type="http://schemas.openxmlformats.org/officeDocument/2006/relationships/table" Target="/xl/tables/table5.xml" Id="R9b735d12edd74785" /><Relationship Type="http://schemas.openxmlformats.org/officeDocument/2006/relationships/table" Target="/xl/tables/table6.xml" Id="Rf3a5d588e3fb4f8e" /></Relationships>
</file>

<file path=xl/worksheets/_rels/sheet8.xml.rels>&#65279;<?xml version="1.0" encoding="utf-8"?><Relationships xmlns="http://schemas.openxmlformats.org/package/2006/relationships"><Relationship Type="http://schemas.openxmlformats.org/officeDocument/2006/relationships/comments" Target="/xl/comments5.xml" Id="Rd0e32f5c62994783" /><Relationship Type="http://schemas.openxmlformats.org/officeDocument/2006/relationships/vmlDrawing" Target="/xl/drawings/vmldrawing5.vml" Id="R7537e7eeece6499a" /><Relationship Type="http://schemas.microsoft.com/office/2017/10/relationships/threadedComment" Target="/xl/threadedcomments/threadedcomment5.xml" Id="R9b33a977aee5495a" /><Relationship Type="http://schemas.openxmlformats.org/officeDocument/2006/relationships/table" Target="/xl/tables/table7.xml" Id="R9ee9501b6e8044cc" /></Relationships>
</file>

<file path=xl/worksheets/_rels/sheet9.xml.rels>&#65279;<?xml version="1.0" encoding="utf-8"?><Relationships xmlns="http://schemas.openxmlformats.org/package/2006/relationships"><Relationship Type="http://schemas.openxmlformats.org/officeDocument/2006/relationships/comments" Target="/xl/comments6.xml" Id="Rcc8459b39a184d1c" /><Relationship Type="http://schemas.openxmlformats.org/officeDocument/2006/relationships/vmlDrawing" Target="/xl/drawings/vmldrawing6.vml" Id="R9a5477ca8c584e7c" /><Relationship Type="http://schemas.microsoft.com/office/2017/10/relationships/threadedComment" Target="/xl/threadedcomments/threadedcomment6.xml" Id="R20cf9678349440db" /><Relationship Type="http://schemas.openxmlformats.org/officeDocument/2006/relationships/table" Target="/xl/tables/table8.xml" Id="Rac383823f71b438b" /><Relationship Type="http://schemas.openxmlformats.org/officeDocument/2006/relationships/table" Target="/xl/tables/table9.xml" Id="Rec0d76abff034c01" /></Relationships>
</file>

<file path=xl/worksheets/_rels/sheet10.xml.rels>&#65279;<?xml version="1.0" encoding="utf-8"?><Relationships xmlns="http://schemas.openxmlformats.org/package/2006/relationships"><Relationship Type="http://schemas.openxmlformats.org/officeDocument/2006/relationships/table" Target="/xl/tables/table10.xml" Id="R11cc07e0b4534bf4" /></Relationships>
</file>

<file path=xl/worksheets/_rels/sheet11.xml.rels>&#65279;<?xml version="1.0" encoding="utf-8"?><Relationships xmlns="http://schemas.openxmlformats.org/package/2006/relationships"><Relationship Type="http://schemas.openxmlformats.org/officeDocument/2006/relationships/table" Target="/xl/tables/table11.xml" Id="R1ca2724dfecf45c7" /></Relationships>
</file>

<file path=xl/worksheets/_rels/sheet12.xml.rels>&#65279;<?xml version="1.0" encoding="utf-8"?><Relationships xmlns="http://schemas.openxmlformats.org/package/2006/relationships"><Relationship Type="http://schemas.openxmlformats.org/officeDocument/2006/relationships/table" Target="/xl/tables/table12.xml" Id="R8311b7973bdd4aa8" /></Relationships>
</file>

<file path=xl/worksheets/_rels/sheet13.xml.rels>&#65279;<?xml version="1.0" encoding="utf-8"?><Relationships xmlns="http://schemas.openxmlformats.org/package/2006/relationships"><Relationship Type="http://schemas.openxmlformats.org/officeDocument/2006/relationships/table" Target="/xl/tables/table13.xml" Id="R0ae59b4d6ca1430c" /></Relationships>
</file>

<file path=xl/worksheets/_rels/sheet14.xml.rels>&#65279;<?xml version="1.0" encoding="utf-8"?><Relationships xmlns="http://schemas.openxmlformats.org/package/2006/relationships"><Relationship Type="http://schemas.openxmlformats.org/officeDocument/2006/relationships/comments" Target="/xl/comments7.xml" Id="Re56ba33ef96b4e42" /><Relationship Type="http://schemas.openxmlformats.org/officeDocument/2006/relationships/vmlDrawing" Target="/xl/drawings/vmldrawing7.vml" Id="R2ae3e75c5dc94446" /><Relationship Type="http://schemas.microsoft.com/office/2017/10/relationships/threadedComment" Target="/xl/threadedcomments/threadedcomment7.xml" Id="Racd0c6c35cbb428b" /><Relationship Type="http://schemas.openxmlformats.org/officeDocument/2006/relationships/table" Target="/xl/tables/table14.xml" Id="Ref98bae997754e87" /><Relationship Type="http://schemas.openxmlformats.org/officeDocument/2006/relationships/table" Target="/xl/tables/table15.xml" Id="R5d5b41f422164841" /></Relationships>
</file>

<file path=xl/worksheets/_rels/sheet15.xml.rels>&#65279;<?xml version="1.0" encoding="utf-8"?><Relationships xmlns="http://schemas.openxmlformats.org/package/2006/relationships"><Relationship Type="http://schemas.openxmlformats.org/officeDocument/2006/relationships/drawing" Target="/xl/drawings/drawing1.xml" Id="R175b251827ba4a0e" /><Relationship Type="http://schemas.openxmlformats.org/officeDocument/2006/relationships/table" Target="/xl/tables/table16.xml" Id="R6f02009f3e1641b5" /><Relationship Type="http://schemas.openxmlformats.org/officeDocument/2006/relationships/table" Target="/xl/tables/table17.xml" Id="R6b690a9186864043" /></Relationships>
</file>

<file path=xl/worksheets/_rels/sheet16.xml.rels>&#65279;<?xml version="1.0" encoding="utf-8"?><Relationships xmlns="http://schemas.openxmlformats.org/package/2006/relationships"><Relationship Type="http://schemas.openxmlformats.org/officeDocument/2006/relationships/table" Target="/xl/tables/table18.xml" Id="R12cacef5f6354e3f" /><Relationship Type="http://schemas.openxmlformats.org/officeDocument/2006/relationships/table" Target="/xl/tables/table19.xml" Id="R023dad5d28154836" /></Relationships>
</file>

<file path=xl/worksheets/_rels/sheet17.xml.rels>&#65279;<?xml version="1.0" encoding="utf-8"?><Relationships xmlns="http://schemas.openxmlformats.org/package/2006/relationships"><Relationship Type="http://schemas.openxmlformats.org/officeDocument/2006/relationships/table" Target="/xl/tables/table20.xml" Id="R2846b735bebb421f" /></Relationships>
</file>

<file path=xl/worksheets/_rels/sheet18.xml.rels>&#65279;<?xml version="1.0" encoding="utf-8"?><Relationships xmlns="http://schemas.openxmlformats.org/package/2006/relationships"><Relationship Type="http://schemas.openxmlformats.org/officeDocument/2006/relationships/table" Target="/xl/tables/table21.xml" Id="Re02a964e8f324240" /></Relationships>
</file>

<file path=xl/worksheets/_rels/sheet19.xml.rels>&#65279;<?xml version="1.0" encoding="utf-8"?><Relationships xmlns="http://schemas.openxmlformats.org/package/2006/relationships"><Relationship Type="http://schemas.openxmlformats.org/officeDocument/2006/relationships/table" Target="/xl/tables/table22.xml" Id="R3a4375ea46ef4d72" /></Relationships>
</file>

<file path=xl/worksheets/_rels/sheet20.xml.rels>&#65279;<?xml version="1.0" encoding="utf-8"?><Relationships xmlns="http://schemas.openxmlformats.org/package/2006/relationships"><Relationship Type="http://schemas.openxmlformats.org/officeDocument/2006/relationships/drawing" Target="/xl/drawings/drawing2.xml" Id="Rad778edfb2b94ae1" /></Relationships>
</file>

<file path=xl/worksheets/_rels/sheet21.xml.rels>&#65279;<?xml version="1.0" encoding="utf-8"?><Relationships xmlns="http://schemas.openxmlformats.org/package/2006/relationships"><Relationship Type="http://schemas.openxmlformats.org/officeDocument/2006/relationships/comments" Target="/xl/comments8.xml" Id="Rfe4fede5a4db42ed" /><Relationship Type="http://schemas.openxmlformats.org/officeDocument/2006/relationships/vmlDrawing" Target="/xl/drawings/vmldrawing8.vml" Id="Rbc5ac12ec32f4e4a" /><Relationship Type="http://schemas.microsoft.com/office/2017/10/relationships/threadedComment" Target="/xl/threadedcomments/threadedcomment8.xml" Id="Rf5e110f973234e6d" /></Relationships>
</file>

<file path=xl/worksheets/_rels/sheet22.xml.rels>&#65279;<?xml version="1.0" encoding="utf-8"?><Relationships xmlns="http://schemas.openxmlformats.org/package/2006/relationships"><Relationship Type="http://schemas.openxmlformats.org/officeDocument/2006/relationships/comments" Target="/xl/comments9.xml" Id="R1e75c3f63a16426c" /><Relationship Type="http://schemas.openxmlformats.org/officeDocument/2006/relationships/vmlDrawing" Target="/xl/drawings/vmldrawing9.vml" Id="R2b69a0019d894416" /><Relationship Type="http://schemas.microsoft.com/office/2017/10/relationships/threadedComment" Target="/xl/threadedcomments/threadedcomment9.xml" Id="R597df7f4f7d54b73" /></Relationships>
</file>

<file path=xl/worksheets/_rels/sheet23.xml.rels>&#65279;<?xml version="1.0" encoding="utf-8"?><Relationships xmlns="http://schemas.openxmlformats.org/package/2006/relationships"><Relationship Type="http://schemas.openxmlformats.org/officeDocument/2006/relationships/comments" Target="/xl/comments10.xml" Id="R53136bcb55b74ef0" /><Relationship Type="http://schemas.openxmlformats.org/officeDocument/2006/relationships/vmlDrawing" Target="/xl/drawings/vmldrawing10.vml" Id="R768bf764900042bc" /><Relationship Type="http://schemas.microsoft.com/office/2017/10/relationships/threadedComment" Target="/xl/threadedcomments/threadedcomment10.xml" Id="Re826a3a5edb04dbb" /></Relationships>
</file>

<file path=xl/worksheets/_rels/sheet24.xml.rels>&#65279;<?xml version="1.0" encoding="utf-8"?><Relationships xmlns="http://schemas.openxmlformats.org/package/2006/relationships"><Relationship Type="http://schemas.openxmlformats.org/officeDocument/2006/relationships/comments" Target="/xl/comments11.xml" Id="R8937444d6cab4c2f" /><Relationship Type="http://schemas.openxmlformats.org/officeDocument/2006/relationships/vmlDrawing" Target="/xl/drawings/vmldrawing11.vml" Id="Re1c32f8d16484979" /><Relationship Type="http://schemas.microsoft.com/office/2017/10/relationships/threadedComment" Target="/xl/threadedcomments/threadedcomment11.xml" Id="R0f281b6bfd4046f7" /></Relationships>
</file>

<file path=xl/worksheets/_rels/sheet25.xml.rels>&#65279;<?xml version="1.0" encoding="utf-8"?><Relationships xmlns="http://schemas.openxmlformats.org/package/2006/relationships"><Relationship Type="http://schemas.openxmlformats.org/officeDocument/2006/relationships/comments" Target="/xl/comments12.xml" Id="R06007fb89394409d" /><Relationship Type="http://schemas.openxmlformats.org/officeDocument/2006/relationships/vmlDrawing" Target="/xl/drawings/vmldrawing12.vml" Id="R4b91a03827964427" /><Relationship Type="http://schemas.microsoft.com/office/2017/10/relationships/threadedComment" Target="/xl/threadedcomments/threadedcomment12.xml" Id="Re040f596c9094ea6" /></Relationships>
</file>

<file path=xl/worksheets/_rels/sheet27.xml.rels>&#65279;<?xml version="1.0" encoding="utf-8"?><Relationships xmlns="http://schemas.openxmlformats.org/package/2006/relationships"><Relationship Type="http://schemas.openxmlformats.org/officeDocument/2006/relationships/comments" Target="/xl/comments13.xml" Id="R1926499bdd524694" /><Relationship Type="http://schemas.openxmlformats.org/officeDocument/2006/relationships/vmlDrawing" Target="/xl/drawings/vmldrawing13.vml" Id="R458103e045314565" /><Relationship Type="http://schemas.microsoft.com/office/2017/10/relationships/threadedComment" Target="/xl/threadedcomments/threadedcomment13.xml" Id="R748dd10070c44761" /><Relationship Type="http://schemas.openxmlformats.org/officeDocument/2006/relationships/table" Target="/xl/tables/table23.xml" Id="R6f739963db7d4f5d" /><Relationship Type="http://schemas.openxmlformats.org/officeDocument/2006/relationships/table" Target="/xl/tables/table24.xml" Id="Rda1a076e385e42f1" /></Relationships>
</file>

<file path=xl/worksheets/_rels/sheet28.xml.rels>&#65279;<?xml version="1.0" encoding="utf-8"?><Relationships xmlns="http://schemas.openxmlformats.org/package/2006/relationships"><Relationship Type="http://schemas.openxmlformats.org/officeDocument/2006/relationships/comments" Target="/xl/comments14.xml" Id="Rf2c71ef3e2424f66" /><Relationship Type="http://schemas.openxmlformats.org/officeDocument/2006/relationships/vmlDrawing" Target="/xl/drawings/vmldrawing14.vml" Id="Ree79ba8fe449494c" /><Relationship Type="http://schemas.microsoft.com/office/2017/10/relationships/threadedComment" Target="/xl/threadedcomments/threadedcomment14.xml" Id="R8571c74180c6492f" /></Relationships>
</file>

<file path=xl/worksheets/_rels/sheet34.xml.rels>&#65279;<?xml version="1.0" encoding="utf-8"?><Relationships xmlns="http://schemas.openxmlformats.org/package/2006/relationships"><Relationship Type="http://schemas.openxmlformats.org/officeDocument/2006/relationships/drawing" Target="/xl/drawings/drawing3.xml" Id="R1f5cd8feeff14b2d" /></Relationships>
</file>

<file path=xl/worksheets/sheet1.xml><?xml version="1.0" encoding="utf-8"?>
<x:worksheet xmlns:x="http://schemas.openxmlformats.org/spreadsheetml/2006/main">
  <x:sheetViews>
    <x:sheetView showGridLines="0" workbookViewId="0"/>
  </x:sheetViews>
  <x:sheetFormatPr defaultRowHeight="15"/>
  <x:cols>
    <x:col min="1" max="1" width="15" hidden="0" customWidth="1"/>
    <x:col min="2" max="2" width="23" hidden="0" customWidth="1"/>
    <x:col min="3" max="3" width="22" hidden="0" customWidth="1"/>
    <x:col min="4" max="4" width="17" hidden="0" customWidth="1"/>
    <x:col min="5" max="5" width="22" hidden="0" customWidth="1"/>
    <x:col min="6" max="6" width="15" hidden="0" customWidth="1"/>
    <x:col min="7" max="7" width="23" hidden="0" customWidth="1"/>
    <x:col min="8" max="8" width="22" hidden="0" customWidth="1"/>
    <x:col min="9" max="9" width="17" hidden="0" customWidth="1"/>
    <x:col min="10" max="10" width="31" hidden="0" customWidth="1"/>
  </x:cols>
  <x:sheetData>
    <x:row r="1" ht="34" customHeight="1">
      <x:c r="A1" s="734" t="str">
        <x:v>GMD Top-Down Equity Research — Final Portfolio Package</x:v>
      </x:c>
      <x:c r="B1" s="734"/>
      <x:c r="C1" s="734"/>
      <x:c r="D1" s="734"/>
      <x:c r="E1" s="734"/>
      <x:c r="F1" s="734"/>
      <x:c r="G1" s="734"/>
      <x:c r="H1" s="734"/>
      <x:c r="I1" s="734"/>
      <x:c r="J1" s="734"/>
    </x:row>
    <x:row r="2" ht="28" customHeight="1">
      <x:c r="A2" s="738" t="str">
        <x:v>Vietnam trade and FDI → national container demand → GMD throughput and share → earnings and FCFF → valuation. Data cut-off: 25-Jul-2026.</x:v>
      </x:c>
      <x:c r="B2" s="738"/>
      <x:c r="C2" s="738"/>
      <x:c r="D2" s="738"/>
      <x:c r="E2" s="738"/>
      <x:c r="F2" s="738"/>
      <x:c r="G2" s="738"/>
      <x:c r="H2" s="738"/>
      <x:c r="I2" s="738"/>
      <x:c r="J2" s="738"/>
    </x:row>
    <x:row r="4" ht="24" customHeight="1">
      <x:c r="A4" s="747" t="str">
        <x:v>Investment call and model outputs</x:v>
      </x:c>
      <x:c r="B4" s="748" t="str">
        <x:v>Investment call and model outputs</x:v>
      </x:c>
      <x:c r="C4" s="748" t="str">
        <x:v>Investment call and model outputs</x:v>
      </x:c>
      <x:c r="D4" s="748" t="str">
        <x:v>Investment call and model outputs</x:v>
      </x:c>
      <x:c r="E4" s="748" t="str">
        <x:v>Investment call and model outputs</x:v>
      </x:c>
      <x:c r="F4" s="748" t="str">
        <x:v>Investment call and model outputs</x:v>
      </x:c>
      <x:c r="G4" s="748" t="str">
        <x:v>Investment call and model outputs</x:v>
      </x:c>
      <x:c r="H4" s="748" t="str">
        <x:v>Investment call and model outputs</x:v>
      </x:c>
      <x:c r="I4" s="748" t="str">
        <x:v>Investment call and model outputs</x:v>
      </x:c>
      <x:c r="J4" s="749" t="str">
        <x:v>Investment call and model outputs</x:v>
      </x:c>
    </x:row>
    <x:row r="5" ht="25" customHeight="1">
      <x:c r="A5" s="755" t="str">
        <x:v>Rating</x:v>
      </x:c>
      <x:c r="B5" s="755" t="str">
        <x:v>Target price</x:v>
      </x:c>
      <x:c r="C5" s="755" t="str">
        <x:v>Current price</x:v>
      </x:c>
      <x:c r="D5" s="755" t="str">
        <x:v>Upside</x:v>
      </x:c>
      <x:c r="E5" s="755" t="str">
        <x:v>2026E revenue</x:v>
      </x:c>
      <x:c r="F5" s="755" t="str">
        <x:v>2026E core PBT</x:v>
      </x:c>
      <x:c r="G5" s="755" t="str">
        <x:v>2026E EPS</x:v>
      </x:c>
      <x:c r="H5" s="755" t="str">
        <x:v>WACC</x:v>
      </x:c>
      <x:c r="I5" s="755" t="str">
        <x:v>Terminal growth</x:v>
      </x:c>
      <x:c r="J5" s="755" t="str">
        <x:v>Data cut-off</x:v>
      </x:c>
    </x:row>
    <x:row r="6" ht="25" customHeight="1">
      <x:c r="A6" s="768" t="str">
        <x:f>'P4 Valuation'!C18</x:f>
        <x:v>BUY</x:v>
      </x:c>
      <x:c r="B6" s="765" t="n">
        <x:f>'P4 Valuation'!C16</x:f>
        <x:v>84500</x:v>
      </x:c>
      <x:c r="C6" s="765" t="n">
        <x:f>'P4 Valuation'!C6</x:f>
        <x:v>73200</x:v>
      </x:c>
      <x:c r="D6" s="766" t="n">
        <x:f>'P4 Valuation'!C17</x:f>
        <x:v>0.15437158469945356</x:v>
      </x:c>
      <x:c r="E6" s="765" t="n">
        <x:f>'P4 Forecast'!D16</x:f>
        <x:v>6757.498469512975</x:v>
      </x:c>
      <x:c r="F6" s="765" t="n">
        <x:f>'P4 Forecast'!D28</x:f>
        <x:v>3009.3552045285132</x:v>
      </x:c>
      <x:c r="G6" s="765" t="n">
        <x:f>'P4 Forecast'!D35</x:f>
        <x:v>4980.839859705584</x:v>
      </x:c>
      <x:c r="H6" s="766" t="n">
        <x:f>'P4 Assumptions'!C112</x:f>
        <x:v>0.115817</x:v>
      </x:c>
      <x:c r="I6" s="766" t="n">
        <x:f>'P4 Assumptions'!C113</x:f>
        <x:v>0.04</x:v>
      </x:c>
      <x:c r="J6" s="767" t="n">
        <x:f>DATE(2026,7,25)</x:f>
        <x:v>46228</x:v>
      </x:c>
    </x:row>
    <x:row r="7" ht="25" customHeight="1">
      <x:c r="A7"/>
      <x:c r="B7"/>
      <x:c r="D7"/>
      <x:c r="E7"/>
    </x:row>
    <x:row r="8" ht="24" customHeight="1">
      <x:c r="A8" s="747" t="str">
        <x:v>Research conclusion</x:v>
      </x:c>
      <x:c r="B8" s="748" t="str">
        <x:v>Research conclusion</x:v>
      </x:c>
      <x:c r="C8" s="748" t="str">
        <x:v>Research conclusion</x:v>
      </x:c>
      <x:c r="D8" s="748" t="str">
        <x:v>Research conclusion</x:v>
      </x:c>
      <x:c r="E8" s="748" t="str">
        <x:v>Research conclusion</x:v>
      </x:c>
      <x:c r="F8" s="748" t="str">
        <x:v>Research conclusion</x:v>
      </x:c>
      <x:c r="G8" s="748" t="str">
        <x:v>Research conclusion</x:v>
      </x:c>
      <x:c r="H8" s="748" t="str">
        <x:v>Research conclusion</x:v>
      </x:c>
      <x:c r="I8" s="748" t="str">
        <x:v>Research conclusion</x:v>
      </x:c>
      <x:c r="J8" s="749" t="str">
        <x:v>Research conclusion</x:v>
      </x:c>
    </x:row>
    <x:row r="9" ht="25" customHeight="1">
      <x:c r="A9" s="798" t="str">
        <x:v>GMD ranks first in the operating peer screen because its nationwide asset footprint, Nam Dinh Vu expansion and Gemalink exposure provide the clearest path from Vietnam container growth to attributable earnings. The Base case supports BUY only narrowly: the blended target clears the 15% hurdle by a modest margin, so share retention, capex normalization and Gemalink Phase 2 execution remain critical.</x:v>
      </x:c>
      <x:c r="B9" s="799"/>
      <x:c r="C9" s="799"/>
      <x:c r="D9" s="799"/>
      <x:c r="E9" s="799"/>
      <x:c r="F9" s="799"/>
      <x:c r="G9" s="799"/>
      <x:c r="H9" s="799"/>
      <x:c r="I9" s="799"/>
      <x:c r="J9" s="800"/>
    </x:row>
    <x:row r="10" ht="25" customHeight="1">
      <x:c r="A10" s="801"/>
      <x:c r="B10" s="802"/>
      <x:c r="C10" s="802"/>
      <x:c r="D10" s="802"/>
      <x:c r="E10" s="802"/>
      <x:c r="F10" s="802"/>
      <x:c r="G10" s="802"/>
      <x:c r="H10" s="802"/>
      <x:c r="I10" s="802"/>
      <x:c r="J10" s="803"/>
    </x:row>
    <x:row r="11" ht="25" customHeight="1">
      <x:c r="A11" s="804"/>
      <x:c r="B11" s="805"/>
      <x:c r="C11" s="805"/>
      <x:c r="D11" s="805"/>
      <x:c r="E11" s="805"/>
      <x:c r="F11" s="805"/>
      <x:c r="G11" s="805"/>
      <x:c r="H11" s="805"/>
      <x:c r="I11" s="805"/>
      <x:c r="J11" s="806"/>
    </x:row>
    <x:row r="12" ht="25" customHeight="1">
      <x:c r="D12"/>
      <x:c r="E12"/>
    </x:row>
    <x:row r="13" ht="24" customHeight="1">
      <x:c r="A13" s="747" t="str">
        <x:v>Workbook navigation — follow the research chain</x:v>
      </x:c>
      <x:c r="B13" s="748" t="str">
        <x:v>Workbook navigation — follow the research chain</x:v>
      </x:c>
      <x:c r="C13" s="748" t="str">
        <x:v>Workbook navigation — follow the research chain</x:v>
      </x:c>
      <x:c r="D13" s="748" t="str">
        <x:v>Workbook navigation — follow the research chain</x:v>
      </x:c>
      <x:c r="E13" s="748" t="str">
        <x:v>Workbook navigation — follow the research chain</x:v>
      </x:c>
      <x:c r="F13" s="748" t="str">
        <x:v>Workbook navigation — follow the research chain</x:v>
      </x:c>
      <x:c r="G13" s="748" t="str">
        <x:v>Workbook navigation — follow the research chain</x:v>
      </x:c>
      <x:c r="H13" s="748" t="str">
        <x:v>Workbook navigation — follow the research chain</x:v>
      </x:c>
      <x:c r="I13" s="748" t="str">
        <x:v>Workbook navigation — follow the research chain</x:v>
      </x:c>
      <x:c r="J13" s="749" t="str">
        <x:v>Workbook navigation — follow the research chain</x:v>
      </x:c>
    </x:row>
    <x:row r="14" ht="21" customHeight="1">
      <x:c r="A14" s="755" t="str">
        <x:v>Step</x:v>
      </x:c>
      <x:c r="B14" s="755" t="str">
        <x:v>Question answered</x:v>
      </x:c>
      <x:c r="C14" s="755" t="str">
        <x:v>Primary sheet</x:v>
      </x:c>
      <x:c r="D14" s="755" t="str">
        <x:v>Evidence class</x:v>
      </x:c>
      <x:c r="E14" s="755" t="str">
        <x:v>Update action</x:v>
      </x:c>
      <x:c r="F14" s="755" t="str">
        <x:v>Step</x:v>
      </x:c>
      <x:c r="G14" s="755" t="str">
        <x:v>Question answered</x:v>
      </x:c>
      <x:c r="H14" s="755" t="str">
        <x:v>Primary sheet</x:v>
      </x:c>
      <x:c r="I14" s="755" t="str">
        <x:v>Evidence class</x:v>
      </x:c>
      <x:c r="J14" s="755" t="str">
        <x:v>Update action</x:v>
      </x:c>
    </x:row>
    <x:row r="15" ht="24" customHeight="1">
      <x:c r="A15" s="807" t="str">
        <x:v>1</x:v>
      </x:c>
      <x:c r="B15" s="759" t="str">
        <x:v>Is the macro setup supportive?</x:v>
      </x:c>
      <x:c r="C15" s="759" t="str">
        <x:v>Macro H1 2026</x:v>
      </x:c>
      <x:c r="D15" s="759" t="str">
        <x:v>Official facts</x:v>
      </x:c>
      <x:c r="E15" s="759" t="str">
        <x:v>Refresh NSO release</x:v>
      </x:c>
      <x:c r="F15" s="807" t="str">
        <x:v>5</x:v>
      </x:c>
      <x:c r="G15" s="759" t="str">
        <x:v>What is the investment call?</x:v>
      </x:c>
      <x:c r="H15" s="759" t="str">
        <x:v>P4 Investment View</x:v>
      </x:c>
      <x:c r="I15" s="759" t="str">
        <x:v>Model output</x:v>
      </x:c>
      <x:c r="J15" s="759" t="str">
        <x:v>Review catalysts/risks</x:v>
      </x:c>
    </x:row>
    <x:row r="16" ht="24" customHeight="1">
      <x:c r="A16" s="807" t="str">
        <x:v>2</x:v>
      </x:c>
      <x:c r="B16" s="759" t="str">
        <x:v>Why GMD over listed peers?</x:v>
      </x:c>
      <x:c r="C16" s="759" t="str">
        <x:v>P2 Scorecard</x:v>
      </x:c>
      <x:c r="D16" s="759" t="str">
        <x:v>Analyst screen</x:v>
      </x:c>
      <x:c r="E16" s="759" t="str">
        <x:v>Re-score if facts change</x:v>
      </x:c>
      <x:c r="F16" s="807" t="str">
        <x:v>6</x:v>
      </x:c>
      <x:c r="G16" s="759" t="str">
        <x:v>How is the stock valued?</x:v>
      </x:c>
      <x:c r="H16" s="759" t="str">
        <x:v>P4 Valuation / DCF</x:v>
      </x:c>
      <x:c r="I16" s="759" t="str">
        <x:v>Formula output</x:v>
      </x:c>
      <x:c r="J16" s="759" t="str">
        <x:v>Refresh price/WACC</x:v>
      </x:c>
    </x:row>
    <x:row r="17" ht="24" customHeight="1">
      <x:c r="A17" s="807" t="str">
        <x:v>3</x:v>
      </x:c>
      <x:c r="B17" s="759" t="str">
        <x:v>What drove historical earnings?</x:v>
      </x:c>
      <x:c r="C17" s="759" t="str">
        <x:v>P3 Dashboard</x:v>
      </x:c>
      <x:c r="D17" s="759" t="str">
        <x:v>Linked actuals</x:v>
      </x:c>
      <x:c r="E17" s="759" t="str">
        <x:v>Refresh filings/API</x:v>
      </x:c>
      <x:c r="F17" s="807" t="str">
        <x:v>7</x:v>
      </x:c>
      <x:c r="G17" s="759" t="str">
        <x:v>Do all bridges reconcile?</x:v>
      </x:c>
      <x:c r="H17" s="759" t="str">
        <x:v>P3/P4 Checks</x:v>
      </x:c>
      <x:c r="I17" s="759" t="str">
        <x:v>Model controls</x:v>
      </x:c>
      <x:c r="J17" s="759" t="str">
        <x:v>Resolve REVIEW flags</x:v>
      </x:c>
    </x:row>
    <x:row r="18" ht="24" customHeight="1">
      <x:c r="A18" s="807" t="str">
        <x:v>4</x:v>
      </x:c>
      <x:c r="B18" s="759" t="str">
        <x:v>How does top-down become EPS?</x:v>
      </x:c>
      <x:c r="C18" s="759" t="str">
        <x:v>P4 Forecast</x:v>
      </x:c>
      <x:c r="D18" s="759" t="str">
        <x:v>Assumptions + formulas</x:v>
      </x:c>
      <x:c r="E18" s="759" t="str">
        <x:v>Edit blue inputs only</x:v>
      </x:c>
      <x:c r="F18" s="807" t="str">
        <x:v>8</x:v>
      </x:c>
      <x:c r="G18" s="759" t="str">
        <x:v>Are portfolio outputs consistent?</x:v>
      </x:c>
      <x:c r="H18" s="759" t="str">
        <x:v>P5 QC</x:v>
      </x:c>
      <x:c r="I18" s="759" t="str">
        <x:v>Packaging controls</x:v>
      </x:c>
      <x:c r="J18" s="759" t="str">
        <x:v>Run before sharing</x:v>
      </x:c>
    </x:row>
    <x:row r="20" ht="24" customHeight="1">
      <x:c r="A20" s="747" t="str">
        <x:v>Phase status</x:v>
      </x:c>
      <x:c r="B20" s="748" t="str">
        <x:v>Phase status</x:v>
      </x:c>
      <x:c r="C20" s="748" t="str">
        <x:v>Phase status</x:v>
      </x:c>
      <x:c r="D20" s="748" t="str">
        <x:v>Phase status</x:v>
      </x:c>
      <x:c r="E20" s="748" t="str">
        <x:v>Phase status</x:v>
      </x:c>
      <x:c r="F20" s="748" t="str">
        <x:v>Phase status</x:v>
      </x:c>
      <x:c r="G20" s="748" t="str">
        <x:v>Phase status</x:v>
      </x:c>
      <x:c r="H20" s="748" t="str">
        <x:v>Phase status</x:v>
      </x:c>
      <x:c r="I20" s="748" t="str">
        <x:v>Phase status</x:v>
      </x:c>
      <x:c r="J20" s="749" t="str">
        <x:v>Phase status</x:v>
      </x:c>
    </x:row>
    <x:row r="21" ht="28" customHeight="1">
      <x:c r="A21" s="755" t="str">
        <x:v>Phase</x:v>
      </x:c>
      <x:c r="B21" s="755" t="str">
        <x:v>Status</x:v>
      </x:c>
      <x:c r="C21" s="755" t="str">
        <x:v>Key output</x:v>
      </x:c>
      <x:c r="D21" s="755" t="str">
        <x:v>Phase</x:v>
      </x:c>
      <x:c r="E21" s="755" t="str">
        <x:v>Status</x:v>
      </x:c>
      <x:c r="F21" s="755" t="str">
        <x:v>Key output</x:v>
      </x:c>
      <x:c r="G21" s="755" t="str">
        <x:v>Phase</x:v>
      </x:c>
      <x:c r="H21" s="755" t="str">
        <x:v>Status</x:v>
      </x:c>
      <x:c r="I21" s="755" t="str">
        <x:v>Key output</x:v>
      </x:c>
      <x:c r="J21" s="755" t="str">
        <x:v>Model discipline</x:v>
      </x:c>
    </x:row>
    <x:row r="22" ht="28" customHeight="1">
      <x:c r="A22" s="759" t="str">
        <x:v>0–1</x:v>
      </x:c>
      <x:c r="B22" s="809" t="str">
        <x:v>COMPLETE</x:v>
      </x:c>
      <x:c r="C22" s="759" t="str">
        <x:v>Mandate + source audit</x:v>
      </x:c>
      <x:c r="D22" s="759" t="str">
        <x:v>2</x:v>
      </x:c>
      <x:c r="E22" s="809" t="str">
        <x:v>COMPLETE</x:v>
      </x:c>
      <x:c r="F22" s="759" t="str">
        <x:v>GMD selected over peers</x:v>
      </x:c>
      <x:c r="G22" s="759" t="str">
        <x:v>3</x:v>
      </x:c>
      <x:c r="H22" s="809" t="str">
        <x:v>COMPLETE</x:v>
      </x:c>
      <x:c r="I22" s="759" t="str">
        <x:v>2021–2025 raw-linked history</x:v>
      </x:c>
      <x:c r="J22" s="759" t="str">
        <x:v>Facts / assumptions / outputs separated</x:v>
      </x:c>
    </x:row>
    <x:row r="23" ht="28" customHeight="1">
      <x:c r="A23" s="759" t="str">
        <x:v>4</x:v>
      </x:c>
      <x:c r="B23" s="809" t="str">
        <x:v>COMPLETE</x:v>
      </x:c>
      <x:c r="C23" s="759" t="str">
        <x:v>2026–2030 forecast + valuation</x:v>
      </x:c>
      <x:c r="D23" s="759" t="str">
        <x:v>5</x:v>
      </x:c>
      <x:c r="E23" s="809" t="str">
        <x:v>COMPLETE</x:v>
      </x:c>
      <x:c r="F23" s="759" t="str">
        <x:v>Model + 7-slide note + script</x:v>
      </x:c>
      <x:c r="G23" s="759" t="str">
        <x:v>Checks</x:v>
      </x:c>
      <x:c r="H23" s="809" t="str">
        <x:v>PASS</x:v>
      </x:c>
      <x:c r="I23" s="759" t="str">
        <x:v>P3, P4 and P5 controls</x:v>
      </x:c>
      <x:c r="J23" s="759" t="str">
        <x:v>No recommendation before downside case</x:v>
      </x:c>
    </x:row>
    <x:row r="24" ht="28" customHeight="1">
      <x:c r="A24"/>
      <x:c r="B24"/>
      <x:c r="D24"/>
      <x:c r="E24"/>
      <x:c r="F24"/>
      <x:c r="G24"/>
      <x:c r="H24"/>
      <x:c r="I24"/>
      <x:c r="J24"/>
    </x:row>
    <x:row r="25" ht="24" customHeight="1">
      <x:c r="A25" s="747" t="str">
        <x:v>Conventions</x:v>
      </x:c>
      <x:c r="B25" s="748" t="str">
        <x:v>Conventions</x:v>
      </x:c>
      <x:c r="C25" s="748" t="str">
        <x:v>Conventions</x:v>
      </x:c>
      <x:c r="D25" s="748" t="str">
        <x:v>Conventions</x:v>
      </x:c>
      <x:c r="E25" s="748" t="str">
        <x:v>Conventions</x:v>
      </x:c>
      <x:c r="F25" s="748" t="str">
        <x:v>Conventions</x:v>
      </x:c>
      <x:c r="G25" s="748" t="str">
        <x:v>Conventions</x:v>
      </x:c>
      <x:c r="H25" s="748" t="str">
        <x:v>Conventions</x:v>
      </x:c>
      <x:c r="I25" s="748" t="str">
        <x:v>Conventions</x:v>
      </x:c>
      <x:c r="J25" s="749" t="str">
        <x:v>Conventions</x:v>
      </x:c>
    </x:row>
    <x:row r="26" ht="24" customHeight="1">
      <x:c r="A26" s="830" t="str">
        <x:v>Green font = linked formulas; blue font with yellow fill = editable assumptions; black font = calculations; source URLs and audit notes are retained in Source Audit and raw-data sheets. The investment note is a portfolio sample, not a solicitation or personalized investment advice.</x:v>
      </x:c>
      <x:c r="B26" s="831"/>
      <x:c r="C26" s="831"/>
      <x:c r="D26" s="831"/>
      <x:c r="E26" s="831"/>
      <x:c r="F26" s="831"/>
      <x:c r="G26" s="831"/>
      <x:c r="H26" s="831"/>
      <x:c r="I26" s="831"/>
      <x:c r="J26" s="832"/>
    </x:row>
    <x:row r="27" ht="24" customHeight="1">
      <x:c r="A27" s="833"/>
      <x:c r="B27" s="834"/>
      <x:c r="C27" s="834"/>
      <x:c r="D27" s="834"/>
      <x:c r="E27" s="834"/>
      <x:c r="F27" s="834"/>
      <x:c r="G27" s="834"/>
      <x:c r="H27" s="834"/>
      <x:c r="I27" s="834"/>
      <x:c r="J27" s="835"/>
    </x:row>
    <x:row r="28" ht="24" customHeight="1">
      <x:c r="A28" s="836"/>
      <x:c r="B28" s="837"/>
      <x:c r="C28" s="837"/>
      <x:c r="D28" s="837"/>
      <x:c r="E28" s="837"/>
      <x:c r="F28" s="837"/>
      <x:c r="G28" s="837"/>
      <x:c r="H28" s="837"/>
      <x:c r="I28" s="837"/>
      <x:c r="J28" s="838"/>
    </x:row>
  </x:sheetData>
  <x:mergeCells>
    <x:mergeCell ref="A1:J1"/>
    <x:mergeCell ref="A2:J2"/>
    <x:mergeCell ref="A4:J4"/>
    <x:mergeCell ref="A8:J8"/>
    <x:mergeCell ref="A9:J11"/>
    <x:mergeCell ref="A13:J13"/>
    <x:mergeCell ref="A20:J20"/>
    <x:mergeCell ref="A25:J25"/>
    <x:mergeCell ref="A26:J28"/>
  </x:mergeCells>
  <x:conditionalFormatting sqref="A6:A6">
    <x:cfRule type="containsText" dxfId="13" priority="1" operator="containsText" text="BUY"/>
    <x:cfRule type="containsText" dxfId="14" priority="2" operator="containsText" text="SELL"/>
  </x:conditionalFormatting>
  <x:pageMargins left="0.7" right="0.7" top="0.75" bottom="0.75" header="0.3" footer="0.3"/>
</x:worksheet>
</file>

<file path=xl/worksheets/sheet2.xml><?xml version="1.0" encoding="utf-8"?>
<x:worksheet xmlns:x="http://schemas.openxmlformats.org/spreadsheetml/2006/main">
  <x:sheetViews>
    <x:sheetView showGridLines="0" workbookViewId="0"/>
  </x:sheetViews>
  <x:sheetFormatPr defaultRowHeight="15"/>
  <x:cols>
    <x:col min="1" max="1" width="25" hidden="0" customWidth="1"/>
    <x:col min="2" max="2" width="48" hidden="0" customWidth="1"/>
    <x:col min="3" max="3" width="22" hidden="0" customWidth="1"/>
    <x:col min="4" max="4" width="24" hidden="0" customWidth="1"/>
    <x:col min="5" max="5" width="25" hidden="0" customWidth="1"/>
    <x:col min="6" max="6" width="25" hidden="0" customWidth="1"/>
    <x:col min="7" max="7" width="22" hidden="0" customWidth="1"/>
    <x:col min="8" max="8" width="38" hidden="0" customWidth="1"/>
  </x:cols>
  <x:sheetData>
    <x:row r="1" ht="30" customHeight="1">
      <x:c r="A1" s="4" t="str">
        <x:v>Phase 0 — Research Mandate</x:v>
      </x:c>
      <x:c r="B1" s="4" t="str">
        <x:v>Phase 0 — Research Mandate</x:v>
      </x:c>
      <x:c r="C1" s="4" t="str">
        <x:v>Phase 0 — Research Mandate</x:v>
      </x:c>
      <x:c r="D1" s="4" t="str">
        <x:v>Phase 0 — Research Mandate</x:v>
      </x:c>
      <x:c r="E1" s="4" t="str">
        <x:v>Phase 0 — Research Mandate</x:v>
      </x:c>
      <x:c r="F1" s="4" t="str">
        <x:v>Phase 0 — Research Mandate</x:v>
      </x:c>
      <x:c r="G1" s="4" t="str">
        <x:v>Phase 0 — Research Mandate</x:v>
      </x:c>
      <x:c r="H1" s="4" t="str">
        <x:v>Phase 0 — Research Mandate</x:v>
      </x:c>
    </x:row>
    <x:row r="2" ht="34" customHeight="1">
      <x:c r="A2" s="9" t="str">
        <x:v>The brief converts a broad sector idea into a falsifiable equity-research question.</x:v>
      </x:c>
      <x:c r="B2" s="9" t="str">
        <x:v>The brief converts a broad sector idea into a falsifiable equity-research question.</x:v>
      </x:c>
      <x:c r="C2" s="9" t="str">
        <x:v>The brief converts a broad sector idea into a falsifiable equity-research question.</x:v>
      </x:c>
      <x:c r="D2" s="9" t="str">
        <x:v>The brief converts a broad sector idea into a falsifiable equity-research question.</x:v>
      </x:c>
      <x:c r="E2" s="9" t="str">
        <x:v>The brief converts a broad sector idea into a falsifiable equity-research question.</x:v>
      </x:c>
      <x:c r="F2" s="9" t="str">
        <x:v>The brief converts a broad sector idea into a falsifiable equity-research question.</x:v>
      </x:c>
      <x:c r="G2" s="9" t="str">
        <x:v>The brief converts a broad sector idea into a falsifiable equity-research question.</x:v>
      </x:c>
      <x:c r="H2" s="9" t="str">
        <x:v>The brief converts a broad sector idea into a falsifiable equity-research question.</x:v>
      </x:c>
    </x:row>
    <x:row r="4" ht="21" customHeight="1">
      <x:c r="A4" s="13" t="str">
        <x:v>Research question and working hypothesis</x:v>
      </x:c>
      <x:c r="B4" s="13" t="str">
        <x:v>Research question and working hypothesis</x:v>
      </x:c>
      <x:c r="C4" s="13" t="str">
        <x:v>Research question and working hypothesis</x:v>
      </x:c>
      <x:c r="D4" s="13" t="str">
        <x:v>Research question and working hypothesis</x:v>
      </x:c>
      <x:c r="E4" s="13" t="str">
        <x:v>Research question and working hypothesis</x:v>
      </x:c>
      <x:c r="F4" s="13" t="str">
        <x:v>Research question and working hypothesis</x:v>
      </x:c>
      <x:c r="G4" s="13" t="str">
        <x:v>Research question and working hypothesis</x:v>
      </x:c>
      <x:c r="H4" s="13" t="str">
        <x:v>Research question and working hypothesis</x:v>
      </x:c>
    </x:row>
    <x:row r="5" ht="38" customHeight="1">
      <x:c r="A5" s="17" t="str">
        <x:v>Decision question</x:v>
      </x:c>
      <x:c r="B5" s="21" t="str">
        <x:v>If Vietnam trade keeps growing, which listed port operator converts that growth into the most reliable EBITDA and FCF in 2026–2028?</x:v>
      </x:c>
    </x:row>
    <x:row r="6" ht="38" customHeight="1">
      <x:c r="A6" s="17" t="str">
        <x:v>Hypothesis 1 — Macro to volume</x:v>
      </x:c>
      <x:c r="B6" s="21" t="str">
        <x:v>Trade and disbursed FDI support cargo/container volumes, but the elasticity must be estimated rather than assumed.</x:v>
      </x:c>
    </x:row>
    <x:row r="7" ht="38" customHeight="1">
      <x:c r="A7" s="17" t="str">
        <x:v>Hypothesis 2 — Volume to company</x:v>
      </x:c>
      <x:c r="B7" s="21" t="str">
        <x:v>Benefits concentrate in the region and assets with available capacity, suitable channel depth, shipping-line connectivity and defensible market share.</x:v>
      </x:c>
    </x:row>
    <x:row r="8" ht="38" customHeight="1">
      <x:c r="A8" s="17" t="str">
        <x:v>Hypothesis 3 — Company to equity</x:v>
      </x:c>
      <x:c r="B8" s="21" t="str">
        <x:v>Throughput × realized tariff must survive opex, capex, interest and minority-interest leakage before creating shareholder value.</x:v>
      </x:c>
    </x:row>
    <x:row r="9" ht="38" customHeight="1">
      <x:c r="A9" s="17" t="str">
        <x:v>Preliminary focal name</x:v>
      </x:c>
      <x:c r="B9" s="21" t="str">
        <x:v>GMD is the candidate for full modeling; Phase 2 can reject it in favor of VSC, PHP or DVP.</x:v>
      </x:c>
    </x:row>
    <x:row r="11" ht="21" customHeight="1">
      <x:c r="A11" s="13" t="str">
        <x:v>Top-down chain and required tests</x:v>
      </x:c>
      <x:c r="B11" s="13" t="str">
        <x:v>Top-down chain and required tests</x:v>
      </x:c>
      <x:c r="C11" s="13" t="str">
        <x:v>Top-down chain and required tests</x:v>
      </x:c>
      <x:c r="D11" s="13" t="str">
        <x:v>Top-down chain and required tests</x:v>
      </x:c>
      <x:c r="E11" s="13" t="str">
        <x:v>Top-down chain and required tests</x:v>
      </x:c>
      <x:c r="F11" s="13" t="str">
        <x:v>Top-down chain and required tests</x:v>
      </x:c>
      <x:c r="G11" s="13" t="str">
        <x:v>Top-down chain and required tests</x:v>
      </x:c>
      <x:c r="H11" s="13" t="str">
        <x:v>Top-down chain and required tests</x:v>
      </x:c>
    </x:row>
    <x:row r="12" ht="32" customHeight="1">
      <x:c r="A12" s="65" t="str">
        <x:v>Layer</x:v>
      </x:c>
      <x:c r="B12" s="65" t="str">
        <x:v>Macro</x:v>
      </x:c>
      <x:c r="C12" s="65" t="str">
        <x:v>Industry</x:v>
      </x:c>
      <x:c r="D12" s="65" t="str">
        <x:v>Regional</x:v>
      </x:c>
      <x:c r="E12" s="65" t="str">
        <x:v>Asset / company</x:v>
      </x:c>
      <x:c r="F12" s="65" t="str">
        <x:v>Financial bridge</x:v>
      </x:c>
      <x:c r="G12" s="65" t="str">
        <x:v>Equity</x:v>
      </x:c>
      <x:c r="H12" s="65" t="str">
        <x:v>Failure test</x:v>
      </x:c>
    </x:row>
    <x:row r="13" ht="34" customHeight="1">
      <x:c r="A13" s="85" t="str">
        <x:v>Driver</x:v>
      </x:c>
      <x:c r="B13" s="86" t="str">
        <x:v>Trade / FDI</x:v>
      </x:c>
      <x:c r="C13" s="86" t="str">
        <x:v>National TEU</x:v>
      </x:c>
      <x:c r="D13" s="86" t="str">
        <x:v>North / Central / South</x:v>
      </x:c>
      <x:c r="E13" s="86" t="str">
        <x:v>Capacity, share, routes</x:v>
      </x:c>
      <x:c r="F13" s="86" t="str">
        <x:v>Throughput × tariff</x:v>
      </x:c>
      <x:c r="G13" s="86" t="str">
        <x:v>FCF / valuation</x:v>
      </x:c>
      <x:c r="H13" s="87" t="str">
        <x:v>Any broken link weakens the thesis</x:v>
      </x:c>
    </x:row>
    <x:row r="14" ht="34" customHeight="1">
      <x:c r="A14" s="88" t="str">
        <x:v>Primary metric</x:v>
      </x:c>
      <x:c r="B14" s="89" t="str">
        <x:v>USD bn</x:v>
      </x:c>
      <x:c r="C14" s="89" t="str">
        <x:v>m TEU / mn tonnes</x:v>
      </x:c>
      <x:c r="D14" s="89" t="str">
        <x:v>Comparable TEU</x:v>
      </x:c>
      <x:c r="E14" s="89" t="str">
        <x:v>TEU, utilization, share</x:v>
      </x:c>
      <x:c r="F14" s="89" t="str">
        <x:v>VND bn, margin</x:v>
      </x:c>
      <x:c r="G14" s="89" t="str">
        <x:v>EV/EBITDA, DCF</x:v>
      </x:c>
      <x:c r="H14" s="90" t="str">
        <x:v>Definitions and units must align</x:v>
      </x:c>
    </x:row>
    <x:row r="15" ht="34" customHeight="1">
      <x:c r="A15" s="88" t="str">
        <x:v>Main risk</x:v>
      </x:c>
      <x:c r="B15" s="89" t="str">
        <x:v>Value ≠ volume</x:v>
      </x:c>
      <x:c r="C15" s="89" t="str">
        <x:v>Scope changes</x:v>
      </x:c>
      <x:c r="D15" s="89" t="str">
        <x:v>National ≠ regional</x:v>
      </x:c>
      <x:c r="E15" s="89" t="str">
        <x:v>Capacity ≠ throughput</x:v>
      </x:c>
      <x:c r="F15" s="89" t="str">
        <x:v>Mix / opex / capex</x:v>
      </x:c>
      <x:c r="G15" s="89" t="str">
        <x:v>Priced-in growth</x:v>
      </x:c>
      <x:c r="H15" s="90" t="str">
        <x:v>Document in Gap Log</x:v>
      </x:c>
    </x:row>
    <x:row r="16" ht="34" customHeight="1">
      <x:c r="A16" s="91" t="str">
        <x:v>Phase</x:v>
      </x:c>
      <x:c r="B16" s="92" t="str">
        <x:v>1–3</x:v>
      </x:c>
      <x:c r="C16" s="92" t="str">
        <x:v>1–3</x:v>
      </x:c>
      <x:c r="D16" s="92" t="str">
        <x:v>2–3</x:v>
      </x:c>
      <x:c r="E16" s="92" t="str">
        <x:v>2–3</x:v>
      </x:c>
      <x:c r="F16" s="92" t="str">
        <x:v>3</x:v>
      </x:c>
      <x:c r="G16" s="92" t="str">
        <x:v>4</x:v>
      </x:c>
      <x:c r="H16" s="93" t="str">
        <x:v>Every phase</x:v>
      </x:c>
    </x:row>
    <x:row r="18" ht="21" customHeight="1">
      <x:c r="A18" s="13" t="str">
        <x:v>Falsification tests</x:v>
      </x:c>
      <x:c r="B18" s="13" t="str">
        <x:v>Falsification tests</x:v>
      </x:c>
      <x:c r="C18" s="13" t="str">
        <x:v>Falsification tests</x:v>
      </x:c>
      <x:c r="D18" s="13" t="str">
        <x:v>Falsification tests</x:v>
      </x:c>
      <x:c r="E18" s="13" t="str">
        <x:v>Falsification tests</x:v>
      </x:c>
      <x:c r="F18" s="13" t="str">
        <x:v>Falsification tests</x:v>
      </x:c>
      <x:c r="G18" s="13" t="str">
        <x:v>Falsification tests</x:v>
      </x:c>
      <x:c r="H18" s="13" t="str">
        <x:v>Falsification tests</x:v>
      </x:c>
    </x:row>
    <x:row r="19" ht="27" customHeight="1">
      <x:c r="A19" s="96" t="str">
        <x:v>F-01</x:v>
      </x:c>
      <x:c r="B19" s="21" t="str">
        <x:v>Trade growth does not produce a stable relationship with comparable TEU history.</x:v>
      </x:c>
    </x:row>
    <x:row r="20" ht="27" customHeight="1">
      <x:c r="A20" s="96" t="str">
        <x:v>F-02</x:v>
      </x:c>
      <x:c r="B20" s="21" t="str">
        <x:v>Volume growth is concentrated outside GMD's relevant regions or GMD loses market share.</x:v>
      </x:c>
    </x:row>
    <x:row r="21" ht="27" customHeight="1">
      <x:c r="A21" s="96" t="str">
        <x:v>F-03</x:v>
      </x:c>
      <x:c r="B21" s="21" t="str">
        <x:v>New capacity ramps slowly or competition compresses tariff and margin.</x:v>
      </x:c>
    </x:row>
    <x:row r="22" ht="27" customHeight="1">
      <x:c r="A22" s="96" t="str">
        <x:v>F-04</x:v>
      </x:c>
      <x:c r="B22" s="21" t="str">
        <x:v>Capex, interest or minority interests absorb most EBITDA growth.</x:v>
      </x:c>
    </x:row>
    <x:row r="23" ht="27" customHeight="1">
      <x:c r="A23" s="96" t="str">
        <x:v>F-05</x:v>
      </x:c>
      <x:c r="B23" s="21" t="str">
        <x:v>A peer has superior asset position and risk-adjusted earnings after normalization.</x:v>
      </x:c>
    </x:row>
    <x:row r="24" ht="27" customHeight="1">
      <x:c r="A24" s="96" t="str">
        <x:v>F-06</x:v>
      </x:c>
      <x:c r="B24" s="21" t="str">
        <x:v>Valuation already prices in the 2026–2028 recovery with insufficient margin of safety.</x:v>
      </x:c>
    </x:row>
    <x:row r="26" ht="21" customHeight="1">
      <x:c r="A26" s="13" t="str">
        <x:v>Boundary conditions</x:v>
      </x:c>
      <x:c r="B26" s="13" t="str">
        <x:v>Boundary conditions</x:v>
      </x:c>
      <x:c r="C26" s="13" t="str">
        <x:v>Boundary conditions</x:v>
      </x:c>
      <x:c r="D26" s="13" t="str">
        <x:v>Boundary conditions</x:v>
      </x:c>
      <x:c r="E26" s="13" t="str">
        <x:v>Boundary conditions</x:v>
      </x:c>
      <x:c r="F26" s="13" t="str">
        <x:v>Boundary conditions</x:v>
      </x:c>
      <x:c r="G26" s="13" t="str">
        <x:v>Boundary conditions</x:v>
      </x:c>
      <x:c r="H26" s="13" t="str">
        <x:v>Boundary conditions</x:v>
      </x:c>
    </x:row>
    <x:row r="27" ht="24" customHeight="1">
      <x:c r="A27" s="46" t="str">
        <x:v>In scope: trade, FDI, cargo/TEU, regional port demand, asset position, capacity, throughput, tariff, margin, capex and valuation. Out of scope: shipping-line freight rates and a combined port-plus-shipping thesis. No rating, target price or recommendation is allowed before the forecast and valuation phases.</x:v>
      </x:c>
      <x:c r="B27" s="47" t="str">
        <x:v>In scope: trade, FDI, cargo/TEU, regional port demand, asset position, capacity, throughput, tariff, margin, capex and valuation. Out of scope: shipping-line freight rates and a combined port-plus-shipping thesis. No rating, target price or recommendation is allowed before the forecast and valuation phases.</x:v>
      </x:c>
      <x:c r="C27" s="47" t="str">
        <x:v>In scope: trade, FDI, cargo/TEU, regional port demand, asset position, capacity, throughput, tariff, margin, capex and valuation. Out of scope: shipping-line freight rates and a combined port-plus-shipping thesis. No rating, target price or recommendation is allowed before the forecast and valuation phases.</x:v>
      </x:c>
      <x:c r="D27" s="47" t="str">
        <x:v>In scope: trade, FDI, cargo/TEU, regional port demand, asset position, capacity, throughput, tariff, margin, capex and valuation. Out of scope: shipping-line freight rates and a combined port-plus-shipping thesis. No rating, target price or recommendation is allowed before the forecast and valuation phases.</x:v>
      </x:c>
      <x:c r="E27" s="47" t="str">
        <x:v>In scope: trade, FDI, cargo/TEU, regional port demand, asset position, capacity, throughput, tariff, margin, capex and valuation. Out of scope: shipping-line freight rates and a combined port-plus-shipping thesis. No rating, target price or recommendation is allowed before the forecast and valuation phases.</x:v>
      </x:c>
      <x:c r="F27" s="47" t="str">
        <x:v>In scope: trade, FDI, cargo/TEU, regional port demand, asset position, capacity, throughput, tariff, margin, capex and valuation. Out of scope: shipping-line freight rates and a combined port-plus-shipping thesis. No rating, target price or recommendation is allowed before the forecast and valuation phases.</x:v>
      </x:c>
      <x:c r="G27" s="47" t="str">
        <x:v>In scope: trade, FDI, cargo/TEU, regional port demand, asset position, capacity, throughput, tariff, margin, capex and valuation. Out of scope: shipping-line freight rates and a combined port-plus-shipping thesis. No rating, target price or recommendation is allowed before the forecast and valuation phases.</x:v>
      </x:c>
      <x:c r="H27" s="48" t="str">
        <x:v>In scope: trade, FDI, cargo/TEU, regional port demand, asset position, capacity, throughput, tariff, margin, capex and valuation. Out of scope: shipping-line freight rates and a combined port-plus-shipping thesis. No rating, target price or recommendation is allowed before the forecast and valuation phases.</x:v>
      </x:c>
    </x:row>
    <x:row r="28" ht="24" customHeight="1">
      <x:c r="A28" s="49" t="str">
        <x:v>In scope: trade, FDI, cargo/TEU, regional port demand, asset position, capacity, throughput, tariff, margin, capex and valuation. Out of scope: shipping-line freight rates and a combined port-plus-shipping thesis. No rating, target price or recommendation is allowed before the forecast and valuation phases.</x:v>
      </x:c>
      <x:c r="B28" s="50" t="str">
        <x:v>In scope: trade, FDI, cargo/TEU, regional port demand, asset position, capacity, throughput, tariff, margin, capex and valuation. Out of scope: shipping-line freight rates and a combined port-plus-shipping thesis. No rating, target price or recommendation is allowed before the forecast and valuation phases.</x:v>
      </x:c>
      <x:c r="C28" s="50" t="str">
        <x:v>In scope: trade, FDI, cargo/TEU, regional port demand, asset position, capacity, throughput, tariff, margin, capex and valuation. Out of scope: shipping-line freight rates and a combined port-plus-shipping thesis. No rating, target price or recommendation is allowed before the forecast and valuation phases.</x:v>
      </x:c>
      <x:c r="D28" s="50" t="str">
        <x:v>In scope: trade, FDI, cargo/TEU, regional port demand, asset position, capacity, throughput, tariff, margin, capex and valuation. Out of scope: shipping-line freight rates and a combined port-plus-shipping thesis. No rating, target price or recommendation is allowed before the forecast and valuation phases.</x:v>
      </x:c>
      <x:c r="E28" s="50" t="str">
        <x:v>In scope: trade, FDI, cargo/TEU, regional port demand, asset position, capacity, throughput, tariff, margin, capex and valuation. Out of scope: shipping-line freight rates and a combined port-plus-shipping thesis. No rating, target price or recommendation is allowed before the forecast and valuation phases.</x:v>
      </x:c>
      <x:c r="F28" s="50" t="str">
        <x:v>In scope: trade, FDI, cargo/TEU, regional port demand, asset position, capacity, throughput, tariff, margin, capex and valuation. Out of scope: shipping-line freight rates and a combined port-plus-shipping thesis. No rating, target price or recommendation is allowed before the forecast and valuation phases.</x:v>
      </x:c>
      <x:c r="G28" s="50" t="str">
        <x:v>In scope: trade, FDI, cargo/TEU, regional port demand, asset position, capacity, throughput, tariff, margin, capex and valuation. Out of scope: shipping-line freight rates and a combined port-plus-shipping thesis. No rating, target price or recommendation is allowed before the forecast and valuation phases.</x:v>
      </x:c>
      <x:c r="H28" s="51" t="str">
        <x:v>In scope: trade, FDI, cargo/TEU, regional port demand, asset position, capacity, throughput, tariff, margin, capex and valuation. Out of scope: shipping-line freight rates and a combined port-plus-shipping thesis. No rating, target price or recommendation is allowed before the forecast and valuation phases.</x:v>
      </x:c>
    </x:row>
    <x:row r="29" ht="24" customHeight="1">
      <x:c r="A29" s="49" t="str">
        <x:v>In scope: trade, FDI, cargo/TEU, regional port demand, asset position, capacity, throughput, tariff, margin, capex and valuation. Out of scope: shipping-line freight rates and a combined port-plus-shipping thesis. No rating, target price or recommendation is allowed before the forecast and valuation phases.</x:v>
      </x:c>
      <x:c r="B29" s="50" t="str">
        <x:v>In scope: trade, FDI, cargo/TEU, regional port demand, asset position, capacity, throughput, tariff, margin, capex and valuation. Out of scope: shipping-line freight rates and a combined port-plus-shipping thesis. No rating, target price or recommendation is allowed before the forecast and valuation phases.</x:v>
      </x:c>
      <x:c r="C29" s="50" t="str">
        <x:v>In scope: trade, FDI, cargo/TEU, regional port demand, asset position, capacity, throughput, tariff, margin, capex and valuation. Out of scope: shipping-line freight rates and a combined port-plus-shipping thesis. No rating, target price or recommendation is allowed before the forecast and valuation phases.</x:v>
      </x:c>
      <x:c r="D29" s="50" t="str">
        <x:v>In scope: trade, FDI, cargo/TEU, regional port demand, asset position, capacity, throughput, tariff, margin, capex and valuation. Out of scope: shipping-line freight rates and a combined port-plus-shipping thesis. No rating, target price or recommendation is allowed before the forecast and valuation phases.</x:v>
      </x:c>
      <x:c r="E29" s="50" t="str">
        <x:v>In scope: trade, FDI, cargo/TEU, regional port demand, asset position, capacity, throughput, tariff, margin, capex and valuation. Out of scope: shipping-line freight rates and a combined port-plus-shipping thesis. No rating, target price or recommendation is allowed before the forecast and valuation phases.</x:v>
      </x:c>
      <x:c r="F29" s="50" t="str">
        <x:v>In scope: trade, FDI, cargo/TEU, regional port demand, asset position, capacity, throughput, tariff, margin, capex and valuation. Out of scope: shipping-line freight rates and a combined port-plus-shipping thesis. No rating, target price or recommendation is allowed before the forecast and valuation phases.</x:v>
      </x:c>
      <x:c r="G29" s="50" t="str">
        <x:v>In scope: trade, FDI, cargo/TEU, regional port demand, asset position, capacity, throughput, tariff, margin, capex and valuation. Out of scope: shipping-line freight rates and a combined port-plus-shipping thesis. No rating, target price or recommendation is allowed before the forecast and valuation phases.</x:v>
      </x:c>
      <x:c r="H29" s="51" t="str">
        <x:v>In scope: trade, FDI, cargo/TEU, regional port demand, asset position, capacity, throughput, tariff, margin, capex and valuation. Out of scope: shipping-line freight rates and a combined port-plus-shipping thesis. No rating, target price or recommendation is allowed before the forecast and valuation phases.</x:v>
      </x:c>
    </x:row>
    <x:row r="30" ht="24" customHeight="1">
      <x:c r="A30" s="52" t="str">
        <x:v>In scope: trade, FDI, cargo/TEU, regional port demand, asset position, capacity, throughput, tariff, margin, capex and valuation. Out of scope: shipping-line freight rates and a combined port-plus-shipping thesis. No rating, target price or recommendation is allowed before the forecast and valuation phases.</x:v>
      </x:c>
      <x:c r="B30" s="53" t="str">
        <x:v>In scope: trade, FDI, cargo/TEU, regional port demand, asset position, capacity, throughput, tariff, margin, capex and valuation. Out of scope: shipping-line freight rates and a combined port-plus-shipping thesis. No rating, target price or recommendation is allowed before the forecast and valuation phases.</x:v>
      </x:c>
      <x:c r="C30" s="53" t="str">
        <x:v>In scope: trade, FDI, cargo/TEU, regional port demand, asset position, capacity, throughput, tariff, margin, capex and valuation. Out of scope: shipping-line freight rates and a combined port-plus-shipping thesis. No rating, target price or recommendation is allowed before the forecast and valuation phases.</x:v>
      </x:c>
      <x:c r="D30" s="53" t="str">
        <x:v>In scope: trade, FDI, cargo/TEU, regional port demand, asset position, capacity, throughput, tariff, margin, capex and valuation. Out of scope: shipping-line freight rates and a combined port-plus-shipping thesis. No rating, target price or recommendation is allowed before the forecast and valuation phases.</x:v>
      </x:c>
      <x:c r="E30" s="53" t="str">
        <x:v>In scope: trade, FDI, cargo/TEU, regional port demand, asset position, capacity, throughput, tariff, margin, capex and valuation. Out of scope: shipping-line freight rates and a combined port-plus-shipping thesis. No rating, target price or recommendation is allowed before the forecast and valuation phases.</x:v>
      </x:c>
      <x:c r="F30" s="53" t="str">
        <x:v>In scope: trade, FDI, cargo/TEU, regional port demand, asset position, capacity, throughput, tariff, margin, capex and valuation. Out of scope: shipping-line freight rates and a combined port-plus-shipping thesis. No rating, target price or recommendation is allowed before the forecast and valuation phases.</x:v>
      </x:c>
      <x:c r="G30" s="53" t="str">
        <x:v>In scope: trade, FDI, cargo/TEU, regional port demand, asset position, capacity, throughput, tariff, margin, capex and valuation. Out of scope: shipping-line freight rates and a combined port-plus-shipping thesis. No rating, target price or recommendation is allowed before the forecast and valuation phases.</x:v>
      </x:c>
      <x:c r="H30" s="54" t="str">
        <x:v>In scope: trade, FDI, cargo/TEU, regional port demand, asset position, capacity, throughput, tariff, margin, capex and valuation. Out of scope: shipping-line freight rates and a combined port-plus-shipping thesis. No rating, target price or recommendation is allowed before the forecast and valuation phases.</x:v>
      </x:c>
    </x:row>
  </x:sheetData>
  <x:mergeCells>
    <x:mergeCell ref="A1:H1"/>
    <x:mergeCell ref="A2:H2"/>
    <x:mergeCell ref="A4:H4"/>
    <x:mergeCell ref="A11:H11"/>
    <x:mergeCell ref="A18:H18"/>
    <x:mergeCell ref="A26:H26"/>
    <x:mergeCell ref="A27:H30"/>
  </x:mergeCells>
  <x:pageMargins left="0.7" right="0.7" top="0.75" bottom="0.75" header="0.3" footer="0.3"/>
</x:worksheet>
</file>

<file path=xl/worksheets/sheet3.xml><?xml version="1.0" encoding="utf-8"?>
<x:worksheet xmlns:x="http://schemas.openxmlformats.org/spreadsheetml/2006/main">
  <x:sheetViews>
    <x:sheetView showGridLines="0" workbookViewId="0"/>
  </x:sheetViews>
  <x:sheetFormatPr defaultRowHeight="15"/>
  <x:cols>
    <x:col min="1" max="1" width="12" hidden="0" customWidth="1"/>
    <x:col min="2" max="2" width="17" hidden="0" customWidth="1"/>
    <x:col min="3" max="3" width="29" hidden="0" customWidth="1"/>
    <x:col min="4" max="4" width="42" hidden="0" customWidth="1"/>
    <x:col min="5" max="5" width="20" hidden="0" customWidth="1"/>
    <x:col min="6" max="6" width="16" hidden="0" customWidth="1"/>
    <x:col min="7" max="7" width="14" hidden="0" customWidth="1"/>
    <x:col min="8" max="8" width="20" hidden="0" customWidth="1"/>
    <x:col min="9" max="9" width="72" hidden="0" customWidth="1"/>
    <x:col min="10" max="10" width="34" hidden="0" customWidth="1"/>
    <x:col min="11" max="11" width="54" hidden="0" customWidth="1"/>
  </x:cols>
  <x:sheetData>
    <x:row r="1" ht="30" customHeight="1">
      <x:c r="A1" s="4" t="str">
        <x:v>Phase 1 to 4 — Source Audit</x:v>
      </x:c>
      <x:c r="B1" s="4" t="str">
        <x:v>Phase 1 — Source Audit</x:v>
      </x:c>
      <x:c r="C1" s="4" t="str">
        <x:v>Phase 1 — Source Audit</x:v>
      </x:c>
      <x:c r="D1" s="4" t="str">
        <x:v>Phase 1 — Source Audit</x:v>
      </x:c>
      <x:c r="E1" s="4" t="str">
        <x:v>Phase 1 — Source Audit</x:v>
      </x:c>
      <x:c r="F1" s="4" t="str">
        <x:v>Phase 1 — Source Audit</x:v>
      </x:c>
      <x:c r="G1" s="4" t="str">
        <x:v>Phase 1 — Source Audit</x:v>
      </x:c>
      <x:c r="H1" s="4" t="str">
        <x:v>Phase 1 — Source Audit</x:v>
      </x:c>
      <x:c r="I1" s="4" t="str">
        <x:v>Phase 1 — Source Audit</x:v>
      </x:c>
      <x:c r="J1" s="4" t="str">
        <x:v>Phase 1 — Source Audit</x:v>
      </x:c>
      <x:c r="K1" s="4" t="str">
        <x:v>Phase 1 — Source Audit</x:v>
      </x:c>
    </x:row>
    <x:row r="2" ht="34" customHeight="1">
      <x:c r="A2" s="9" t="str">
        <x:v>One row per registered source. URLs are stored as plain text for traceability; evidence class and caveats determine whether a fact may enter the model.</x:v>
      </x:c>
      <x:c r="B2" s="9" t="str">
        <x:v>One row per registered source. URLs are stored as plain text for traceability; evidence class and caveats determine whether a fact may enter the model.</x:v>
      </x:c>
      <x:c r="C2" s="9" t="str">
        <x:v>One row per registered source. URLs are stored as plain text for traceability; evidence class and caveats determine whether a fact may enter the model.</x:v>
      </x:c>
      <x:c r="D2" s="9" t="str">
        <x:v>One row per registered source. URLs are stored as plain text for traceability; evidence class and caveats determine whether a fact may enter the model.</x:v>
      </x:c>
      <x:c r="E2" s="9" t="str">
        <x:v>One row per registered source. URLs are stored as plain text for traceability; evidence class and caveats determine whether a fact may enter the model.</x:v>
      </x:c>
      <x:c r="F2" s="9" t="str">
        <x:v>One row per registered source. URLs are stored as plain text for traceability; evidence class and caveats determine whether a fact may enter the model.</x:v>
      </x:c>
      <x:c r="G2" s="9" t="str">
        <x:v>One row per registered source. URLs are stored as plain text for traceability; evidence class and caveats determine whether a fact may enter the model.</x:v>
      </x:c>
      <x:c r="H2" s="9" t="str">
        <x:v>One row per registered source. URLs are stored as plain text for traceability; evidence class and caveats determine whether a fact may enter the model.</x:v>
      </x:c>
      <x:c r="I2" s="9" t="str">
        <x:v>One row per registered source. URLs are stored as plain text for traceability; evidence class and caveats determine whether a fact may enter the model.</x:v>
      </x:c>
      <x:c r="J2" s="9" t="str">
        <x:v>One row per registered source. URLs are stored as plain text for traceability; evidence class and caveats determine whether a fact may enter the model.</x:v>
      </x:c>
      <x:c r="K2" s="9" t="str">
        <x:v>One row per registered source. URLs are stored as plain text for traceability; evidence class and caveats determine whether a fact may enter the model.</x:v>
      </x:c>
    </x:row>
    <x:row r="4" ht="21" customHeight="1">
      <x:c r="A4" s="13" t="str">
        <x:v>Source register</x:v>
      </x:c>
      <x:c r="B4" s="13" t="str">
        <x:v>Source register</x:v>
      </x:c>
      <x:c r="C4" s="13" t="str">
        <x:v>Source register</x:v>
      </x:c>
      <x:c r="D4" s="13" t="str">
        <x:v>Source register</x:v>
      </x:c>
      <x:c r="E4" s="13" t="str">
        <x:v>Source register</x:v>
      </x:c>
      <x:c r="F4" s="13" t="str">
        <x:v>Source register</x:v>
      </x:c>
      <x:c r="G4" s="13" t="str">
        <x:v>Source register</x:v>
      </x:c>
      <x:c r="H4" s="13" t="str">
        <x:v>Source register</x:v>
      </x:c>
      <x:c r="I4" s="13" t="str">
        <x:v>Source register</x:v>
      </x:c>
      <x:c r="J4" s="13" t="str">
        <x:v>Source register</x:v>
      </x:c>
      <x:c r="K4" s="13" t="str">
        <x:v>Source register</x:v>
      </x:c>
    </x:row>
    <x:row r="6" ht="32" customHeight="1">
      <x:c r="A6" s="65" t="str">
        <x:v>Source ID</x:v>
      </x:c>
      <x:c r="B6" s="65" t="str">
        <x:v>Topic</x:v>
      </x:c>
      <x:c r="C6" s="65" t="str">
        <x:v>Issuer / publisher</x:v>
      </x:c>
      <x:c r="D6" s="65" t="str">
        <x:v>Document</x:v>
      </x:c>
      <x:c r="E6" s="65" t="str">
        <x:v>Evidence class</x:v>
      </x:c>
      <x:c r="F6" s="65" t="str">
        <x:v>Period</x:v>
      </x:c>
      <x:c r="G6" s="65" t="str">
        <x:v>Accessed</x:v>
      </x:c>
      <x:c r="H6" s="65" t="str">
        <x:v>Status</x:v>
      </x:c>
      <x:c r="I6" s="65" t="str">
        <x:v>Source URL</x:v>
      </x:c>
      <x:c r="J6" s="65" t="str">
        <x:v>Intended use</x:v>
      </x:c>
      <x:c r="K6" s="65" t="str">
        <x:v>Audit note</x:v>
      </x:c>
    </x:row>
    <x:row r="7" ht="42" customHeight="1">
      <x:c r="A7" s="85" t="str">
        <x:v>SRC-M01</x:v>
      </x:c>
      <x:c r="B7" s="86" t="str">
        <x:v>Macro</x:v>
      </x:c>
      <x:c r="C7" s="86" t="str">
        <x:v>National Statistics Office</x:v>
      </x:c>
      <x:c r="D7" s="86" t="str">
        <x:v>Vietnam socio-economic situation, June and 1H2026</x:v>
      </x:c>
      <x:c r="E7" s="86" t="str">
        <x:v>Official statistics</x:v>
      </x:c>
      <x:c r="F7" s="86" t="str">
        <x:v>1H2026</x:v>
      </x:c>
      <x:c r="G7" s="86" t="str">
        <x:v>25-Jul-2026</x:v>
      </x:c>
      <x:c r="H7" s="86" t="str">
        <x:v>Verified</x:v>
      </x:c>
      <x:c r="I7" s="97" t="str">
        <x:v>https://www.nso.gov.vn/wp-content/uploads/2026/07/VN.-T6.2026-final.pdf</x:v>
      </x:c>
      <x:c r="J7" s="86" t="str">
        <x:v>Trade and FDI snapshot</x:v>
      </x:c>
      <x:c r="K7" s="87" t="str">
        <x:v>Primary source; values are reported actuals.</x:v>
      </x:c>
    </x:row>
    <x:row r="8" ht="42" customHeight="1">
      <x:c r="A8" s="88" t="str">
        <x:v>SRC-M02</x:v>
      </x:c>
      <x:c r="B8" s="89" t="str">
        <x:v>Macro</x:v>
      </x:c>
      <x:c r="C8" s="89" t="str">
        <x:v>National Statistics Office</x:v>
      </x:c>
      <x:c r="D8" s="89" t="str">
        <x:v>Socio-economic situation in Q4 and 2025</x:v>
      </x:c>
      <x:c r="E8" s="89" t="str">
        <x:v>Official statistics</x:v>
      </x:c>
      <x:c r="F8" s="89" t="str">
        <x:v>FY2025</x:v>
      </x:c>
      <x:c r="G8" s="89" t="str">
        <x:v>25-Jul-2026</x:v>
      </x:c>
      <x:c r="H8" s="89" t="str">
        <x:v>Verified</x:v>
      </x:c>
      <x:c r="I8" s="98" t="str">
        <x:v>https://www.nso.gov.vn/en/data-and-statistics/2026/01/socio-economic-situation-in-the-fourth-quarter-and-2025/</x:v>
      </x:c>
      <x:c r="J8" s="89" t="str">
        <x:v>Annual trade and FDI</x:v>
      </x:c>
      <x:c r="K8" s="90" t="str">
        <x:v>Use detailed table: exports 475.04 and imports 455.01 imply total 930.05.</x:v>
      </x:c>
    </x:row>
    <x:row r="9" ht="42" customHeight="1">
      <x:c r="A9" s="88" t="str">
        <x:v>SRC-M03</x:v>
      </x:c>
      <x:c r="B9" s="89" t="str">
        <x:v>Macro</x:v>
      </x:c>
      <x:c r="C9" s="89" t="str">
        <x:v>National Statistics Office</x:v>
      </x:c>
      <x:c r="D9" s="89" t="str">
        <x:v>Socio-economic situation in Q4 and 2024</x:v>
      </x:c>
      <x:c r="E9" s="89" t="str">
        <x:v>Official statistics</x:v>
      </x:c>
      <x:c r="F9" s="89" t="str">
        <x:v>FY2024</x:v>
      </x:c>
      <x:c r="G9" s="89" t="str">
        <x:v>25-Jul-2026</x:v>
      </x:c>
      <x:c r="H9" s="89" t="str">
        <x:v>Verified</x:v>
      </x:c>
      <x:c r="I9" s="98" t="str">
        <x:v>https://www.nso.gov.vn/en/highlight/2025/02/socio-economic-situation-in-the-fourth-quarter-and-2024/</x:v>
      </x:c>
      <x:c r="J9" s="89" t="str">
        <x:v>Annual trade and FDI</x:v>
      </x:c>
      <x:c r="K9" s="90" t="str">
        <x:v>Primary source.</x:v>
      </x:c>
    </x:row>
    <x:row r="10" ht="42" customHeight="1">
      <x:c r="A10" s="88" t="str">
        <x:v>SRC-M04</x:v>
      </x:c>
      <x:c r="B10" s="89" t="str">
        <x:v>Macro</x:v>
      </x:c>
      <x:c r="C10" s="89" t="str">
        <x:v>National Statistics Office</x:v>
      </x:c>
      <x:c r="D10" s="89" t="str">
        <x:v>Socio-economic situation in Q4 and 2023</x:v>
      </x:c>
      <x:c r="E10" s="89" t="str">
        <x:v>Official statistics</x:v>
      </x:c>
      <x:c r="F10" s="89" t="str">
        <x:v>FY2023</x:v>
      </x:c>
      <x:c r="G10" s="89" t="str">
        <x:v>25-Jul-2026</x:v>
      </x:c>
      <x:c r="H10" s="89" t="str">
        <x:v>Verified</x:v>
      </x:c>
      <x:c r="I10" s="98" t="str">
        <x:v>https://www.nso.gov.vn/en/data-and-statistics/2024/02/socio-economic-situation-in-the-fourth-quarter-and-2023/</x:v>
      </x:c>
      <x:c r="J10" s="89" t="str">
        <x:v>Annual trade and FDI</x:v>
      </x:c>
      <x:c r="K10" s="90" t="str">
        <x:v>Primary source.</x:v>
      </x:c>
    </x:row>
    <x:row r="11" ht="42" customHeight="1">
      <x:c r="A11" s="88" t="str">
        <x:v>SRC-M05</x:v>
      </x:c>
      <x:c r="B11" s="89" t="str">
        <x:v>Macro</x:v>
      </x:c>
      <x:c r="C11" s="89" t="str">
        <x:v>National Statistics Office</x:v>
      </x:c>
      <x:c r="D11" s="89" t="str">
        <x:v>Socio-economic situation in Q4 and 2022</x:v>
      </x:c>
      <x:c r="E11" s="89" t="str">
        <x:v>Official statistics</x:v>
      </x:c>
      <x:c r="F11" s="89" t="str">
        <x:v>FY2022</x:v>
      </x:c>
      <x:c r="G11" s="89" t="str">
        <x:v>25-Jul-2026</x:v>
      </x:c>
      <x:c r="H11" s="89" t="str">
        <x:v>Verified</x:v>
      </x:c>
      <x:c r="I11" s="98" t="str">
        <x:v>https://www.nso.gov.vn/en/data-and-statistics/2023/01/socio-economic-situation-in-the-fourth-quarter-and-2022/</x:v>
      </x:c>
      <x:c r="J11" s="89" t="str">
        <x:v>Annual trade and disbursed FDI</x:v>
      </x:c>
      <x:c r="K11" s="90" t="str">
        <x:v>Primary source.</x:v>
      </x:c>
    </x:row>
    <x:row r="12" ht="42" customHeight="1">
      <x:c r="A12" s="88" t="str">
        <x:v>SRC-M06</x:v>
      </x:c>
      <x:c r="B12" s="89" t="str">
        <x:v>Macro</x:v>
      </x:c>
      <x:c r="C12" s="89" t="str">
        <x:v>National Statistics Office</x:v>
      </x:c>
      <x:c r="D12" s="89" t="str">
        <x:v>December 2022 socio-economic infographic</x:v>
      </x:c>
      <x:c r="E12" s="89" t="str">
        <x:v>Official statistics</x:v>
      </x:c>
      <x:c r="F12" s="89" t="str">
        <x:v>FY2022</x:v>
      </x:c>
      <x:c r="G12" s="89" t="str">
        <x:v>25-Jul-2026</x:v>
      </x:c>
      <x:c r="H12" s="89" t="str">
        <x:v>Verified</x:v>
      </x:c>
      <x:c r="I12" s="98" t="str">
        <x:v>https://www.nso.gov.vn/wp-content/uploads/2022/12/EN.-T12.2022_Ban-moi-copy.pdf</x:v>
      </x:c>
      <x:c r="J12" s="89" t="str">
        <x:v>Registered FDI 2022</x:v>
      </x:c>
      <x:c r="K12" s="90" t="str">
        <x:v>Used because the annual article excerpt did not expose the registered-FDI figure consistently.</x:v>
      </x:c>
    </x:row>
    <x:row r="13" ht="42" customHeight="1">
      <x:c r="A13" s="88" t="str">
        <x:v>SRC-M07</x:v>
      </x:c>
      <x:c r="B13" s="89" t="str">
        <x:v>Macro</x:v>
      </x:c>
      <x:c r="C13" s="89" t="str">
        <x:v>National Statistics Office</x:v>
      </x:c>
      <x:c r="D13" s="89" t="str">
        <x:v>Export and import in 2021</x:v>
      </x:c>
      <x:c r="E13" s="89" t="str">
        <x:v>Official statistics</x:v>
      </x:c>
      <x:c r="F13" s="89" t="str">
        <x:v>FY2021</x:v>
      </x:c>
      <x:c r="G13" s="89" t="str">
        <x:v>25-Jul-2026</x:v>
      </x:c>
      <x:c r="H13" s="89" t="str">
        <x:v>Verified</x:v>
      </x:c>
      <x:c r="I13" s="98" t="str">
        <x:v>https://www.nso.gov.vn/en/data-and-statistics/2022/03/overcoming-difficulties-export-and-import-in-2021-to-spectacular-destination/</x:v>
      </x:c>
      <x:c r="J13" s="89" t="str">
        <x:v>Annual trade</x:v>
      </x:c>
      <x:c r="K13" s="90" t="str">
        <x:v>Primary source.</x:v>
      </x:c>
    </x:row>
    <x:row r="14" ht="42" customHeight="1">
      <x:c r="A14" s="88" t="str">
        <x:v>SRC-M08</x:v>
      </x:c>
      <x:c r="B14" s="89" t="str">
        <x:v>Macro</x:v>
      </x:c>
      <x:c r="C14" s="89" t="str">
        <x:v>National Statistics Office</x:v>
      </x:c>
      <x:c r="D14" s="89" t="str">
        <x:v>Socio-economic situation in Q4 and 2021</x:v>
      </x:c>
      <x:c r="E14" s="89" t="str">
        <x:v>Official statistics</x:v>
      </x:c>
      <x:c r="F14" s="89" t="str">
        <x:v>FY2021</x:v>
      </x:c>
      <x:c r="G14" s="89" t="str">
        <x:v>25-Jul-2026</x:v>
      </x:c>
      <x:c r="H14" s="89" t="str">
        <x:v>Verified</x:v>
      </x:c>
      <x:c r="I14" s="98" t="str">
        <x:v>https://www.nso.gov.vn/en/data-and-statistics/2022/01/socio-economic-situation-in-the-fourth-quarter-and-2021/</x:v>
      </x:c>
      <x:c r="J14" s="89" t="str">
        <x:v>Annual FDI</x:v>
      </x:c>
      <x:c r="K14" s="90" t="str">
        <x:v>Primary source.</x:v>
      </x:c>
    </x:row>
    <x:row r="15" ht="42" customHeight="1">
      <x:c r="A15" s="88" t="str">
        <x:v>SRC-M09</x:v>
      </x:c>
      <x:c r="B15" s="89" t="str">
        <x:v>Macro</x:v>
      </x:c>
      <x:c r="C15" s="89" t="str">
        <x:v>Foreign Investment Agency</x:v>
      </x:c>
      <x:c r="D15" s="89" t="str">
        <x:v>1H2026 disbursed FDI update</x:v>
      </x:c>
      <x:c r="E15" s="89" t="str">
        <x:v>Government agency</x:v>
      </x:c>
      <x:c r="F15" s="89" t="str">
        <x:v>1H2026</x:v>
      </x:c>
      <x:c r="G15" s="89" t="str">
        <x:v>25-Jul-2026</x:v>
      </x:c>
      <x:c r="H15" s="89" t="str">
        <x:v>Verified</x:v>
      </x:c>
      <x:c r="I15" s="98" t="str">
        <x:v>https://fia.mof.gov.vn/Detail/CatID/660c5d67-53dc-464d-b07d-003e466e777b/NewsID/d1421a33-6967-4621-9d10-16aef2ec695c</x:v>
      </x:c>
      <x:c r="J15" s="89" t="str">
        <x:v>Cross-check FDI direction</x:v>
      </x:c>
      <x:c r="K15" s="90" t="str">
        <x:v>Cross-check only; NSO is the numerical source in the raw table.</x:v>
      </x:c>
    </x:row>
    <x:row r="16" ht="42" customHeight="1">
      <x:c r="A16" s="88" t="str">
        <x:v>SRC-I01</x:v>
      </x:c>
      <x:c r="B16" s="89" t="str">
        <x:v>Industry</x:v>
      </x:c>
      <x:c r="C16" s="89" t="str">
        <x:v>Vietnam Maritime and Waterway Administration</x:v>
      </x:c>
      <x:c r="D16" s="89" t="str">
        <x:v>2025 transport results</x:v>
      </x:c>
      <x:c r="E16" s="89" t="str">
        <x:v>Regulator</x:v>
      </x:c>
      <x:c r="F16" s="89" t="str">
        <x:v>FY2025</x:v>
      </x:c>
      <x:c r="G16" s="89" t="str">
        <x:v>25-Jul-2026</x:v>
      </x:c>
      <x:c r="H16" s="89" t="str">
        <x:v>Verified</x:v>
      </x:c>
      <x:c r="I16" s="98" t="str">
        <x:v>https://vimawa.gov.vn/vi/node/15301</x:v>
      </x:c>
      <x:c r="J16" s="89" t="str">
        <x:v>National cargo and container anchor</x:v>
      </x:c>
      <x:c r="K16" s="90" t="str">
        <x:v>Scope is combined seaport and inland-waterway throughput; do not relabel as seaport-only.</x:v>
      </x:c>
    </x:row>
    <x:row r="17" ht="42" customHeight="1">
      <x:c r="A17" s="88" t="str">
        <x:v>SRC-I02</x:v>
      </x:c>
      <x:c r="B17" s="89" t="str">
        <x:v>Industry</x:v>
      </x:c>
      <x:c r="C17" s="89" t="str">
        <x:v>Vietnam Maritime Administration</x:v>
      </x:c>
      <x:c r="D17" s="89" t="str">
        <x:v>Maritime activity in the first five months of 2024</x:v>
      </x:c>
      <x:c r="E17" s="89" t="str">
        <x:v>Regulator</x:v>
      </x:c>
      <x:c r="F17" s="89" t="str">
        <x:v>5M2024</x:v>
      </x:c>
      <x:c r="G17" s="89" t="str">
        <x:v>25-Jul-2026</x:v>
      </x:c>
      <x:c r="H17" s="89" t="str">
        <x:v>Verified</x:v>
      </x:c>
      <x:c r="I17" s="98" t="str">
        <x:v>https://vimawa.gov.vn/vi/node/14557</x:v>
      </x:c>
      <x:c r="J17" s="89" t="str">
        <x:v>Import-export containers and service routes</x:v>
      </x:c>
      <x:c r="K17" s="90" t="str">
        <x:v>Partial-year datapoint; not comparable with full-year totals.</x:v>
      </x:c>
    </x:row>
    <x:row r="18" ht="42" customHeight="1">
      <x:c r="A18" s="88" t="str">
        <x:v>SRC-I03</x:v>
      </x:c>
      <x:c r="B18" s="89" t="str">
        <x:v>Industry</x:v>
      </x:c>
      <x:c r="C18" s="89" t="str">
        <x:v>Vietnam Maritime and Waterway Administration</x:v>
      </x:c>
      <x:c r="D18" s="89" t="str">
        <x:v>Updated national seaport plan to 2030</x:v>
      </x:c>
      <x:c r="E18" s="89" t="str">
        <x:v>Regulator</x:v>
      </x:c>
      <x:c r="F18" s="89" t="str">
        <x:v>2030 target</x:v>
      </x:c>
      <x:c r="G18" s="89" t="str">
        <x:v>25-Jul-2026</x:v>
      </x:c>
      <x:c r="H18" s="89" t="str">
        <x:v>Verified</x:v>
      </x:c>
      <x:c r="I18" s="98" t="str">
        <x:v>https://vimawa.gov.vn/vi/tin-tuc/quy-hoach-cang-bien-moi-ca-nuoc-con-23-cang-bien-uu-tien-can-gio-lien-chieu-nam-do-son-0</x:v>
      </x:c>
      <x:c r="J18" s="89" t="str">
        <x:v>Long-term national capacity context</x:v>
      </x:c>
      <x:c r="K18" s="90" t="str">
        <x:v>Planning target, not forecast or actual throughput.</x:v>
      </x:c>
    </x:row>
    <x:row r="19" ht="42" customHeight="1">
      <x:c r="A19" s="88" t="str">
        <x:v>SRC-I04</x:v>
      </x:c>
      <x:c r="B19" s="89" t="str">
        <x:v>Industry</x:v>
      </x:c>
      <x:c r="C19" s="89" t="str">
        <x:v>Prime Minister / Maritime Administration</x:v>
      </x:c>
      <x:c r="D19" s="89" t="str">
        <x:v>Detailed plan for Seaport Group 1</x:v>
      </x:c>
      <x:c r="E19" s="89" t="str">
        <x:v>Official plan</x:v>
      </x:c>
      <x:c r="F19" s="89" t="str">
        <x:v>2030 target</x:v>
      </x:c>
      <x:c r="G19" s="89" t="str">
        <x:v>25-Jul-2026</x:v>
      </x:c>
      <x:c r="H19" s="89" t="str">
        <x:v>Verified</x:v>
      </x:c>
      <x:c r="I19" s="98" t="str">
        <x:v>https://www.vimawa.gov.vn/f/250116%20TTg%20140%20QD%20duyet%20QHCT%20Nhom.pdf</x:v>
      </x:c>
      <x:c r="J19" s="89" t="str">
        <x:v>Hai Phong and northern-region demand context</x:v>
      </x:c>
      <x:c r="K19" s="90" t="str">
        <x:v>Planning range, not forecast.</x:v>
      </x:c>
    </x:row>
    <x:row r="20" ht="42" customHeight="1">
      <x:c r="A20" s="88" t="str">
        <x:v>SRC-I05</x:v>
      </x:c>
      <x:c r="B20" s="89" t="str">
        <x:v>Industry</x:v>
      </x:c>
      <x:c r="C20" s="89" t="str">
        <x:v>Vietnam Maritime and Waterway Administration</x:v>
      </x:c>
      <x:c r="D20" s="89" t="str">
        <x:v>Cai Mep–Thi Vai development update</x:v>
      </x:c>
      <x:c r="E20" s="89" t="str">
        <x:v>Regulator</x:v>
      </x:c>
      <x:c r="F20" s="89" t="str">
        <x:v>Current disclosure</x:v>
      </x:c>
      <x:c r="G20" s="89" t="str">
        <x:v>25-Jul-2026</x:v>
      </x:c>
      <x:c r="H20" s="89" t="str">
        <x:v>Verified with caution</x:v>
      </x:c>
      <x:c r="I20" s="98" t="str">
        <x:v>https://www.vimawa.gov.vn/vi/tin-tuc/bo-truong-nguyen-van-thang-phat-huy-toi-da-tiem-nang-loi-cang-bien</x:v>
      </x:c>
      <x:c r="J20" s="89" t="str">
        <x:v>Deep-water capability and southern context</x:v>
      </x:c>
      <x:c r="K20" s="90" t="str">
        <x:v>The cited national-share wording is broad; only physical port facts are used as verified inputs.</x:v>
      </x:c>
    </x:row>
    <x:row r="21" ht="42" customHeight="1">
      <x:c r="A21" s="88" t="str">
        <x:v>SRC-G01</x:v>
      </x:c>
      <x:c r="B21" s="89" t="str">
        <x:v>GMD</x:v>
      </x:c>
      <x:c r="C21" s="89" t="str">
        <x:v>Gemadept</x:v>
      </x:c>
      <x:c r="D21" s="89" t="str">
        <x:v>Annual Report 2025</x:v>
      </x:c>
      <x:c r="E21" s="89" t="str">
        <x:v>Issuer filing</x:v>
      </x:c>
      <x:c r="F21" s="89" t="str">
        <x:v>FY2025</x:v>
      </x:c>
      <x:c r="G21" s="89" t="str">
        <x:v>25-Jul-2026</x:v>
      </x:c>
      <x:c r="H21" s="89" t="str">
        <x:v>Verified</x:v>
      </x:c>
      <x:c r="I21" s="98" t="str">
        <x:v>https://www.gemadept.com.vn/wp-content/uploads/2026/04/GMD-AR-2025_EN.pdf</x:v>
      </x:c>
      <x:c r="J21" s="89" t="str">
        <x:v>Historical financials, segments, throughput and capacity</x:v>
      </x:c>
      <x:c r="K21" s="90" t="str">
        <x:v>Primary issuer source. Reported PBT comparability is affected by prior divestment gains; use the core series where labelled.</x:v>
      </x:c>
    </x:row>
    <x:row r="22" ht="42" customHeight="1">
      <x:c r="A22" s="88" t="str">
        <x:v>SRC-G02</x:v>
      </x:c>
      <x:c r="B22" s="89" t="str">
        <x:v>GMD</x:v>
      </x:c>
      <x:c r="C22" s="89" t="str">
        <x:v>Gemadept</x:v>
      </x:c>
      <x:c r="D22" s="89" t="str">
        <x:v>IR Newsletter Q1 2026</x:v>
      </x:c>
      <x:c r="E22" s="89" t="str">
        <x:v>Issuer IR</x:v>
      </x:c>
      <x:c r="F22" s="89" t="str">
        <x:v>Q1 2026</x:v>
      </x:c>
      <x:c r="G22" s="89" t="str">
        <x:v>25-Jul-2026</x:v>
      </x:c>
      <x:c r="H22" s="89" t="str">
        <x:v>Verified</x:v>
      </x:c>
      <x:c r="I22" s="98" t="str">
        <x:v>https://www.gemadept.com.vn/wp-content/uploads/2026/05/IR-NEWSLETTER-Q12026.pdf</x:v>
      </x:c>
      <x:c r="J22" s="89" t="str">
        <x:v>Current trading and regional throughput</x:v>
      </x:c>
      <x:c r="K22" s="90" t="str">
        <x:v>Central-region volume is reported in tonnes, while North and South are in TEU.</x:v>
      </x:c>
    </x:row>
    <x:row r="23" ht="42" customHeight="1">
      <x:c r="A23" s="88" t="str">
        <x:v>SRC-G03</x:v>
      </x:c>
      <x:c r="B23" s="89" t="str">
        <x:v>GMD</x:v>
      </x:c>
      <x:c r="C23" s="89" t="str">
        <x:v>Gemadept</x:v>
      </x:c>
      <x:c r="D23" s="89" t="str">
        <x:v>AGM 2026 business plan submission</x:v>
      </x:c>
      <x:c r="E23" s="89" t="str">
        <x:v>Issuer AGM filing</x:v>
      </x:c>
      <x:c r="F23" s="89" t="str">
        <x:v>FY2026 plan</x:v>
      </x:c>
      <x:c r="G23" s="89" t="str">
        <x:v>25-Jul-2026</x:v>
      </x:c>
      <x:c r="H23" s="89" t="str">
        <x:v>Verified</x:v>
      </x:c>
      <x:c r="I23" s="98" t="str">
        <x:v>https://www.gemadept.com.vn/wp-content/uploads/2026/04/AGM-2026-7.3.-Submission-03-Business-Plan-2026.pdf</x:v>
      </x:c>
      <x:c r="J23" s="89" t="str">
        <x:v>Management plan and target</x:v>
      </x:c>
      <x:c r="K23" s="90" t="str">
        <x:v>Guidance is not an analyst forecast.</x:v>
      </x:c>
    </x:row>
    <x:row r="24" ht="42" customHeight="1">
      <x:c r="A24" s="88" t="str">
        <x:v>SRC-G04</x:v>
      </x:c>
      <x:c r="B24" s="89" t="str">
        <x:v>GMD</x:v>
      </x:c>
      <x:c r="C24" s="89" t="str">
        <x:v>Gemadept</x:v>
      </x:c>
      <x:c r="D24" s="89" t="str">
        <x:v>Nam Dinh Vu Phase 3 put into operation</x:v>
      </x:c>
      <x:c r="E24" s="89" t="str">
        <x:v>Issuer IR</x:v>
      </x:c>
      <x:c r="F24" s="89" t="str">
        <x:v>30-Sep-2025</x:v>
      </x:c>
      <x:c r="G24" s="89" t="str">
        <x:v>25-Jul-2026</x:v>
      </x:c>
      <x:c r="H24" s="89" t="str">
        <x:v>Verified with variance</x:v>
      </x:c>
      <x:c r="I24" s="98" t="str">
        <x:v>https://www.gemadept.com.vn/en/gemadept-officially-puts-phase-3-of-the-nam-dinh-vu-port-cluster-into-operation/</x:v>
      </x:c>
      <x:c r="J24" s="89" t="str">
        <x:v>Commissioning date and disclosed capacity</x:v>
      </x:c>
      <x:c r="K24" s="90" t="str">
        <x:v>Page states about 650k TEU added; annual report table states 800k TEU. Treat as a definition variance until reconciled.</x:v>
      </x:c>
    </x:row>
    <x:row r="25" ht="42" customHeight="1">
      <x:c r="A25" s="88" t="str">
        <x:v>SRC-G05</x:v>
      </x:c>
      <x:c r="B25" s="89" t="str">
        <x:v>GMD</x:v>
      </x:c>
      <x:c r="C25" s="89" t="str">
        <x:v>Gemadept</x:v>
      </x:c>
      <x:c r="D25" s="89" t="str">
        <x:v>Port operation network</x:v>
      </x:c>
      <x:c r="E25" s="89" t="str">
        <x:v>Issuer IR</x:v>
      </x:c>
      <x:c r="F25" s="89" t="str">
        <x:v>Current disclosure</x:v>
      </x:c>
      <x:c r="G25" s="89" t="str">
        <x:v>25-Jul-2026</x:v>
      </x:c>
      <x:c r="H25" s="89" t="str">
        <x:v>Verified</x:v>
      </x:c>
      <x:c r="I25" s="98" t="str">
        <x:v>https://www.gemadept.com.vn/en/services/port-operation/</x:v>
      </x:c>
      <x:c r="J25" s="89" t="str">
        <x:v>Network scale and current capacity</x:v>
      </x:c>
      <x:c r="K25" s="90" t="str">
        <x:v>Marketing page; use for network facts, not financial forecast.</x:v>
      </x:c>
    </x:row>
    <x:row r="26" ht="42" customHeight="1">
      <x:c r="A26" s="88" t="str">
        <x:v>SRC-G06</x:v>
      </x:c>
      <x:c r="B26" s="89" t="str">
        <x:v>GMD</x:v>
      </x:c>
      <x:c r="C26" s="89" t="str">
        <x:v>Gemadept</x:v>
      </x:c>
      <x:c r="D26" s="89" t="str">
        <x:v>Gemalink vessel-license update</x:v>
      </x:c>
      <x:c r="E26" s="89" t="str">
        <x:v>Issuer IR</x:v>
      </x:c>
      <x:c r="F26" s="89" t="str">
        <x:v>Current disclosure</x:v>
      </x:c>
      <x:c r="G26" s="89" t="str">
        <x:v>25-Jul-2026</x:v>
      </x:c>
      <x:c r="H26" s="89" t="str">
        <x:v>Verified</x:v>
      </x:c>
      <x:c r="I26" s="98" t="str">
        <x:v>https://www.gemadept.com.vn/en/gemalink-port-licensed-to-receive-container-vessels-up-to-2324945-dwt/</x:v>
      </x:c>
      <x:c r="J26" s="89" t="str">
        <x:v>Asset capability and ownership</x:v>
      </x:c>
      <x:c r="K26" s="90" t="str">
        <x:v>Primary issuer source.</x:v>
      </x:c>
    </x:row>
    <x:row r="27" ht="42" customHeight="1">
      <x:c r="A27" s="88" t="str">
        <x:v>SRC-G07</x:v>
      </x:c>
      <x:c r="B27" s="89" t="str">
        <x:v>GMD</x:v>
      </x:c>
      <x:c r="C27" s="89" t="str">
        <x:v>Gemadept</x:v>
      </x:c>
      <x:c r="D27" s="89" t="str">
        <x:v>2025 AGM operating update</x:v>
      </x:c>
      <x:c r="E27" s="89" t="str">
        <x:v>Issuer IR</x:v>
      </x:c>
      <x:c r="F27" s="89" t="str">
        <x:v>2025 update</x:v>
      </x:c>
      <x:c r="G27" s="89" t="str">
        <x:v>25-Jul-2026</x:v>
      </x:c>
      <x:c r="H27" s="89" t="str">
        <x:v>Verified with timing revision</x:v>
      </x:c>
      <x:c r="I27" s="98" t="str">
        <x:v>https://www.gemadept.com.vn/en/gemadept-gmd-agm-strong-first-half-business-results-nam-dinh-vu-phase-3-project-to-complete-in-q42025/</x:v>
      </x:c>
      <x:c r="J27" s="89" t="str">
        <x:v>Capex and expansion timing</x:v>
      </x:c>
      <x:c r="K27" s="90" t="str">
        <x:v>Older page said Gemalink Phase 2A early 2027; Q1 2026 newsletter says late 2027. Use latest disclosure.</x:v>
      </x:c>
    </x:row>
    <x:row r="28" ht="42" customHeight="1">
      <x:c r="A28" s="88" t="str">
        <x:v>SRC-P01</x:v>
      </x:c>
      <x:c r="B28" s="89" t="str">
        <x:v>Peer</x:v>
      </x:c>
      <x:c r="C28" s="89" t="str">
        <x:v>Viconship</x:v>
      </x:c>
      <x:c r="D28" s="89" t="str">
        <x:v>Annual Report 2025 filing mirror</x:v>
      </x:c>
      <x:c r="E28" s="89" t="str">
        <x:v>Issuer filing mirror</x:v>
      </x:c>
      <x:c r="F28" s="89" t="str">
        <x:v>FY2025</x:v>
      </x:c>
      <x:c r="G28" s="89" t="str">
        <x:v>25-Jul-2026</x:v>
      </x:c>
      <x:c r="H28" s="89" t="str">
        <x:v>Registered</x:v>
      </x:c>
      <x:c r="I28" s="98" t="str">
        <x:v>https://cafef1.mediacdn.vn/download/090426/vsc-bao-cao-thuong-nien-nam-2025-0.pdf</x:v>
      </x:c>
      <x:c r="J28" s="89" t="str">
        <x:v>VSC primary-document registry</x:v>
      </x:c>
      <x:c r="K28" s="90" t="str">
        <x:v>Scanned filing; numerical extraction needs manual/OCR validation before use.</x:v>
      </x:c>
    </x:row>
    <x:row r="29" ht="42" customHeight="1">
      <x:c r="A29" s="88" t="str">
        <x:v>SRC-P02</x:v>
      </x:c>
      <x:c r="B29" s="89" t="str">
        <x:v>Peer</x:v>
      </x:c>
      <x:c r="C29" s="89" t="str">
        <x:v>Port of Hai Phong</x:v>
      </x:c>
      <x:c r="D29" s="89" t="str">
        <x:v>Annual Report 2025</x:v>
      </x:c>
      <x:c r="E29" s="89" t="str">
        <x:v>Issuer filing</x:v>
      </x:c>
      <x:c r="F29" s="89" t="str">
        <x:v>FY2025</x:v>
      </x:c>
      <x:c r="G29" s="89" t="str">
        <x:v>25-Jul-2026</x:v>
      </x:c>
      <x:c r="H29" s="89" t="str">
        <x:v>Verified</x:v>
      </x:c>
      <x:c r="I29" s="98" t="str">
        <x:v>https://haiphongport.com.vn/FileUpload/Documents/annual_report_2025pdf.pdf</x:v>
      </x:c>
      <x:c r="J29" s="89" t="str">
        <x:v>PHP operations and financials</x:v>
      </x:c>
      <x:c r="K29" s="90" t="str">
        <x:v>Primary issuer source.</x:v>
      </x:c>
    </x:row>
    <x:row r="30" ht="42" customHeight="1">
      <x:c r="A30" s="88" t="str">
        <x:v>SRC-P03</x:v>
      </x:c>
      <x:c r="B30" s="89" t="str">
        <x:v>Peer</x:v>
      </x:c>
      <x:c r="C30" s="89" t="str">
        <x:v>Dinh Vu Port</x:v>
      </x:c>
      <x:c r="D30" s="89" t="str">
        <x:v>Annual report archive</x:v>
      </x:c>
      <x:c r="E30" s="89" t="str">
        <x:v>Issuer IR</x:v>
      </x:c>
      <x:c r="F30" s="89" t="str">
        <x:v>FY2025</x:v>
      </x:c>
      <x:c r="G30" s="89" t="str">
        <x:v>25-Jul-2026</x:v>
      </x:c>
      <x:c r="H30" s="89" t="str">
        <x:v>Registered</x:v>
      </x:c>
      <x:c r="I30" s="98" t="str">
        <x:v>https://dinhvuport.com.vn/vn/quan-he-co-dong/bao-cao-thuong-nien</x:v>
      </x:c>
      <x:c r="J30" s="89" t="str">
        <x:v>DVP primary-document registry</x:v>
      </x:c>
      <x:c r="K30" s="90" t="str">
        <x:v>Viewer/download access requires manual retrieval for numerical extraction.</x:v>
      </x:c>
    </x:row>
    <x:row r="31" ht="42" customHeight="1">
      <x:c r="A31" s="88" t="str">
        <x:v>SRC-P04</x:v>
      </x:c>
      <x:c r="B31" s="89" t="str">
        <x:v>Peer</x:v>
      </x:c>
      <x:c r="C31" s="89" t="str">
        <x:v>Dinh Vu Port</x:v>
      </x:c>
      <x:c r="D31" s="89" t="str">
        <x:v>Board report for 2026 AGM</x:v>
      </x:c>
      <x:c r="E31" s="89" t="str">
        <x:v>Issuer AGM filing</x:v>
      </x:c>
      <x:c r="F31" s="89" t="str">
        <x:v>FY2025 review</x:v>
      </x:c>
      <x:c r="G31" s="89" t="str">
        <x:v>25-Jul-2026</x:v>
      </x:c>
      <x:c r="H31" s="89" t="str">
        <x:v>Verified qualitative</x:v>
      </x:c>
      <x:c r="I31" s="98" t="str">
        <x:v>https://dinhvuport.com.vn/aj/Download.ashx?Key=874</x:v>
      </x:c>
      <x:c r="J31" s="89" t="str">
        <x:v>DVP competitive position</x:v>
      </x:c>
      <x:c r="K31" s="90" t="str">
        <x:v>Used only for qualitative evidence on Lach Huyen/Nam Dinh Vu competition and dredging disruption.</x:v>
      </x:c>
    </x:row>
    <x:row r="32" ht="42" customHeight="1">
      <x:c r="A32" s="91" t="str">
        <x:v>SRC-S01</x:v>
      </x:c>
      <x:c r="B32" s="92" t="str">
        <x:v>Peer / secondary</x:v>
      </x:c>
      <x:c r="C32" s="92" t="str">
        <x:v>Viet Dragon Securities</x:v>
      </x:c>
      <x:c r="D32" s="92" t="str">
        <x:v>VSC Initial Report, October 2025</x:v>
      </x:c>
      <x:c r="E32" s="92" t="str">
        <x:v>Secondary research</x:v>
      </x:c>
      <x:c r="F32" s="92" t="str">
        <x:v>Oct-2025</x:v>
      </x:c>
      <x:c r="G32" s="92" t="str">
        <x:v>25-Jul-2026</x:v>
      </x:c>
      <x:c r="H32" s="92" t="str">
        <x:v>Secondary only</x:v>
      </x:c>
      <x:c r="I32" s="99" t="str">
        <x:v>https://www1.vdsc.com.vn/data/api/app/file-storage/c6571c22-8f63-4903-58ed-08de0d19dae9/VSC_Initial%20Report_October%202025_ENG.pdf?downloadFrom=ManagementDocument-10039</x:v>
      </x:c>
      <x:c r="J32" s="92" t="str">
        <x:v>Temporary VSC capacity reference</x:v>
      </x:c>
      <x:c r="K32" s="93" t="str">
        <x:v>Must be replaced or cross-checked against issuer disclosure before the peer score is finalized.</x:v>
      </x:c>
    </x:row>
    <x:row r="33" ht="42" customHeight="1">
      <x:c r="A33" s="85" t="str">
        <x:v>SRC-P05</x:v>
      </x:c>
      <x:c r="B33" s="86" t="str">
        <x:v>Peer</x:v>
      </x:c>
      <x:c r="C33" s="86" t="str">
        <x:v>Viconship</x:v>
      </x:c>
      <x:c r="D33" s="86" t="str">
        <x:v>Annual Report 2025</x:v>
      </x:c>
      <x:c r="E33" s="86" t="str">
        <x:v>Issuer filing</x:v>
      </x:c>
      <x:c r="F33" s="86" t="str">
        <x:v>FY2025</x:v>
      </x:c>
      <x:c r="G33" s="86" t="str">
        <x:v>25-Jul-2026</x:v>
      </x:c>
      <x:c r="H33" s="86" t="str">
        <x:v>Verified</x:v>
      </x:c>
      <x:c r="I33" s="97" t="str">
        <x:v>https://viconship.com/wp-content/uploads/2026/04/CBTT-Bao-cao-thuong-nien-nam-2025.pdf</x:v>
      </x:c>
      <x:c r="J33" s="86" t="str">
        <x:v>VSC business and financial review</x:v>
      </x:c>
      <x:c r="K33" s="87" t="str">
        <x:v>Primary issuer source; scanned document visually reviewed.</x:v>
      </x:c>
    </x:row>
    <x:row r="34" ht="42" customHeight="1">
      <x:c r="A34" s="88" t="str">
        <x:v>SRC-P06</x:v>
      </x:c>
      <x:c r="B34" s="89" t="str">
        <x:v>Peer</x:v>
      </x:c>
      <x:c r="C34" s="89" t="str">
        <x:v>Viconship</x:v>
      </x:c>
      <x:c r="D34" s="89" t="str">
        <x:v>Audited consolidated financial statements 2025</x:v>
      </x:c>
      <x:c r="E34" s="89" t="str">
        <x:v>Issuer filing</x:v>
      </x:c>
      <x:c r="F34" s="89" t="str">
        <x:v>FY2025</x:v>
      </x:c>
      <x:c r="G34" s="89" t="str">
        <x:v>25-Jul-2026</x:v>
      </x:c>
      <x:c r="H34" s="89" t="str">
        <x:v>Verified</x:v>
      </x:c>
      <x:c r="I34" s="98" t="str">
        <x:v>https://viconship.com/wp-content/uploads/2026/03/VSC_Consolidated-FS-31.12.2025_VN.pdf</x:v>
      </x:c>
      <x:c r="J34" s="89" t="str">
        <x:v>VSC normalized financial facts</x:v>
      </x:c>
      <x:c r="K34" s="90" t="str">
        <x:v>Primary issuer source; statement pages visually reviewed.</x:v>
      </x:c>
    </x:row>
    <x:row r="35" ht="42" customHeight="1">
      <x:c r="A35" s="88" t="str">
        <x:v>SRC-P07</x:v>
      </x:c>
      <x:c r="B35" s="89" t="str">
        <x:v>Peer</x:v>
      </x:c>
      <x:c r="C35" s="89" t="str">
        <x:v>Viconship</x:v>
      </x:c>
      <x:c r="D35" s="89" t="str">
        <x:v>Corporate overview and asset network</x:v>
      </x:c>
      <x:c r="E35" s="89" t="str">
        <x:v>Issuer IR</x:v>
      </x:c>
      <x:c r="F35" s="89" t="str">
        <x:v>Current disclosure</x:v>
      </x:c>
      <x:c r="G35" s="89" t="str">
        <x:v>25-Jul-2026</x:v>
      </x:c>
      <x:c r="H35" s="89" t="str">
        <x:v>Verified qualitative</x:v>
      </x:c>
      <x:c r="I35" s="98" t="str">
        <x:v>https://viconship.com/en/about-us</x:v>
      </x:c>
      <x:c r="J35" s="89" t="str">
        <x:v>VSC asset map and non-port exposure</x:v>
      </x:c>
      <x:c r="K35" s="90" t="str">
        <x:v>Used for asset ownership and HAH/VNA exposure, not numerical forecasts.</x:v>
      </x:c>
    </x:row>
    <x:row r="36" ht="42" customHeight="1">
      <x:c r="A36" s="88" t="str">
        <x:v>SRC-P08</x:v>
      </x:c>
      <x:c r="B36" s="89" t="str">
        <x:v>Peer</x:v>
      </x:c>
      <x:c r="C36" s="89" t="str">
        <x:v>VIP Greenport</x:v>
      </x:c>
      <x:c r="D36" s="89" t="str">
        <x:v>Port overview</x:v>
      </x:c>
      <x:c r="E36" s="89" t="str">
        <x:v>Issuer subsidiary IR</x:v>
      </x:c>
      <x:c r="F36" s="89" t="str">
        <x:v>Current disclosure</x:v>
      </x:c>
      <x:c r="G36" s="89" t="str">
        <x:v>25-Jul-2026</x:v>
      </x:c>
      <x:c r="H36" s="89" t="str">
        <x:v>Verified</x:v>
      </x:c>
      <x:c r="I36" s="98" t="str">
        <x:v>https://vipgreenport.com.vn/index.php/s-gioi-thieu</x:v>
      </x:c>
      <x:c r="J36" s="89" t="str">
        <x:v>VSC downstream asset capability</x:v>
      </x:c>
      <x:c r="K36" s="90" t="str">
        <x:v>Physical asset facts only.</x:v>
      </x:c>
    </x:row>
    <x:row r="37" ht="42" customHeight="1">
      <x:c r="A37" s="88" t="str">
        <x:v>SRC-P09</x:v>
      </x:c>
      <x:c r="B37" s="89" t="str">
        <x:v>Peer</x:v>
      </x:c>
      <x:c r="C37" s="89" t="str">
        <x:v>Dinh Vu Port</x:v>
      </x:c>
      <x:c r="D37" s="89" t="str">
        <x:v>Proposal approving 2025 business results</x:v>
      </x:c>
      <x:c r="E37" s="89" t="str">
        <x:v>Issuer AGM filing</x:v>
      </x:c>
      <x:c r="F37" s="89" t="str">
        <x:v>FY2025</x:v>
      </x:c>
      <x:c r="G37" s="89" t="str">
        <x:v>25-Jul-2026</x:v>
      </x:c>
      <x:c r="H37" s="89" t="str">
        <x:v>Verified</x:v>
      </x:c>
      <x:c r="I37" s="98" t="str">
        <x:v>https://dinhvuport.com.vn/aj/Download.ashx?Key=885</x:v>
      </x:c>
      <x:c r="J37" s="89" t="str">
        <x:v>DVP throughput, revenue and PBT</x:v>
      </x:c>
      <x:c r="K37" s="90" t="str">
        <x:v>Primary issuer source.</x:v>
      </x:c>
    </x:row>
    <x:row r="38" ht="42" customHeight="1">
      <x:c r="A38" s="88" t="str">
        <x:v>SRC-P10</x:v>
      </x:c>
      <x:c r="B38" s="89" t="str">
        <x:v>Peer</x:v>
      </x:c>
      <x:c r="C38" s="89" t="str">
        <x:v>Dinh Vu Port</x:v>
      </x:c>
      <x:c r="D38" s="89" t="str">
        <x:v>2026 AGM operating update</x:v>
      </x:c>
      <x:c r="E38" s="89" t="str">
        <x:v>Issuer IR</x:v>
      </x:c>
      <x:c r="F38" s="89" t="str">
        <x:v>FY2026 plan</x:v>
      </x:c>
      <x:c r="G38" s="89" t="str">
        <x:v>25-Jul-2026</x:v>
      </x:c>
      <x:c r="H38" s="89" t="str">
        <x:v>Verified</x:v>
      </x:c>
      <x:c r="I38" s="98" t="str">
        <x:v>https://dinhvuport.com.vn/vn/blog/297/Cang-Dinh-Vu-to-chuc-hop-Dai-hoi-dong-co-dong-thuong-nien-nam-2026.htm</x:v>
      </x:c>
      <x:c r="J38" s="89" t="str">
        <x:v>DVP 2026 plan</x:v>
      </x:c>
      <x:c r="K38" s="90" t="str">
        <x:v>Management plan; not an analyst forecast.</x:v>
      </x:c>
    </x:row>
    <x:row r="39" ht="42" customHeight="1">
      <x:c r="A39" s="91" t="str">
        <x:v>SRC-P11</x:v>
      </x:c>
      <x:c r="B39" s="92" t="str">
        <x:v>Peer</x:v>
      </x:c>
      <x:c r="C39" s="92" t="str">
        <x:v>Dinh Vu Port</x:v>
      </x:c>
      <x:c r="D39" s="92" t="str">
        <x:v>Board report for 2026 AGM</x:v>
      </x:c>
      <x:c r="E39" s="92" t="str">
        <x:v>Issuer AGM filing</x:v>
      </x:c>
      <x:c r="F39" s="92" t="str">
        <x:v>FY2025 review</x:v>
      </x:c>
      <x:c r="G39" s="92" t="str">
        <x:v>25-Jul-2026</x:v>
      </x:c>
      <x:c r="H39" s="92" t="str">
        <x:v>Verified</x:v>
      </x:c>
      <x:c r="I39" s="99" t="str">
        <x:v>https://dinhvuport.com.vn/aj/Download.ashx?Key=873</x:v>
      </x:c>
      <x:c r="J39" s="92" t="str">
        <x:v>DVP competitive mechanism</x:v>
      </x:c>
      <x:c r="K39" s="93" t="str">
        <x:v>Primary evidence for channel constraints and SITC service relocation.</x:v>
      </x:c>
    </x:row>
    <x:row r="40" ht="43" customHeight="1">
      <x:c r="A40" s="85" t="str">
        <x:v>SRC-G08</x:v>
      </x:c>
      <x:c r="B40" s="86" t="str">
        <x:v>GMD</x:v>
      </x:c>
      <x:c r="C40" s="86" t="str">
        <x:v>Gemadept</x:v>
      </x:c>
      <x:c r="D40" s="86" t="str">
        <x:v>Annual Report 2024</x:v>
      </x:c>
      <x:c r="E40" s="86" t="str">
        <x:v>Issuer filing</x:v>
      </x:c>
      <x:c r="F40" s="86" t="str">
        <x:v>FY2024 and FY2023 comparatives</x:v>
      </x:c>
      <x:c r="G40" s="86" t="str">
        <x:v>25-Jul-2026</x:v>
      </x:c>
      <x:c r="H40" s="86" t="str">
        <x:v>Verified</x:v>
      </x:c>
      <x:c r="I40" s="97" t="str">
        <x:v>https://www.gemadept.com.vn/wp-content/uploads/2025/04/GMD_Annual-Report-2024.pdf</x:v>
      </x:c>
      <x:c r="J40" s="86" t="str">
        <x:v>Audited historical financials, segments and cash flow</x:v>
      </x:c>
      <x:c r="K40" s="87" t="str">
        <x:v>Primary issuer source; statement and segment pages reconciled.</x:v>
      </x:c>
    </x:row>
    <x:row r="41" ht="43" customHeight="1">
      <x:c r="A41" s="88" t="str">
        <x:v>SRC-G09</x:v>
      </x:c>
      <x:c r="B41" s="89" t="str">
        <x:v>GMD</x:v>
      </x:c>
      <x:c r="C41" s="89" t="str">
        <x:v>Gemadept</x:v>
      </x:c>
      <x:c r="D41" s="89" t="str">
        <x:v>Annual Report 2023</x:v>
      </x:c>
      <x:c r="E41" s="89" t="str">
        <x:v>Issuer filing</x:v>
      </x:c>
      <x:c r="F41" s="89" t="str">
        <x:v>FY2023</x:v>
      </x:c>
      <x:c r="G41" s="89" t="str">
        <x:v>25-Jul-2026</x:v>
      </x:c>
      <x:c r="H41" s="89" t="str">
        <x:v>Verified</x:v>
      </x:c>
      <x:c r="I41" s="98" t="str">
        <x:v>https://www.gemadept.com.vn/wp-content/uploads/2024/04/2023-Annual-Report.pdf</x:v>
      </x:c>
      <x:c r="J41" s="89" t="str">
        <x:v>2023 system and asset throughput</x:v>
      </x:c>
      <x:c r="K41" s="90" t="str">
        <x:v>Primary issuer source; exact system throughput is 3.011m TEU.</x:v>
      </x:c>
    </x:row>
    <x:row r="42" ht="43" customHeight="1">
      <x:c r="A42" s="88" t="str">
        <x:v>SRC-G10</x:v>
      </x:c>
      <x:c r="B42" s="89" t="str">
        <x:v>GMD</x:v>
      </x:c>
      <x:c r="C42" s="89" t="str">
        <x:v>Gemadept</x:v>
      </x:c>
      <x:c r="D42" s="89" t="str">
        <x:v>Annual Report 2022</x:v>
      </x:c>
      <x:c r="E42" s="89" t="str">
        <x:v>Issuer filing</x:v>
      </x:c>
      <x:c r="F42" s="89" t="str">
        <x:v>FY2022 and FY2021 comparatives</x:v>
      </x:c>
      <x:c r="G42" s="89" t="str">
        <x:v>25-Jul-2026</x:v>
      </x:c>
      <x:c r="H42" s="89" t="str">
        <x:v>Verified</x:v>
      </x:c>
      <x:c r="I42" s="98" t="str">
        <x:v>https://www.gemadept.com.vn/wp-content/uploads/2023/04/2022-Annual-Report.pdf</x:v>
      </x:c>
      <x:c r="J42" s="89" t="str">
        <x:v>Segment revenue, associate ownership and asset history</x:v>
      </x:c>
      <x:c r="K42" s="90" t="str">
        <x:v>Primary issuer source for 2021–2022 segment and associate disclosures.</x:v>
      </x:c>
    </x:row>
    <x:row r="43" ht="43" customHeight="1">
      <x:c r="A43" s="88" t="str">
        <x:v>SRC-G11</x:v>
      </x:c>
      <x:c r="B43" s="89" t="str">
        <x:v>GMD</x:v>
      </x:c>
      <x:c r="C43" s="89" t="str">
        <x:v>Gemadept</x:v>
      </x:c>
      <x:c r="D43" s="89" t="str">
        <x:v>Annual Report 2021</x:v>
      </x:c>
      <x:c r="E43" s="89" t="str">
        <x:v>Issuer filing</x:v>
      </x:c>
      <x:c r="F43" s="89" t="str">
        <x:v>FY2021</x:v>
      </x:c>
      <x:c r="G43" s="89" t="str">
        <x:v>25-Jul-2026</x:v>
      </x:c>
      <x:c r="H43" s="89" t="str">
        <x:v>Verified</x:v>
      </x:c>
      <x:c r="I43" s="98" t="str">
        <x:v>https://www.gemadept.com.vn/wp-content/uploads/2022/04/2021-1.pdf</x:v>
      </x:c>
      <x:c r="J43" s="89" t="str">
        <x:v>2021 associate ownership and earnings</x:v>
      </x:c>
      <x:c r="K43" s="90" t="str">
        <x:v>Used to identify Gemalink, SCS and CJ Gemadept Logistics contributions.</x:v>
      </x:c>
    </x:row>
    <x:row r="44" ht="43" customHeight="1">
      <x:c r="A44" s="91" t="str">
        <x:v>SRC-API01</x:v>
      </x:c>
      <x:c r="B44" s="92" t="str">
        <x:v>GMD</x:v>
      </x:c>
      <x:c r="C44" s="92" t="str">
        <x:v>VNStock / VCI</x:v>
      </x:c>
      <x:c r="D44" s="92" t="str">
        <x:v>VNStock 4.0.5 Finance API</x:v>
      </x:c>
      <x:c r="E44" s="92" t="str">
        <x:v>Data API</x:v>
      </x:c>
      <x:c r="F44" s="92" t="str">
        <x:v>FY2021–FY2025 annual financial statements</x:v>
      </x:c>
      <x:c r="G44" s="92" t="str">
        <x:v>25-Jul-2026</x:v>
      </x:c>
      <x:c r="H44" s="92" t="str">
        <x:v>Verified against filings</x:v>
      </x:c>
      <x:c r="I44" s="99" t="str">
        <x:v>https://vnstocks.com/docs/vnstock/phan-tich-co-ban-fundamental</x:v>
      </x:c>
      <x:c r="J44" s="92" t="str">
        <x:v>Income statement, balance sheet and cash flow raw data</x:v>
      </x:c>
      <x:c r="K44" s="93" t="str">
        <x:v>Retrieved 2026-07-25T20:58:54+07:00; raw unit VND; expenses and cash outflows may be negative.</x:v>
      </x:c>
    </x:row>
    <x:row r="45" ht="43" customHeight="1">
      <x:c r="A45" s="85" t="str">
        <x:v>SRC-P401</x:v>
      </x:c>
      <x:c r="B45" s="86" t="str">
        <x:v>Market</x:v>
      </x:c>
      <x:c r="C45" s="86" t="str">
        <x:v>VNStock / VCI and KBS</x:v>
      </x:c>
      <x:c r="D45" s="86" t="str">
        <x:v>GMD daily OHLCV</x:v>
      </x:c>
      <x:c r="E45" s="86" t="str">
        <x:v>Market data API</x:v>
      </x:c>
      <x:c r="F45" s="86" t="str">
        <x:v>17–24 Jul 2026</x:v>
      </x:c>
      <x:c r="G45" s="86" t="str">
        <x:v>25-Jul-2026</x:v>
      </x:c>
      <x:c r="H45" s="86" t="str">
        <x:v>Verified across two VNStock adapters</x:v>
      </x:c>
      <x:c r="I45" s="97" t="str">
        <x:v>https://vnstocks.com/docs/vnstock/du-lieu-thi-truong-market-data</x:v>
      </x:c>
      <x:c r="J45" s="86" t="str">
        <x:v>Current price and valuation date</x:v>
      </x:c>
      <x:c r="K45" s="87" t="str">
        <x:v>24-Jul-2026 close was VND 73,200; prices are returned in VND thousand.</x:v>
      </x:c>
    </x:row>
    <x:row r="46" ht="43" customHeight="1">
      <x:c r="A46" s="88" t="str">
        <x:v>SRC-P402</x:v>
      </x:c>
      <x:c r="B46" s="89" t="str">
        <x:v>GMD</x:v>
      </x:c>
      <x:c r="C46" s="89" t="str">
        <x:v>Gemadept</x:v>
      </x:c>
      <x:c r="D46" s="89" t="str">
        <x:v>Shareholders page</x:v>
      </x:c>
      <x:c r="E46" s="89" t="str">
        <x:v>Issuer IR</x:v>
      </x:c>
      <x:c r="F46" s="89" t="str">
        <x:v>As of 25-Jul-2026</x:v>
      </x:c>
      <x:c r="G46" s="89" t="str">
        <x:v>25-Jul-2026</x:v>
      </x:c>
      <x:c r="H46" s="89" t="str">
        <x:v>Verified</x:v>
      </x:c>
      <x:c r="I46" s="98" t="str">
        <x:v>https://www.gemadept.com.vn/en/shareholders/</x:v>
      </x:c>
      <x:c r="J46" s="89" t="str">
        <x:v>Listed share count</x:v>
      </x:c>
      <x:c r="K46" s="90" t="str">
        <x:v>Charter capital VND 4,264,951,090,000 and 426,495,109 listed shares.</x:v>
      </x:c>
    </x:row>
    <x:row r="47" ht="43" customHeight="1">
      <x:c r="A47" s="91" t="str">
        <x:v>SRC-P403</x:v>
      </x:c>
      <x:c r="B47" s="92" t="str">
        <x:v>Macro / valuation</x:v>
      </x:c>
      <x:c r="C47" s="92" t="str">
        <x:v>Asian Development Bank — AsianBondsOnline</x:v>
      </x:c>
      <x:c r="D47" s="92" t="str">
        <x:v>Vietnam bond-market watch</x:v>
      </x:c>
      <x:c r="E47" s="92" t="str">
        <x:v>Official multilateral market data</x:v>
      </x:c>
      <x:c r="F47" s="92" t="str">
        <x:v>Close 23-Jul-2026</x:v>
      </x:c>
      <x:c r="G47" s="92" t="str">
        <x:v>25-Jul-2026</x:v>
      </x:c>
      <x:c r="H47" s="92" t="str">
        <x:v>Verified</x:v>
      </x:c>
      <x:c r="I47" s="99" t="str">
        <x:v>https://asianbondsonline.adb.org/vietnam/</x:v>
      </x:c>
      <x:c r="J47" s="92" t="str">
        <x:v>Risk-free-rate anchor</x:v>
      </x:c>
      <x:c r="K47" s="93" t="str">
        <x:v>Vietnam 10-year government bond yield was 4.409%; the model rounds this to 4.5%.</x:v>
      </x:c>
    </x:row>
  </x:sheetData>
  <x:mergeCells>
    <x:mergeCell ref="A1:K1"/>
    <x:mergeCell ref="A2:K2"/>
    <x:mergeCell ref="A4:K4"/>
  </x:mergeCells>
  <x:pageMargins left="0.7" right="0.7" top="0.75" bottom="0.75" header="0.3" footer="0.3"/>
  <x:tableParts count="1">
    <x:tablePart xmlns:r="http://schemas.openxmlformats.org/officeDocument/2006/relationships" r:id="R60e09185e8df4d55"/>
  </x:tableParts>
</x:worksheet>
</file>

<file path=xl/worksheets/sheet4.xml><?xml version="1.0" encoding="utf-8"?>
<x:worksheet xmlns:x="http://schemas.openxmlformats.org/spreadsheetml/2006/main">
  <x:sheetViews>
    <x:sheetView showGridLines="0" workbookViewId="0"/>
  </x:sheetViews>
  <x:sheetFormatPr defaultRowHeight="15"/>
  <x:cols>
    <x:col min="1" max="1" width="10" hidden="0" customWidth="1"/>
    <x:col min="2" max="2" width="14" hidden="0" customWidth="1"/>
    <x:col min="3" max="3" width="14" hidden="0" customWidth="1"/>
    <x:col min="4" max="4" width="16" hidden="0" customWidth="1"/>
    <x:col min="5" max="5" width="13" hidden="0" customWidth="1"/>
    <x:col min="6" max="6" width="17" hidden="0" customWidth="1"/>
    <x:col min="7" max="7" width="17" hidden="0" customWidth="1"/>
    <x:col min="8" max="8" width="17" hidden="0" customWidth="1"/>
    <x:col min="9" max="9" width="14" hidden="0" customWidth="1"/>
    <x:col min="10" max="10" width="22" hidden="0" customWidth="1"/>
    <x:col min="11" max="11" width="17" hidden="0" customWidth="1"/>
    <x:col min="12" max="12" width="50" hidden="0" customWidth="1"/>
  </x:cols>
  <x:sheetData>
    <x:row r="1" ht="30" customHeight="1">
      <x:c r="A1" s="4" t="str">
        <x:v>Macro Annual — Vietnam Trade and FDI</x:v>
      </x:c>
      <x:c r="B1" s="4" t="str">
        <x:v>Macro Annual — Vietnam Trade and FDI</x:v>
      </x:c>
      <x:c r="C1" s="4" t="str">
        <x:v>Macro Annual — Vietnam Trade and FDI</x:v>
      </x:c>
      <x:c r="D1" s="4" t="str">
        <x:v>Macro Annual — Vietnam Trade and FDI</x:v>
      </x:c>
      <x:c r="E1" s="4" t="str">
        <x:v>Macro Annual — Vietnam Trade and FDI</x:v>
      </x:c>
      <x:c r="F1" s="4" t="str">
        <x:v>Macro Annual — Vietnam Trade and FDI</x:v>
      </x:c>
      <x:c r="G1" s="4" t="str">
        <x:v>Macro Annual — Vietnam Trade and FDI</x:v>
      </x:c>
      <x:c r="H1" s="4" t="str">
        <x:v>Macro Annual — Vietnam Trade and FDI</x:v>
      </x:c>
      <x:c r="I1" s="4" t="str">
        <x:v>Macro Annual — Vietnam Trade and FDI</x:v>
      </x:c>
      <x:c r="J1" s="4" t="str">
        <x:v>Macro Annual — Vietnam Trade and FDI</x:v>
      </x:c>
      <x:c r="K1" s="4" t="str">
        <x:v>Macro Annual — Vietnam Trade and FDI</x:v>
      </x:c>
      <x:c r="L1" s="4" t="str">
        <x:v>Macro Annual — Vietnam Trade and FDI</x:v>
      </x:c>
    </x:row>
    <x:row r="2" ht="34" customHeight="1">
      <x:c r="A2" s="9" t="str">
        <x:v>Official annual actuals. Total trade, growth rates and FDI intensity are formulas; blue-font cells are sourced inputs.</x:v>
      </x:c>
      <x:c r="B2" s="9" t="str">
        <x:v>Official annual actuals. Total trade, growth rates and FDI intensity are formulas; blue-font cells are sourced inputs.</x:v>
      </x:c>
      <x:c r="C2" s="9" t="str">
        <x:v>Official annual actuals. Total trade, growth rates and FDI intensity are formulas; blue-font cells are sourced inputs.</x:v>
      </x:c>
      <x:c r="D2" s="9" t="str">
        <x:v>Official annual actuals. Total trade, growth rates and FDI intensity are formulas; blue-font cells are sourced inputs.</x:v>
      </x:c>
      <x:c r="E2" s="9" t="str">
        <x:v>Official annual actuals. Total trade, growth rates and FDI intensity are formulas; blue-font cells are sourced inputs.</x:v>
      </x:c>
      <x:c r="F2" s="9" t="str">
        <x:v>Official annual actuals. Total trade, growth rates and FDI intensity are formulas; blue-font cells are sourced inputs.</x:v>
      </x:c>
      <x:c r="G2" s="9" t="str">
        <x:v>Official annual actuals. Total trade, growth rates and FDI intensity are formulas; blue-font cells are sourced inputs.</x:v>
      </x:c>
      <x:c r="H2" s="9" t="str">
        <x:v>Official annual actuals. Total trade, growth rates and FDI intensity are formulas; blue-font cells are sourced inputs.</x:v>
      </x:c>
      <x:c r="I2" s="9" t="str">
        <x:v>Official annual actuals. Total trade, growth rates and FDI intensity are formulas; blue-font cells are sourced inputs.</x:v>
      </x:c>
      <x:c r="J2" s="9" t="str">
        <x:v>Official annual actuals. Total trade, growth rates and FDI intensity are formulas; blue-font cells are sourced inputs.</x:v>
      </x:c>
      <x:c r="K2" s="9" t="str">
        <x:v>Official annual actuals. Total trade, growth rates and FDI intensity are formulas; blue-font cells are sourced inputs.</x:v>
      </x:c>
      <x:c r="L2" s="9" t="str">
        <x:v>Official annual actuals. Total trade, growth rates and FDI intensity are formulas; blue-font cells are sourced inputs.</x:v>
      </x:c>
    </x:row>
    <x:row r="4" ht="21" customHeight="1">
      <x:c r="A4" s="13" t="str">
        <x:v>Annual history</x:v>
      </x:c>
      <x:c r="B4" s="13" t="str">
        <x:v>Annual history</x:v>
      </x:c>
      <x:c r="C4" s="13" t="str">
        <x:v>Annual history</x:v>
      </x:c>
      <x:c r="D4" s="13" t="str">
        <x:v>Annual history</x:v>
      </x:c>
      <x:c r="E4" s="13" t="str">
        <x:v>Annual history</x:v>
      </x:c>
      <x:c r="F4" s="13" t="str">
        <x:v>Annual history</x:v>
      </x:c>
      <x:c r="G4" s="13" t="str">
        <x:v>Annual history</x:v>
      </x:c>
      <x:c r="H4" s="13" t="str">
        <x:v>Annual history</x:v>
      </x:c>
      <x:c r="I4" s="13" t="str">
        <x:v>Annual history</x:v>
      </x:c>
      <x:c r="J4" s="13" t="str">
        <x:v>Annual history</x:v>
      </x:c>
      <x:c r="K4" s="13" t="str">
        <x:v>Annual history</x:v>
      </x:c>
      <x:c r="L4" s="13" t="str">
        <x:v>Annual history</x:v>
      </x:c>
    </x:row>
    <x:row r="6" ht="32" customHeight="1">
      <x:c r="A6" s="65" t="str">
        <x:v>Year</x:v>
      </x:c>
      <x:c r="B6" s="65" t="str">
        <x:v>Exports</x:v>
      </x:c>
      <x:c r="C6" s="65" t="str">
        <x:v>Imports</x:v>
      </x:c>
      <x:c r="D6" s="65" t="str">
        <x:v>Total trade</x:v>
      </x:c>
      <x:c r="E6" s="65" t="str">
        <x:v>Trade YoY</x:v>
      </x:c>
      <x:c r="F6" s="65" t="str">
        <x:v>Registered FDI</x:v>
      </x:c>
      <x:c r="G6" s="65" t="str">
        <x:v>Disbursed FDI</x:v>
      </x:c>
      <x:c r="H6" s="65" t="str">
        <x:v>FDI realization</x:v>
      </x:c>
      <x:c r="I6" s="65" t="str">
        <x:v>Trade check</x:v>
      </x:c>
      <x:c r="J6" s="65" t="str">
        <x:v>Source ID</x:v>
      </x:c>
      <x:c r="K6" s="65" t="str">
        <x:v>Data class</x:v>
      </x:c>
      <x:c r="L6" s="65" t="str">
        <x:v>Audit note</x:v>
      </x:c>
    </x:row>
    <x:row r="7" ht="34" customHeight="1">
      <x:c r="A7" s="85" t="n">
        <x:v>2021</x:v>
      </x:c>
      <x:c r="B7" s="103" t="n">
        <x:v>336.31</x:v>
      </x:c>
      <x:c r="C7" s="103" t="n">
        <x:v>332.23</x:v>
      </x:c>
      <x:c r="D7" s="104" t="n">
        <x:f>SUM(B7:C7)</x:f>
        <x:v>668.54</x:v>
      </x:c>
      <x:c r="E7" s="86" t="str">
        <x:v>n.m.</x:v>
      </x:c>
      <x:c r="F7" s="103" t="n">
        <x:v>31.15</x:v>
      </x:c>
      <x:c r="G7" s="103" t="n">
        <x:v>19.74</x:v>
      </x:c>
      <x:c r="H7" s="111" t="n">
        <x:f>G7/F7</x:f>
        <x:v>0.6337078651685393</x:v>
      </x:c>
      <x:c r="I7" s="112" t="n">
        <x:f>ROUND(D7-B7-C7,2)</x:f>
        <x:v>0</x:v>
      </x:c>
      <x:c r="J7" s="86" t="str">
        <x:v>SRC-M07 / SRC-M08</x:v>
      </x:c>
      <x:c r="K7" s="86" t="str">
        <x:v>Official actual</x:v>
      </x:c>
      <x:c r="L7" s="87" t="str">
        <x:v>Trade and FDI come from two NSO releases.</x:v>
      </x:c>
    </x:row>
    <x:row r="8" ht="34" customHeight="1">
      <x:c r="A8" s="88" t="n">
        <x:v>2022</x:v>
      </x:c>
      <x:c r="B8" s="105" t="n">
        <x:v>371.85</x:v>
      </x:c>
      <x:c r="C8" s="105" t="n">
        <x:v>360.65</x:v>
      </x:c>
      <x:c r="D8" s="106" t="n">
        <x:f>SUM(B8:C8)</x:f>
        <x:v>732.5</x:v>
      </x:c>
      <x:c r="E8" s="109" t="n">
        <x:f>D8/D7-1</x:f>
        <x:v>0.09567116402907838</x:v>
      </x:c>
      <x:c r="F8" s="105" t="n">
        <x:v>27.72</x:v>
      </x:c>
      <x:c r="G8" s="105" t="n">
        <x:v>22.4</x:v>
      </x:c>
      <x:c r="H8" s="109" t="n">
        <x:f>G8/F8</x:f>
        <x:v>0.8080808080808081</x:v>
      </x:c>
      <x:c r="I8" s="113" t="n">
        <x:f>ROUND(D8-B8-C8,2)</x:f>
        <x:v>0</x:v>
      </x:c>
      <x:c r="J8" s="89" t="str">
        <x:v>SRC-M05 / SRC-M06</x:v>
      </x:c>
      <x:c r="K8" s="89" t="str">
        <x:v>Official actual</x:v>
      </x:c>
      <x:c r="L8" s="90" t="str">
        <x:v>Registered FDI from the official December infographic.</x:v>
      </x:c>
    </x:row>
    <x:row r="9" ht="34" customHeight="1">
      <x:c r="A9" s="88" t="n">
        <x:v>2023</x:v>
      </x:c>
      <x:c r="B9" s="105" t="n">
        <x:v>355.5</x:v>
      </x:c>
      <x:c r="C9" s="105" t="n">
        <x:v>327.5</x:v>
      </x:c>
      <x:c r="D9" s="106" t="n">
        <x:f>SUM(B9:C9)</x:f>
        <x:v>683</x:v>
      </x:c>
      <x:c r="E9" s="109" t="n">
        <x:f>D9/D8-1</x:f>
        <x:v>-0.06757679180887377</x:v>
      </x:c>
      <x:c r="F9" s="105" t="n">
        <x:v>36.6</x:v>
      </x:c>
      <x:c r="G9" s="105" t="n">
        <x:v>23.18</x:v>
      </x:c>
      <x:c r="H9" s="109" t="n">
        <x:f>G9/F9</x:f>
        <x:v>0.6333333333333333</x:v>
      </x:c>
      <x:c r="I9" s="113" t="n">
        <x:f>ROUND(D9-B9-C9,2)</x:f>
        <x:v>0</x:v>
      </x:c>
      <x:c r="J9" s="89" t="str">
        <x:v>SRC-M04</x:v>
      </x:c>
      <x:c r="K9" s="89" t="str">
        <x:v>Official actual</x:v>
      </x:c>
      <x:c r="L9" s="90" t="str">
        <x:v>Primary source.</x:v>
      </x:c>
    </x:row>
    <x:row r="10" ht="34" customHeight="1">
      <x:c r="A10" s="88" t="n">
        <x:v>2024</x:v>
      </x:c>
      <x:c r="B10" s="105" t="n">
        <x:v>405.53</x:v>
      </x:c>
      <x:c r="C10" s="105" t="n">
        <x:v>380.76</x:v>
      </x:c>
      <x:c r="D10" s="106" t="n">
        <x:f>SUM(B10:C10)</x:f>
        <x:v>786.29</x:v>
      </x:c>
      <x:c r="E10" s="109" t="n">
        <x:f>D10/D9-1</x:f>
        <x:v>0.15122986822840412</x:v>
      </x:c>
      <x:c r="F10" s="105" t="n">
        <x:v>38.23</x:v>
      </x:c>
      <x:c r="G10" s="105" t="n">
        <x:v>25.35</x:v>
      </x:c>
      <x:c r="H10" s="109" t="n">
        <x:f>G10/F10</x:f>
        <x:v>0.6630918127125295</x:v>
      </x:c>
      <x:c r="I10" s="113" t="n">
        <x:f>ROUND(D10-B10-C10,2)</x:f>
        <x:v>0</x:v>
      </x:c>
      <x:c r="J10" s="89" t="str">
        <x:v>SRC-M03</x:v>
      </x:c>
      <x:c r="K10" s="89" t="str">
        <x:v>Official actual</x:v>
      </x:c>
      <x:c r="L10" s="90" t="str">
        <x:v>Primary source.</x:v>
      </x:c>
    </x:row>
    <x:row r="11" ht="34" customHeight="1">
      <x:c r="A11" s="91" t="n">
        <x:v>2025</x:v>
      </x:c>
      <x:c r="B11" s="107" t="n">
        <x:v>475.04</x:v>
      </x:c>
      <x:c r="C11" s="107" t="n">
        <x:v>455.01</x:v>
      </x:c>
      <x:c r="D11" s="108" t="n">
        <x:f>SUM(B11:C11)</x:f>
        <x:v>930.05</x:v>
      </x:c>
      <x:c r="E11" s="110" t="n">
        <x:f>D11/D10-1</x:f>
        <x:v>0.18283330577776646</x:v>
      </x:c>
      <x:c r="F11" s="107" t="n">
        <x:v>38.42</x:v>
      </x:c>
      <x:c r="G11" s="107" t="n">
        <x:v>27.62</x:v>
      </x:c>
      <x:c r="H11" s="110" t="n">
        <x:f>G11/F11</x:f>
        <x:v>0.7188964081207704</x:v>
      </x:c>
      <x:c r="I11" s="114" t="n">
        <x:f>ROUND(D11-B11-C11,2)</x:f>
        <x:v>0</x:v>
      </x:c>
      <x:c r="J11" s="92" t="str">
        <x:v>SRC-M02</x:v>
      </x:c>
      <x:c r="K11" s="92" t="str">
        <x:v>Official actual</x:v>
      </x:c>
      <x:c r="L11" s="93" t="str">
        <x:v>Total trade is calculated as exports plus imports.</x:v>
      </x:c>
    </x:row>
  </x:sheetData>
  <x:mergeCells>
    <x:mergeCell ref="A1:L1"/>
    <x:mergeCell ref="A2:L2"/>
    <x:mergeCell ref="A4:L4"/>
  </x:mergeCells>
  <x:pageMargins left="0.7" right="0.7" top="0.75" bottom="0.75" header="0.3" footer="0.3"/>
  <x:legacyDrawing xmlns:r="http://schemas.openxmlformats.org/officeDocument/2006/relationships" r:id="R486154bc362248a4"/>
  <x:tableParts count="1">
    <x:tablePart xmlns:r="http://schemas.openxmlformats.org/officeDocument/2006/relationships" r:id="Rcae0244e81e84a8f"/>
  </x:tableParts>
</x:worksheet>
</file>

<file path=xl/worksheets/sheet5.xml><?xml version="1.0" encoding="utf-8"?>
<x:worksheet xmlns:x="http://schemas.openxmlformats.org/spreadsheetml/2006/main">
  <x:sheetViews>
    <x:sheetView showGridLines="0" workbookViewId="0"/>
  </x:sheetViews>
  <x:sheetFormatPr defaultRowHeight="15"/>
  <x:cols>
    <x:col min="1" max="1" width="13" hidden="0" customWidth="1"/>
    <x:col min="2" max="2" width="30" hidden="0" customWidth="1"/>
    <x:col min="3" max="3" width="15" hidden="0" customWidth="1"/>
    <x:col min="4" max="4" width="12" hidden="0" customWidth="1"/>
    <x:col min="5" max="5" width="14" hidden="0" customWidth="1"/>
    <x:col min="6" max="6" width="18" hidden="0" customWidth="1"/>
    <x:col min="7" max="7" width="18" hidden="0" customWidth="1"/>
    <x:col min="8" max="8" width="13" hidden="0" customWidth="1"/>
    <x:col min="9" max="9" width="32" hidden="0" customWidth="1"/>
    <x:col min="10" max="10" width="48" hidden="0" customWidth="1"/>
  </x:cols>
  <x:sheetData>
    <x:row r="1" ht="30" customHeight="1">
      <x:c r="A1" s="4" t="str">
        <x:v>Macro Snapshot — 1H2026</x:v>
      </x:c>
      <x:c r="B1" s="4" t="str">
        <x:v>Macro Snapshot — 1H2026</x:v>
      </x:c>
      <x:c r="C1" s="4" t="str">
        <x:v>Macro Snapshot — 1H2026</x:v>
      </x:c>
      <x:c r="D1" s="4" t="str">
        <x:v>Macro Snapshot — 1H2026</x:v>
      </x:c>
      <x:c r="E1" s="4" t="str">
        <x:v>Macro Snapshot — 1H2026</x:v>
      </x:c>
      <x:c r="F1" s="4" t="str">
        <x:v>Macro Snapshot — 1H2026</x:v>
      </x:c>
      <x:c r="G1" s="4" t="str">
        <x:v>Macro Snapshot — 1H2026</x:v>
      </x:c>
      <x:c r="H1" s="4" t="str">
        <x:v>Macro Snapshot — 1H2026</x:v>
      </x:c>
      <x:c r="I1" s="4" t="str">
        <x:v>Macro Snapshot — 1H2026</x:v>
      </x:c>
      <x:c r="J1" s="4" t="str">
        <x:v>Macro Snapshot — 1H2026</x:v>
      </x:c>
    </x:row>
    <x:row r="2" ht="34" customHeight="1">
      <x:c r="A2" s="9" t="str">
        <x:v>The latest macro setup is strong, but each row records why it cannot be inserted directly into a port-volume forecast.</x:v>
      </x:c>
      <x:c r="B2" s="9" t="str">
        <x:v>The latest macro setup is strong, but each row records why it cannot be inserted directly into a port-volume forecast.</x:v>
      </x:c>
      <x:c r="C2" s="9" t="str">
        <x:v>The latest macro setup is strong, but each row records why it cannot be inserted directly into a port-volume forecast.</x:v>
      </x:c>
      <x:c r="D2" s="9" t="str">
        <x:v>The latest macro setup is strong, but each row records why it cannot be inserted directly into a port-volume forecast.</x:v>
      </x:c>
      <x:c r="E2" s="9" t="str">
        <x:v>The latest macro setup is strong, but each row records why it cannot be inserted directly into a port-volume forecast.</x:v>
      </x:c>
      <x:c r="F2" s="9" t="str">
        <x:v>The latest macro setup is strong, but each row records why it cannot be inserted directly into a port-volume forecast.</x:v>
      </x:c>
      <x:c r="G2" s="9" t="str">
        <x:v>The latest macro setup is strong, but each row records why it cannot be inserted directly into a port-volume forecast.</x:v>
      </x:c>
      <x:c r="H2" s="9" t="str">
        <x:v>The latest macro setup is strong, but each row records why it cannot be inserted directly into a port-volume forecast.</x:v>
      </x:c>
      <x:c r="I2" s="9" t="str">
        <x:v>The latest macro setup is strong, but each row records why it cannot be inserted directly into a port-volume forecast.</x:v>
      </x:c>
      <x:c r="J2" s="9" t="str">
        <x:v>The latest macro setup is strong, but each row records why it cannot be inserted directly into a port-volume forecast.</x:v>
      </x:c>
    </x:row>
    <x:row r="4" ht="21" customHeight="1">
      <x:c r="A4" s="13" t="str">
        <x:v>Official 1H2026 facts</x:v>
      </x:c>
      <x:c r="B4" s="13" t="str">
        <x:v>Official 1H2026 facts</x:v>
      </x:c>
      <x:c r="C4" s="13" t="str">
        <x:v>Official 1H2026 facts</x:v>
      </x:c>
      <x:c r="D4" s="13" t="str">
        <x:v>Official 1H2026 facts</x:v>
      </x:c>
      <x:c r="E4" s="13" t="str">
        <x:v>Official 1H2026 facts</x:v>
      </x:c>
      <x:c r="F4" s="13" t="str">
        <x:v>Official 1H2026 facts</x:v>
      </x:c>
      <x:c r="G4" s="13" t="str">
        <x:v>Official 1H2026 facts</x:v>
      </x:c>
      <x:c r="H4" s="13" t="str">
        <x:v>Official 1H2026 facts</x:v>
      </x:c>
      <x:c r="I4" s="13" t="str">
        <x:v>Official 1H2026 facts</x:v>
      </x:c>
      <x:c r="J4" s="13" t="str">
        <x:v>Official 1H2026 facts</x:v>
      </x:c>
    </x:row>
    <x:row r="6" ht="32" customHeight="1">
      <x:c r="A6" s="65" t="str">
        <x:v>Data ID</x:v>
      </x:c>
      <x:c r="B6" s="65" t="str">
        <x:v>Indicator</x:v>
      </x:c>
      <x:c r="C6" s="65" t="str">
        <x:v>Value</x:v>
      </x:c>
      <x:c r="D6" s="65" t="str">
        <x:v>Unit</x:v>
      </x:c>
      <x:c r="E6" s="65" t="str">
        <x:v>YoY growth</x:v>
      </x:c>
      <x:c r="F6" s="65" t="str">
        <x:v>Period</x:v>
      </x:c>
      <x:c r="G6" s="65" t="str">
        <x:v>Data class</x:v>
      </x:c>
      <x:c r="H6" s="65" t="str">
        <x:v>Source ID</x:v>
      </x:c>
      <x:c r="I6" s="65" t="str">
        <x:v>Intended use</x:v>
      </x:c>
      <x:c r="J6" s="65" t="str">
        <x:v>Key caveat</x:v>
      </x:c>
    </x:row>
    <x:row r="7" ht="36" customHeight="1">
      <x:c r="A7" s="85" t="str">
        <x:v>MAC-H1-01</x:v>
      </x:c>
      <x:c r="B7" s="86" t="str">
        <x:v>Total merchandise trade</x:v>
      </x:c>
      <x:c r="C7" s="103" t="n">
        <x:v>549.69</x:v>
      </x:c>
      <x:c r="D7" s="86" t="str">
        <x:v>USD bn</x:v>
      </x:c>
      <x:c r="E7" s="115" t="n">
        <x:v>0.271</x:v>
      </x:c>
      <x:c r="F7" s="86" t="str">
        <x:v>1H2026</x:v>
      </x:c>
      <x:c r="G7" s="86" t="str">
        <x:v>Official actual</x:v>
      </x:c>
      <x:c r="H7" s="86" t="str">
        <x:v>SRC-M01</x:v>
      </x:c>
      <x:c r="I7" s="86" t="str">
        <x:v>Macro demand backdrop</x:v>
      </x:c>
      <x:c r="J7" s="87" t="str">
        <x:v>Aggregate trade value is not container volume.</x:v>
      </x:c>
    </x:row>
    <x:row r="8" ht="36" customHeight="1">
      <x:c r="A8" s="88" t="str">
        <x:v>MAC-H1-02</x:v>
      </x:c>
      <x:c r="B8" s="89" t="str">
        <x:v>Exports</x:v>
      </x:c>
      <x:c r="C8" s="105" t="n">
        <x:v>266.52</x:v>
      </x:c>
      <x:c r="D8" s="89" t="str">
        <x:v>USD bn</x:v>
      </x:c>
      <x:c r="E8" s="116" t="n">
        <x:v>0.21</x:v>
      </x:c>
      <x:c r="F8" s="89" t="str">
        <x:v>1H2026</x:v>
      </x:c>
      <x:c r="G8" s="89" t="str">
        <x:v>Official actual</x:v>
      </x:c>
      <x:c r="H8" s="89" t="str">
        <x:v>SRC-M01</x:v>
      </x:c>
      <x:c r="I8" s="89" t="str">
        <x:v>Macro demand backdrop</x:v>
      </x:c>
      <x:c r="J8" s="90" t="str">
        <x:v>Product mix and prices can break the link to TEU.</x:v>
      </x:c>
    </x:row>
    <x:row r="9" ht="36" customHeight="1">
      <x:c r="A9" s="88" t="str">
        <x:v>MAC-H1-03</x:v>
      </x:c>
      <x:c r="B9" s="89" t="str">
        <x:v>Imports</x:v>
      </x:c>
      <x:c r="C9" s="105" t="n">
        <x:v>283.17</x:v>
      </x:c>
      <x:c r="D9" s="89" t="str">
        <x:v>USD bn</x:v>
      </x:c>
      <x:c r="E9" s="116" t="n">
        <x:v>0.334</x:v>
      </x:c>
      <x:c r="F9" s="89" t="str">
        <x:v>1H2026</x:v>
      </x:c>
      <x:c r="G9" s="89" t="str">
        <x:v>Official actual</x:v>
      </x:c>
      <x:c r="H9" s="89" t="str">
        <x:v>SRC-M01</x:v>
      </x:c>
      <x:c r="I9" s="89" t="str">
        <x:v>Macro demand backdrop</x:v>
      </x:c>
      <x:c r="J9" s="90" t="str">
        <x:v>Product mix and prices can break the link to TEU.</x:v>
      </x:c>
    </x:row>
    <x:row r="10" ht="36" customHeight="1">
      <x:c r="A10" s="88" t="str">
        <x:v>MAC-H1-04</x:v>
      </x:c>
      <x:c r="B10" s="89" t="str">
        <x:v>Registered FDI</x:v>
      </x:c>
      <x:c r="C10" s="105" t="n">
        <x:v>34.65</x:v>
      </x:c>
      <x:c r="D10" s="89" t="str">
        <x:v>USD bn</x:v>
      </x:c>
      <x:c r="E10" s="116" t="n">
        <x:v>0.61</x:v>
      </x:c>
      <x:c r="F10" s="89" t="str">
        <x:v>to 30-Jun-2026</x:v>
      </x:c>
      <x:c r="G10" s="89" t="str">
        <x:v>Official actual</x:v>
      </x:c>
      <x:c r="H10" s="89" t="str">
        <x:v>SRC-M01</x:v>
      </x:c>
      <x:c r="I10" s="89" t="str">
        <x:v>Medium-term manufacturing setup</x:v>
      </x:c>
      <x:c r="J10" s="90" t="str">
        <x:v>Not a near-term throughput proxy.</x:v>
      </x:c>
    </x:row>
    <x:row r="11" ht="36" customHeight="1">
      <x:c r="A11" s="91" t="str">
        <x:v>MAC-H1-05</x:v>
      </x:c>
      <x:c r="B11" s="92" t="str">
        <x:v>Disbursed FDI</x:v>
      </x:c>
      <x:c r="C11" s="107" t="n">
        <x:v>13.03</x:v>
      </x:c>
      <x:c r="D11" s="92" t="str">
        <x:v>USD bn</x:v>
      </x:c>
      <x:c r="E11" s="117" t="n">
        <x:v>0.112</x:v>
      </x:c>
      <x:c r="F11" s="92" t="str">
        <x:v>1H2026</x:v>
      </x:c>
      <x:c r="G11" s="92" t="str">
        <x:v>Official actual</x:v>
      </x:c>
      <x:c r="H11" s="92" t="str">
        <x:v>SRC-M01</x:v>
      </x:c>
      <x:c r="I11" s="92" t="str">
        <x:v>Real-activity cross-check</x:v>
      </x:c>
      <x:c r="J11" s="93" t="str">
        <x:v>More relevant than registered FDI, but still indirect.</x:v>
      </x:c>
    </x:row>
  </x:sheetData>
  <x:mergeCells>
    <x:mergeCell ref="A1:J1"/>
    <x:mergeCell ref="A2:J2"/>
    <x:mergeCell ref="A4:J4"/>
  </x:mergeCells>
  <x:pageMargins left="0.7" right="0.7" top="0.75" bottom="0.75" header="0.3" footer="0.3"/>
  <x:legacyDrawing xmlns:r="http://schemas.openxmlformats.org/officeDocument/2006/relationships" r:id="Rdf0bf6f33f984455"/>
  <x:tableParts count="1">
    <x:tablePart xmlns:r="http://schemas.openxmlformats.org/officeDocument/2006/relationships" r:id="Rd7f22222e3ec421a"/>
  </x:tableParts>
</x:worksheet>
</file>

<file path=xl/worksheets/sheet6.xml><?xml version="1.0" encoding="utf-8"?>
<x:worksheet xmlns:x="http://schemas.openxmlformats.org/spreadsheetml/2006/main">
  <x:sheetViews>
    <x:sheetView showGridLines="0" workbookViewId="0"/>
  </x:sheetViews>
  <x:sheetFormatPr defaultRowHeight="15"/>
  <x:cols>
    <x:col min="1" max="1" width="12" hidden="0" customWidth="1"/>
    <x:col min="2" max="2" width="39" hidden="0" customWidth="1"/>
    <x:col min="3" max="3" width="14" hidden="0" customWidth="1"/>
    <x:col min="4" max="4" width="15" hidden="0" customWidth="1"/>
    <x:col min="5" max="5" width="13" hidden="0" customWidth="1"/>
    <x:col min="6" max="6" width="18" hidden="0" customWidth="1"/>
    <x:col min="7" max="7" width="43" hidden="0" customWidth="1"/>
    <x:col min="8" max="8" width="24" hidden="0" customWidth="1"/>
    <x:col min="9" max="9" width="13" hidden="0" customWidth="1"/>
    <x:col min="10" max="10" width="30" hidden="0" customWidth="1"/>
    <x:col min="11" max="11" width="48" hidden="0" customWidth="1"/>
  </x:cols>
  <x:sheetData>
    <x:row r="1" ht="30" customHeight="1">
      <x:c r="A1" s="4" t="str">
        <x:v>Industry Facts — Vietnam Port Market</x:v>
      </x:c>
      <x:c r="B1" s="4" t="str">
        <x:v>Industry Facts — Vietnam Port Market</x:v>
      </x:c>
      <x:c r="C1" s="4" t="str">
        <x:v>Industry Facts — Vietnam Port Market</x:v>
      </x:c>
      <x:c r="D1" s="4" t="str">
        <x:v>Industry Facts — Vietnam Port Market</x:v>
      </x:c>
      <x:c r="E1" s="4" t="str">
        <x:v>Industry Facts — Vietnam Port Market</x:v>
      </x:c>
      <x:c r="F1" s="4" t="str">
        <x:v>Industry Facts — Vietnam Port Market</x:v>
      </x:c>
      <x:c r="G1" s="4" t="str">
        <x:v>Industry Facts — Vietnam Port Market</x:v>
      </x:c>
      <x:c r="H1" s="4" t="str">
        <x:v>Industry Facts — Vietnam Port Market</x:v>
      </x:c>
      <x:c r="I1" s="4" t="str">
        <x:v>Industry Facts — Vietnam Port Market</x:v>
      </x:c>
      <x:c r="J1" s="4" t="str">
        <x:v>Industry Facts — Vietnam Port Market</x:v>
      </x:c>
      <x:c r="K1" s="4" t="str">
        <x:v>Industry Facts — Vietnam Port Market</x:v>
      </x:c>
    </x:row>
    <x:row r="2" ht="34" customHeight="1">
      <x:c r="A2" s="9" t="str">
        <x:v>Actuals, route facts and planning targets are separated. TEU, tonnes, DWT, berths and routes are intentionally not aggregated.</x:v>
      </x:c>
      <x:c r="B2" s="9" t="str">
        <x:v>Actuals, route facts and planning targets are separated. TEU, tonnes, DWT, berths and routes are intentionally not aggregated.</x:v>
      </x:c>
      <x:c r="C2" s="9" t="str">
        <x:v>Actuals, route facts and planning targets are separated. TEU, tonnes, DWT, berths and routes are intentionally not aggregated.</x:v>
      </x:c>
      <x:c r="D2" s="9" t="str">
        <x:v>Actuals, route facts and planning targets are separated. TEU, tonnes, DWT, berths and routes are intentionally not aggregated.</x:v>
      </x:c>
      <x:c r="E2" s="9" t="str">
        <x:v>Actuals, route facts and planning targets are separated. TEU, tonnes, DWT, berths and routes are intentionally not aggregated.</x:v>
      </x:c>
      <x:c r="F2" s="9" t="str">
        <x:v>Actuals, route facts and planning targets are separated. TEU, tonnes, DWT, berths and routes are intentionally not aggregated.</x:v>
      </x:c>
      <x:c r="G2" s="9" t="str">
        <x:v>Actuals, route facts and planning targets are separated. TEU, tonnes, DWT, berths and routes are intentionally not aggregated.</x:v>
      </x:c>
      <x:c r="H2" s="9" t="str">
        <x:v>Actuals, route facts and planning targets are separated. TEU, tonnes, DWT, berths and routes are intentionally not aggregated.</x:v>
      </x:c>
      <x:c r="I2" s="9" t="str">
        <x:v>Actuals, route facts and planning targets are separated. TEU, tonnes, DWT, berths and routes are intentionally not aggregated.</x:v>
      </x:c>
      <x:c r="J2" s="9" t="str">
        <x:v>Actuals, route facts and planning targets are separated. TEU, tonnes, DWT, berths and routes are intentionally not aggregated.</x:v>
      </x:c>
      <x:c r="K2" s="9" t="str">
        <x:v>Actuals, route facts and planning targets are separated. TEU, tonnes, DWT, berths and routes are intentionally not aggregated.</x:v>
      </x:c>
    </x:row>
    <x:row r="4" ht="21" customHeight="1">
      <x:c r="A4" s="13" t="str">
        <x:v>Verified sector anchors</x:v>
      </x:c>
      <x:c r="B4" s="13" t="str">
        <x:v>Verified sector anchors</x:v>
      </x:c>
      <x:c r="C4" s="13" t="str">
        <x:v>Verified sector anchors</x:v>
      </x:c>
      <x:c r="D4" s="13" t="str">
        <x:v>Verified sector anchors</x:v>
      </x:c>
      <x:c r="E4" s="13" t="str">
        <x:v>Verified sector anchors</x:v>
      </x:c>
      <x:c r="F4" s="13" t="str">
        <x:v>Verified sector anchors</x:v>
      </x:c>
      <x:c r="G4" s="13" t="str">
        <x:v>Verified sector anchors</x:v>
      </x:c>
      <x:c r="H4" s="13" t="str">
        <x:v>Verified sector anchors</x:v>
      </x:c>
      <x:c r="I4" s="13" t="str">
        <x:v>Verified sector anchors</x:v>
      </x:c>
      <x:c r="J4" s="13" t="str">
        <x:v>Verified sector anchors</x:v>
      </x:c>
      <x:c r="K4" s="13" t="str">
        <x:v>Verified sector anchors</x:v>
      </x:c>
    </x:row>
    <x:row r="6" ht="32" customHeight="1">
      <x:c r="A6" s="65" t="str">
        <x:v>Data ID</x:v>
      </x:c>
      <x:c r="B6" s="65" t="str">
        <x:v>Metric</x:v>
      </x:c>
      <x:c r="C6" s="65" t="str">
        <x:v>Value</x:v>
      </x:c>
      <x:c r="D6" s="65" t="str">
        <x:v>Unit</x:v>
      </x:c>
      <x:c r="E6" s="65" t="str">
        <x:v>Growth</x:v>
      </x:c>
      <x:c r="F6" s="65" t="str">
        <x:v>Period</x:v>
      </x:c>
      <x:c r="G6" s="65" t="str">
        <x:v>Scope</x:v>
      </x:c>
      <x:c r="H6" s="65" t="str">
        <x:v>Data class</x:v>
      </x:c>
      <x:c r="I6" s="65" t="str">
        <x:v>Source ID</x:v>
      </x:c>
      <x:c r="J6" s="65" t="str">
        <x:v>Intended use</x:v>
      </x:c>
      <x:c r="K6" s="65" t="str">
        <x:v>Audit note</x:v>
      </x:c>
    </x:row>
    <x:row r="7" ht="38" customHeight="1">
      <x:c r="A7" s="85" t="str">
        <x:v>IND-001</x:v>
      </x:c>
      <x:c r="B7" s="86" t="str">
        <x:v>Cargo throughput</x:v>
      </x:c>
      <x:c r="C7" s="103" t="n">
        <x:v>1170</x:v>
      </x:c>
      <x:c r="D7" s="86" t="str">
        <x:v>mn tonnes</x:v>
      </x:c>
      <x:c r="E7" s="111"/>
      <x:c r="F7" s="86" t="str">
        <x:v>FY2025</x:v>
      </x:c>
      <x:c r="G7" s="86" t="str">
        <x:v>Seaports + inland waterways</x:v>
      </x:c>
      <x:c r="H7" s="86" t="str">
        <x:v>Official actual</x:v>
      </x:c>
      <x:c r="I7" s="86" t="str">
        <x:v>SRC-I01</x:v>
      </x:c>
      <x:c r="J7" s="86" t="str">
        <x:v>National demand anchor</x:v>
      </x:c>
      <x:c r="K7" s="87" t="str">
        <x:v>Scope is broader than seaports.</x:v>
      </x:c>
    </x:row>
    <x:row r="8" ht="38" customHeight="1">
      <x:c r="A8" s="88" t="str">
        <x:v>IND-002</x:v>
      </x:c>
      <x:c r="B8" s="89" t="str">
        <x:v>Container throughput</x:v>
      </x:c>
      <x:c r="C8" s="105" t="n">
        <x:v>34.36</x:v>
      </x:c>
      <x:c r="D8" s="89" t="str">
        <x:v>m TEU</x:v>
      </x:c>
      <x:c r="E8" s="109" t="n">
        <x:v>0.11</x:v>
      </x:c>
      <x:c r="F8" s="89" t="str">
        <x:v>FY2025</x:v>
      </x:c>
      <x:c r="G8" s="89" t="str">
        <x:v>Seaports + inland waterways</x:v>
      </x:c>
      <x:c r="H8" s="89" t="str">
        <x:v>Official actual</x:v>
      </x:c>
      <x:c r="I8" s="89" t="str">
        <x:v>SRC-I01</x:v>
      </x:c>
      <x:c r="J8" s="89" t="str">
        <x:v>National container anchor</x:v>
      </x:c>
      <x:c r="K8" s="90" t="str">
        <x:v>Scope definition must stay unchanged.</x:v>
      </x:c>
    </x:row>
    <x:row r="9" ht="38" customHeight="1">
      <x:c r="A9" s="88" t="str">
        <x:v>IND-003</x:v>
      </x:c>
      <x:c r="B9" s="89" t="str">
        <x:v>Import-export seaborne containers</x:v>
      </x:c>
      <x:c r="C9" s="105" t="n">
        <x:v>7.56</x:v>
      </x:c>
      <x:c r="D9" s="89" t="str">
        <x:v>m TEU</x:v>
      </x:c>
      <x:c r="E9" s="109" t="n">
        <x:v>0.16</x:v>
      </x:c>
      <x:c r="F9" s="89" t="str">
        <x:v>5M2024</x:v>
      </x:c>
      <x:c r="G9" s="89" t="str">
        <x:v>Vietnam seaports</x:v>
      </x:c>
      <x:c r="H9" s="89" t="str">
        <x:v>Official partial-year actual</x:v>
      </x:c>
      <x:c r="I9" s="89" t="str">
        <x:v>SRC-I02</x:v>
      </x:c>
      <x:c r="J9" s="89" t="str">
        <x:v>Historic sector momentum</x:v>
      </x:c>
      <x:c r="K9" s="90" t="str">
        <x:v>Partial year; not annualized in Phase 1.</x:v>
      </x:c>
    </x:row>
    <x:row r="10" ht="38" customHeight="1">
      <x:c r="A10" s="88" t="str">
        <x:v>IND-004</x:v>
      </x:c>
      <x:c r="B10" s="89" t="str">
        <x:v>Direct routes to North America from Hai Phong</x:v>
      </x:c>
      <x:c r="C10" s="105" t="n">
        <x:v>7</x:v>
      </x:c>
      <x:c r="D10" s="89" t="str">
        <x:v>routes</x:v>
      </x:c>
      <x:c r="E10" s="109"/>
      <x:c r="F10" s="89" t="str">
        <x:v>5M2024 disclosure</x:v>
      </x:c>
      <x:c r="G10" s="89" t="str">
        <x:v>Hai Phong</x:v>
      </x:c>
      <x:c r="H10" s="89" t="str">
        <x:v>Official network fact</x:v>
      </x:c>
      <x:c r="I10" s="89" t="str">
        <x:v>SRC-I02</x:v>
      </x:c>
      <x:c r="J10" s="89" t="str">
        <x:v>Northern connectivity</x:v>
      </x:c>
      <x:c r="K10" s="90" t="str">
        <x:v>Route count can change; refresh before final report.</x:v>
      </x:c>
    </x:row>
    <x:row r="11" ht="38" customHeight="1">
      <x:c r="A11" s="88" t="str">
        <x:v>IND-005</x:v>
      </x:c>
      <x:c r="B11" s="89" t="str">
        <x:v>Direct service routes from Cai Mep–Thi Vai</x:v>
      </x:c>
      <x:c r="C11" s="105" t="n">
        <x:v>35</x:v>
      </x:c>
      <x:c r="D11" s="89" t="str">
        <x:v>routes, &gt; than</x:v>
      </x:c>
      <x:c r="E11" s="109"/>
      <x:c r="F11" s="89" t="str">
        <x:v>5M2024 disclosure</x:v>
      </x:c>
      <x:c r="G11" s="89" t="str">
        <x:v>Cai Mep–Thi Vai</x:v>
      </x:c>
      <x:c r="H11" s="89" t="str">
        <x:v>Official network fact</x:v>
      </x:c>
      <x:c r="I11" s="89" t="str">
        <x:v>SRC-I02</x:v>
      </x:c>
      <x:c r="J11" s="89" t="str">
        <x:v>Southern connectivity</x:v>
      </x:c>
      <x:c r="K11" s="90" t="str">
        <x:v>Includes Europe, America and intra-Asia.</x:v>
      </x:c>
    </x:row>
    <x:row r="12" ht="38" customHeight="1">
      <x:c r="A12" s="88" t="str">
        <x:v>IND-006</x:v>
      </x:c>
      <x:c r="B12" s="89" t="str">
        <x:v>National container target — low</x:v>
      </x:c>
      <x:c r="C12" s="105" t="n">
        <x:v>48.6</x:v>
      </x:c>
      <x:c r="D12" s="89" t="str">
        <x:v>m TEU</x:v>
      </x:c>
      <x:c r="E12" s="109"/>
      <x:c r="F12" s="89" t="str">
        <x:v>2030</x:v>
      </x:c>
      <x:c r="G12" s="89" t="str">
        <x:v>Vietnam seaport plan</x:v>
      </x:c>
      <x:c r="H12" s="89" t="str">
        <x:v>Official planning target</x:v>
      </x:c>
      <x:c r="I12" s="89" t="str">
        <x:v>SRC-I03</x:v>
      </x:c>
      <x:c r="J12" s="89" t="str">
        <x:v>Long-term context</x:v>
      </x:c>
      <x:c r="K12" s="90" t="str">
        <x:v>Not a forecast or actual.</x:v>
      </x:c>
    </x:row>
    <x:row r="13" ht="38" customHeight="1">
      <x:c r="A13" s="88" t="str">
        <x:v>IND-007</x:v>
      </x:c>
      <x:c r="B13" s="89" t="str">
        <x:v>National container target — high</x:v>
      </x:c>
      <x:c r="C13" s="105" t="n">
        <x:v>57.4</x:v>
      </x:c>
      <x:c r="D13" s="89" t="str">
        <x:v>m TEU</x:v>
      </x:c>
      <x:c r="E13" s="109"/>
      <x:c r="F13" s="89" t="str">
        <x:v>2030</x:v>
      </x:c>
      <x:c r="G13" s="89" t="str">
        <x:v>Vietnam seaport plan</x:v>
      </x:c>
      <x:c r="H13" s="89" t="str">
        <x:v>Official planning target</x:v>
      </x:c>
      <x:c r="I13" s="89" t="str">
        <x:v>SRC-I03</x:v>
      </x:c>
      <x:c r="J13" s="89" t="str">
        <x:v>Long-term context</x:v>
      </x:c>
      <x:c r="K13" s="90" t="str">
        <x:v>Excludes transshipment.</x:v>
      </x:c>
    </x:row>
    <x:row r="14" ht="38" customHeight="1">
      <x:c r="A14" s="88" t="str">
        <x:v>IND-008</x:v>
      </x:c>
      <x:c r="B14" s="89" t="str">
        <x:v>Seaport Group 1 container target — low</x:v>
      </x:c>
      <x:c r="C14" s="105" t="n">
        <x:v>13</x:v>
      </x:c>
      <x:c r="D14" s="89" t="str">
        <x:v>m TEU</x:v>
      </x:c>
      <x:c r="E14" s="109"/>
      <x:c r="F14" s="89" t="str">
        <x:v>2030</x:v>
      </x:c>
      <x:c r="G14" s="89" t="str">
        <x:v>Hai Phong, Quang Ninh, Thai Binh, Nam Dinh, Ninh Binh</x:v>
      </x:c>
      <x:c r="H14" s="89" t="str">
        <x:v>Official planning target</x:v>
      </x:c>
      <x:c r="I14" s="89" t="str">
        <x:v>SRC-I04</x:v>
      </x:c>
      <x:c r="J14" s="89" t="str">
        <x:v>Northern-region context</x:v>
      </x:c>
      <x:c r="K14" s="90" t="str">
        <x:v>Not a forecast or actual.</x:v>
      </x:c>
    </x:row>
    <x:row r="15" ht="38" customHeight="1">
      <x:c r="A15" s="88" t="str">
        <x:v>IND-009</x:v>
      </x:c>
      <x:c r="B15" s="89" t="str">
        <x:v>Seaport Group 1 container target — high</x:v>
      </x:c>
      <x:c r="C15" s="105" t="n">
        <x:v>16</x:v>
      </x:c>
      <x:c r="D15" s="89" t="str">
        <x:v>m TEU</x:v>
      </x:c>
      <x:c r="E15" s="109"/>
      <x:c r="F15" s="89" t="str">
        <x:v>2030</x:v>
      </x:c>
      <x:c r="G15" s="89" t="str">
        <x:v>Hai Phong, Quang Ninh, Thai Binh, Nam Dinh, Ninh Binh</x:v>
      </x:c>
      <x:c r="H15" s="89" t="str">
        <x:v>Official planning target</x:v>
      </x:c>
      <x:c r="I15" s="89" t="str">
        <x:v>SRC-I04</x:v>
      </x:c>
      <x:c r="J15" s="89" t="str">
        <x:v>Northern-region context</x:v>
      </x:c>
      <x:c r="K15" s="90" t="str">
        <x:v>Not a forecast or actual.</x:v>
      </x:c>
    </x:row>
    <x:row r="16" ht="38" customHeight="1">
      <x:c r="A16" s="88" t="str">
        <x:v>IND-010</x:v>
      </x:c>
      <x:c r="B16" s="89" t="str">
        <x:v>Cai Mep–Thi Vai berths</x:v>
      </x:c>
      <x:c r="C16" s="105" t="n">
        <x:v>54</x:v>
      </x:c>
      <x:c r="D16" s="89" t="str">
        <x:v>berths</x:v>
      </x:c>
      <x:c r="E16" s="109"/>
      <x:c r="F16" s="89" t="str">
        <x:v>Current disclosure</x:v>
      </x:c>
      <x:c r="G16" s="89" t="str">
        <x:v>Cai Mep–Thi Vai</x:v>
      </x:c>
      <x:c r="H16" s="89" t="str">
        <x:v>Official physical fact</x:v>
      </x:c>
      <x:c r="I16" s="89" t="str">
        <x:v>SRC-I05</x:v>
      </x:c>
      <x:c r="J16" s="89" t="str">
        <x:v>Asset-cluster context</x:v>
      </x:c>
      <x:c r="K16" s="90" t="str">
        <x:v>Do not use the page's broad national-share wording without clarification.</x:v>
      </x:c>
    </x:row>
    <x:row r="17" ht="38" customHeight="1">
      <x:c r="A17" s="91" t="str">
        <x:v>IND-011</x:v>
      </x:c>
      <x:c r="B17" s="92" t="str">
        <x:v>Largest vessel received at Cai Mep–Thi Vai</x:v>
      </x:c>
      <x:c r="C17" s="107" t="n">
        <x:v>232494</x:v>
      </x:c>
      <x:c r="D17" s="92" t="str">
        <x:v>DWT</x:v>
      </x:c>
      <x:c r="E17" s="110"/>
      <x:c r="F17" s="92" t="str">
        <x:v>Current disclosure</x:v>
      </x:c>
      <x:c r="G17" s="92" t="str">
        <x:v>Cai Mep–Thi Vai</x:v>
      </x:c>
      <x:c r="H17" s="92" t="str">
        <x:v>Official physical fact</x:v>
      </x:c>
      <x:c r="I17" s="92" t="str">
        <x:v>SRC-I05</x:v>
      </x:c>
      <x:c r="J17" s="92" t="str">
        <x:v>Deep-water capability</x:v>
      </x:c>
      <x:c r="K17" s="93" t="str">
        <x:v>Vessel size is not annual capacity.</x:v>
      </x:c>
    </x:row>
  </x:sheetData>
  <x:mergeCells>
    <x:mergeCell ref="A1:K1"/>
    <x:mergeCell ref="A2:K2"/>
    <x:mergeCell ref="A4:K4"/>
  </x:mergeCells>
  <x:pageMargins left="0.7" right="0.7" top="0.75" bottom="0.75" header="0.3" footer="0.3"/>
  <x:legacyDrawing xmlns:r="http://schemas.openxmlformats.org/officeDocument/2006/relationships" r:id="R5fa83538ee9b4d50"/>
  <x:tableParts count="1">
    <x:tablePart xmlns:r="http://schemas.openxmlformats.org/officeDocument/2006/relationships" r:id="R25bbd4aa793d44d3"/>
  </x:tableParts>
</x:worksheet>
</file>

<file path=xl/worksheets/sheet7.xml><?xml version="1.0" encoding="utf-8"?>
<x:worksheet xmlns:x="http://schemas.openxmlformats.org/spreadsheetml/2006/main">
  <x:sheetViews>
    <x:sheetView showGridLines="0" workbookViewId="0"/>
  </x:sheetViews>
  <x:sheetFormatPr defaultRowHeight="15"/>
  <x:cols>
    <x:col min="1" max="1" width="10" hidden="0" customWidth="1"/>
    <x:col min="2" max="2" width="16" hidden="0" customWidth="1"/>
    <x:col min="3" max="3" width="18" hidden="0" customWidth="1"/>
    <x:col min="4" max="4" width="14" hidden="0" customWidth="1"/>
    <x:col min="5" max="5" width="16" hidden="0" customWidth="1"/>
    <x:col min="6" max="6" width="16" hidden="0" customWidth="1"/>
    <x:col min="7" max="7" width="13" hidden="0" customWidth="1"/>
    <x:col min="8" max="8" width="16" hidden="0" customWidth="1"/>
    <x:col min="9" max="9" width="15" hidden="0" customWidth="1"/>
    <x:col min="10" max="10" width="13" hidden="0" customWidth="1"/>
    <x:col min="11" max="11" width="40" hidden="0" customWidth="1"/>
  </x:cols>
  <x:sheetData>
    <x:row r="1" ht="30" customHeight="1">
      <x:c r="A1" s="4" t="str">
        <x:v>GMD Historical — Financial and Segment Evidence</x:v>
      </x:c>
      <x:c r="B1" s="4" t="str">
        <x:v>GMD Historical — Financial and Segment Evidence</x:v>
      </x:c>
      <x:c r="C1" s="4" t="str">
        <x:v>GMD Historical — Financial and Segment Evidence</x:v>
      </x:c>
      <x:c r="D1" s="4" t="str">
        <x:v>GMD Historical — Financial and Segment Evidence</x:v>
      </x:c>
      <x:c r="E1" s="4" t="str">
        <x:v>GMD Historical — Financial and Segment Evidence</x:v>
      </x:c>
      <x:c r="F1" s="4" t="str">
        <x:v>GMD Historical — Financial and Segment Evidence</x:v>
      </x:c>
      <x:c r="G1" s="4" t="str">
        <x:v>GMD Historical — Financial and Segment Evidence</x:v>
      </x:c>
      <x:c r="H1" s="4" t="str">
        <x:v>GMD Historical — Financial and Segment Evidence</x:v>
      </x:c>
      <x:c r="I1" s="4" t="str">
        <x:v>GMD Historical — Financial and Segment Evidence</x:v>
      </x:c>
      <x:c r="J1" s="4" t="str">
        <x:v>GMD Historical — Financial and Segment Evidence</x:v>
      </x:c>
      <x:c r="K1" s="4" t="str">
        <x:v>GMD Historical — Financial and Segment Evidence</x:v>
      </x:c>
    </x:row>
    <x:row r="2" ht="34" customHeight="1">
      <x:c r="A2" s="9" t="str">
        <x:v>2020 remains a legacy issuer reference. All FY2021–FY2025 financial-statement values are formula-linked to Raw GMD VNStock; segment and core-PBT disclosures link to Raw GMD Disclosures.</x:v>
      </x:c>
      <x:c r="B2" s="9" t="str">
        <x:v>Historical actuals from the 2025 Annual Report. Green cells are formulas; blue cells are disclosed inputs.</x:v>
      </x:c>
      <x:c r="C2" s="9" t="str">
        <x:v>Historical actuals from the 2025 Annual Report. Green cells are formulas; blue cells are disclosed inputs.</x:v>
      </x:c>
      <x:c r="D2" s="9" t="str">
        <x:v>Historical actuals from the 2025 Annual Report. Green cells are formulas; blue cells are disclosed inputs.</x:v>
      </x:c>
      <x:c r="E2" s="9" t="str">
        <x:v>Historical actuals from the 2025 Annual Report. Green cells are formulas; blue cells are disclosed inputs.</x:v>
      </x:c>
      <x:c r="F2" s="9" t="str">
        <x:v>Historical actuals from the 2025 Annual Report. Green cells are formulas; blue cells are disclosed inputs.</x:v>
      </x:c>
      <x:c r="G2" s="9" t="str">
        <x:v>Historical actuals from the 2025 Annual Report. Green cells are formulas; blue cells are disclosed inputs.</x:v>
      </x:c>
      <x:c r="H2" s="9" t="str">
        <x:v>Historical actuals from the 2025 Annual Report. Green cells are formulas; blue cells are disclosed inputs.</x:v>
      </x:c>
      <x:c r="I2" s="9" t="str">
        <x:v>Historical actuals from the 2025 Annual Report. Green cells are formulas; blue cells are disclosed inputs.</x:v>
      </x:c>
      <x:c r="J2" s="9" t="str">
        <x:v>Historical actuals from the 2025 Annual Report. Green cells are formulas; blue cells are disclosed inputs.</x:v>
      </x:c>
      <x:c r="K2" s="9" t="str">
        <x:v>Historical actuals from the 2025 Annual Report. Green cells are formulas; blue cells are disclosed inputs.</x:v>
      </x:c>
    </x:row>
    <x:row r="4" ht="21" customHeight="1">
      <x:c r="A4" s="13" t="str">
        <x:v>Consolidated / disclosed historical series</x:v>
      </x:c>
      <x:c r="B4" s="13" t="str">
        <x:v>Consolidated / disclosed historical series</x:v>
      </x:c>
      <x:c r="C4" s="13" t="str">
        <x:v>Consolidated / disclosed historical series</x:v>
      </x:c>
      <x:c r="D4" s="13" t="str">
        <x:v>Consolidated / disclosed historical series</x:v>
      </x:c>
      <x:c r="E4" s="13" t="str">
        <x:v>Consolidated / disclosed historical series</x:v>
      </x:c>
      <x:c r="F4" s="13" t="str">
        <x:v>Consolidated / disclosed historical series</x:v>
      </x:c>
      <x:c r="G4" s="13" t="str">
        <x:v>Consolidated / disclosed historical series</x:v>
      </x:c>
      <x:c r="H4" s="13" t="str">
        <x:v>Consolidated / disclosed historical series</x:v>
      </x:c>
      <x:c r="I4" s="13" t="str">
        <x:v>Consolidated / disclosed historical series</x:v>
      </x:c>
      <x:c r="J4" s="13" t="str">
        <x:v>Consolidated / disclosed historical series</x:v>
      </x:c>
      <x:c r="K4" s="13" t="str">
        <x:v>Consolidated / disclosed historical series</x:v>
      </x:c>
    </x:row>
    <x:row r="6" ht="32" customHeight="1">
      <x:c r="A6" s="65" t="str">
        <x:v>Year</x:v>
      </x:c>
      <x:c r="B6" s="65" t="str">
        <x:v>Net revenue</x:v>
      </x:c>
      <x:c r="C6" s="65" t="str">
        <x:v>PBT / core PBT</x:v>
      </x:c>
      <x:c r="D6" s="65" t="str">
        <x:v>PBT margin</x:v>
      </x:c>
      <x:c r="E6" s="65" t="str">
        <x:v>Total assets</x:v>
      </x:c>
      <x:c r="F6" s="65" t="str">
        <x:v>Equity</x:v>
      </x:c>
      <x:c r="G6" s="65" t="str">
        <x:v>D/E</x:v>
      </x:c>
      <x:c r="H6" s="65" t="str">
        <x:v>Debt / assets</x:v>
      </x:c>
      <x:c r="I6" s="65" t="str">
        <x:v>Interest cover</x:v>
      </x:c>
      <x:c r="J6" s="65" t="str">
        <x:v>Source ID</x:v>
      </x:c>
      <x:c r="K6" s="65" t="str">
        <x:v>Data note</x:v>
      </x:c>
    </x:row>
    <x:row r="7" ht="32" customHeight="1">
      <x:c r="A7" s="85" t="n">
        <x:v>2020</x:v>
      </x:c>
      <x:c r="B7" s="121" t="n">
        <x:v>2606</x:v>
      </x:c>
      <x:c r="C7" s="121" t="n">
        <x:v>513</x:v>
      </x:c>
      <x:c r="D7" s="124" t="n">
        <x:f>C7/B7</x:f>
        <x:v>0.19685341519570224</x:v>
      </x:c>
      <x:c r="E7" s="121" t="n">
        <x:v>9835</x:v>
      </x:c>
      <x:c r="F7" s="121" t="n">
        <x:v>6595</x:v>
      </x:c>
      <x:c r="G7" s="127" t="n">
        <x:v>0.49</x:v>
      </x:c>
      <x:c r="H7" s="127" t="n">
        <x:v>0.33</x:v>
      </x:c>
      <x:c r="I7" s="127" t="n">
        <x:v>4.5</x:v>
      </x:c>
      <x:c r="J7" s="86" t="str">
        <x:v>SRC-G01</x:v>
      </x:c>
      <x:c r="K7" s="87" t="str">
        <x:v>Reported actual</x:v>
      </x:c>
    </x:row>
    <x:row r="8" ht="32" customHeight="1">
      <x:c r="A8" s="88" t="n">
        <x:v>2021</x:v>
      </x:c>
      <x:c r="B8" s="288" t="n">
        <x:f>'Raw GMD VNStock'!E8/'Raw GMD VNStock'!$B$3</x:f>
        <x:v>3206.290165333</x:v>
      </x:c>
      <x:c r="C8" s="288" t="n">
        <x:f>'Raw GMD Disclosures'!D5</x:f>
        <x:v>806.212</x:v>
      </x:c>
      <x:c r="D8" s="109" t="n">
        <x:f>C8/B8</x:f>
        <x:v>0.25144698652570896</x:v>
      </x:c>
      <x:c r="E8" s="288" t="n">
        <x:f>'Raw GMD VNStock'!E83/'Raw GMD VNStock'!$B$3</x:f>
        <x:v>10731.211063284</x:v>
      </x:c>
      <x:c r="F8" s="288" t="n">
        <x:f>'Raw GMD VNStock'!E107/'Raw GMD VNStock'!$B$3</x:f>
        <x:v>7044.618371909</x:v>
      </x:c>
      <x:c r="G8" s="125" t="n">
        <x:f>('Raw GMD VNStock'!E86+'Raw GMD VNStock'!E101)/'Raw GMD VNStock'!E107</x:f>
        <x:v>0.27279115980007895</x:v>
      </x:c>
      <x:c r="H8" s="125" t="n">
        <x:f>('Raw GMD VNStock'!E86+'Raw GMD VNStock'!E101)/'Raw GMD VNStock'!E83</x:f>
        <x:v>0.179076676871726</x:v>
      </x:c>
      <x:c r="I8" s="368" t="n">
        <x:f>'P3 Historical IS'!C32/'P3 Historical IS'!C19</x:f>
        <x:v>7.76052008476036</x:v>
      </x:c>
      <x:c r="J8" s="89" t="str">
        <x:v>SRC-API01 / SRC-G01</x:v>
      </x:c>
      <x:c r="K8" s="90" t="str">
        <x:v>Linked to raw sheets; core PBT uses issuer normalization where disclosed.</x:v>
      </x:c>
    </x:row>
    <x:row r="9" ht="32" customHeight="1">
      <x:c r="A9" s="88" t="n">
        <x:v>2022</x:v>
      </x:c>
      <x:c r="B9" s="288" t="n">
        <x:f>'Raw GMD VNStock'!F8/'Raw GMD VNStock'!$B$3</x:f>
        <x:v>3898.24360857</x:v>
      </x:c>
      <x:c r="C9" s="288" t="n">
        <x:f>'Raw GMD Disclosures'!E5</x:f>
        <x:v>1308.478</x:v>
      </x:c>
      <x:c r="D9" s="109" t="n">
        <x:f>C9/B9</x:f>
        <x:v>0.3356583454978052</x:v>
      </x:c>
      <x:c r="E9" s="288" t="n">
        <x:f>'Raw GMD VNStock'!F83/'Raw GMD VNStock'!$B$3</x:f>
        <x:v>13030.653009572</x:v>
      </x:c>
      <x:c r="F9" s="288" t="n">
        <x:f>'Raw GMD VNStock'!F107/'Raw GMD VNStock'!$B$3</x:f>
        <x:v>7947.756019956</x:v>
      </x:c>
      <x:c r="G9" s="125" t="n">
        <x:f>('Raw GMD VNStock'!F86+'Raw GMD VNStock'!F101)/'Raw GMD VNStock'!F107</x:f>
        <x:v>0.2553649971033253</x:v>
      </x:c>
      <x:c r="H9" s="125" t="n">
        <x:f>('Raw GMD VNStock'!F86+'Raw GMD VNStock'!F101)/'Raw GMD VNStock'!F83</x:f>
        <x:v>0.155754181430748</x:v>
      </x:c>
      <x:c r="I9" s="368" t="n">
        <x:f>'P3 Historical IS'!D32/'P3 Historical IS'!D19</x:f>
        <x:v>11.006944358055453</x:v>
      </x:c>
      <x:c r="J9" s="89" t="str">
        <x:v>SRC-API01 / SRC-G01</x:v>
      </x:c>
      <x:c r="K9" s="90" t="str">
        <x:v>Linked to raw sheets; core PBT uses issuer normalization where disclosed.</x:v>
      </x:c>
    </x:row>
    <x:row r="10" ht="32" customHeight="1">
      <x:c r="A10" s="88" t="n">
        <x:v>2023</x:v>
      </x:c>
      <x:c r="B10" s="288" t="n">
        <x:f>'Raw GMD VNStock'!G8/'Raw GMD VNStock'!$B$3</x:f>
        <x:v>3845.826296568</x:v>
      </x:c>
      <x:c r="C10" s="288" t="n">
        <x:f>'Raw GMD Disclosures'!F5</x:f>
        <x:v>1307</x:v>
      </x:c>
      <x:c r="D10" s="109" t="n">
        <x:f>C10/B10</x:f>
        <x:v>0.3398489425188968</x:v>
      </x:c>
      <x:c r="E10" s="288" t="n">
        <x:f>'Raw GMD VNStock'!G83/'Raw GMD VNStock'!$B$3</x:f>
        <x:v>13546.025168428</x:v>
      </x:c>
      <x:c r="F10" s="288" t="n">
        <x:f>'Raw GMD VNStock'!G107/'Raw GMD VNStock'!$B$3</x:f>
        <x:v>9732.374052019</x:v>
      </x:c>
      <x:c r="G10" s="125" t="n">
        <x:f>('Raw GMD VNStock'!G86+'Raw GMD VNStock'!G101)/'Raw GMD VNStock'!G107</x:f>
        <x:v>0.20177481834410346</x:v>
      </x:c>
      <x:c r="H10" s="125" t="n">
        <x:f>('Raw GMD VNStock'!G86+'Raw GMD VNStock'!G101)/'Raw GMD VNStock'!G83</x:f>
        <x:v>0.14496857801356725</x:v>
      </x:c>
      <x:c r="I10" s="368" t="n">
        <x:f>'P3 Historical IS'!E32/'P3 Historical IS'!E19</x:f>
        <x:v>10.681973565134351</x:v>
      </x:c>
      <x:c r="J10" s="89" t="str">
        <x:v>SRC-API01 / SRC-G01</x:v>
      </x:c>
      <x:c r="K10" s="90" t="str">
        <x:v>Linked to raw sheets; core PBT uses issuer normalization where disclosed.</x:v>
      </x:c>
    </x:row>
    <x:row r="11" ht="32" customHeight="1">
      <x:c r="A11" s="88" t="n">
        <x:v>2024</x:v>
      </x:c>
      <x:c r="B11" s="288" t="n">
        <x:f>'Raw GMD VNStock'!H8/'Raw GMD VNStock'!$B$3</x:f>
        <x:v>4832.024798961</x:v>
      </x:c>
      <x:c r="C11" s="288" t="n">
        <x:f>'Raw GMD Disclosures'!G5</x:f>
        <x:v>1781</x:v>
      </x:c>
      <x:c r="D11" s="109" t="n">
        <x:f>C11/B11</x:f>
        <x:v>0.36858254543373975</x:v>
      </x:c>
      <x:c r="E11" s="288" t="n">
        <x:f>'Raw GMD VNStock'!H83/'Raw GMD VNStock'!$B$3</x:f>
        <x:v>17997.853312717</x:v>
      </x:c>
      <x:c r="F11" s="288" t="n">
        <x:f>'Raw GMD VNStock'!H107/'Raw GMD VNStock'!$B$3</x:f>
        <x:v>13771.926002556</x:v>
      </x:c>
      <x:c r="G11" s="125" t="n">
        <x:f>('Raw GMD VNStock'!H86+'Raw GMD VNStock'!H101)/'Raw GMD VNStock'!H107</x:f>
        <x:v>0.15737691151591612</x:v>
      </x:c>
      <x:c r="H11" s="125" t="n">
        <x:f>('Raw GMD VNStock'!H86+'Raw GMD VNStock'!H101)/'Raw GMD VNStock'!H83</x:f>
        <x:v>0.12042453854074703</x:v>
      </x:c>
      <x:c r="I11" s="368" t="n">
        <x:f>'P3 Historical IS'!F32/'P3 Historical IS'!F19</x:f>
        <x:v>13.768169022452458</x:v>
      </x:c>
      <x:c r="J11" s="89" t="str">
        <x:v>SRC-API01 / SRC-G01</x:v>
      </x:c>
      <x:c r="K11" s="90" t="str">
        <x:v>Linked to raw sheets; core PBT uses issuer normalization where disclosed.</x:v>
      </x:c>
    </x:row>
    <x:row r="12" ht="32" customHeight="1">
      <x:c r="A12" s="91" t="n">
        <x:v>2025</x:v>
      </x:c>
      <x:c r="B12" s="360" t="n">
        <x:f>'Raw GMD VNStock'!I8/'Raw GMD VNStock'!$B$3</x:f>
        <x:v>5956.025297015</x:v>
      </x:c>
      <x:c r="C12" s="360" t="n">
        <x:f>'Raw GMD Disclosures'!H5</x:f>
        <x:v>2520.827</x:v>
      </x:c>
      <x:c r="D12" s="110" t="n">
        <x:f>C12/B12</x:f>
        <x:v>0.42323980747082635</x:v>
      </x:c>
      <x:c r="E12" s="360" t="n">
        <x:f>'Raw GMD VNStock'!I83/'Raw GMD VNStock'!$B$3</x:f>
        <x:v>19826.401375577</x:v>
      </x:c>
      <x:c r="F12" s="360" t="n">
        <x:f>'Raw GMD VNStock'!I107/'Raw GMD VNStock'!$B$3</x:f>
        <x:v>14918.254153163</x:v>
      </x:c>
      <x:c r="G12" s="126" t="n">
        <x:f>('Raw GMD VNStock'!I86+'Raw GMD VNStock'!I101)/'Raw GMD VNStock'!I107</x:f>
        <x:v>0.160150272988173</x:v>
      </x:c>
      <x:c r="H12" s="126" t="n">
        <x:f>('Raw GMD VNStock'!I86+'Raw GMD VNStock'!I101)/'Raw GMD VNStock'!I83</x:f>
        <x:v>0.12050409097835936</x:v>
      </x:c>
      <x:c r="I12" s="369" t="n">
        <x:f>'P3 Historical IS'!G32/'P3 Historical IS'!G19</x:f>
        <x:v>23.391279444272957</x:v>
      </x:c>
      <x:c r="J12" s="92" t="str">
        <x:v>SRC-API01 / SRC-G01</x:v>
      </x:c>
      <x:c r="K12" s="93" t="str">
        <x:v>Linked to raw sheets; core PBT uses issuer normalization where disclosed.</x:v>
      </x:c>
    </x:row>
    <x:row r="15" ht="21" customHeight="1">
      <x:c r="A15" s="13" t="str">
        <x:v>Revenue mix and operating-cost disclosures</x:v>
      </x:c>
      <x:c r="B15" s="13" t="str">
        <x:v>Revenue mix and operating-cost disclosures</x:v>
      </x:c>
      <x:c r="C15" s="13" t="str">
        <x:v>Revenue mix and operating-cost disclosures</x:v>
      </x:c>
      <x:c r="D15" s="13" t="str">
        <x:v>Revenue mix and operating-cost disclosures</x:v>
      </x:c>
      <x:c r="E15" s="13" t="str">
        <x:v>Revenue mix and operating-cost disclosures</x:v>
      </x:c>
      <x:c r="F15" s="13" t="str">
        <x:v>Revenue mix and operating-cost disclosures</x:v>
      </x:c>
      <x:c r="G15" s="13" t="str">
        <x:v>Revenue mix and operating-cost disclosures</x:v>
      </x:c>
      <x:c r="H15" s="13" t="str">
        <x:v>Revenue mix and operating-cost disclosures</x:v>
      </x:c>
      <x:c r="I15" s="13" t="str">
        <x:v>Revenue mix and operating-cost disclosures</x:v>
      </x:c>
      <x:c r="J15" s="13" t="str">
        <x:v>Revenue mix and operating-cost disclosures</x:v>
      </x:c>
      <x:c r="K15" s="13" t="str">
        <x:v>Revenue mix and operating-cost disclosures</x:v>
      </x:c>
    </x:row>
    <x:row r="17" ht="32" customHeight="1">
      <x:c r="A17" s="65" t="str">
        <x:v>Year</x:v>
      </x:c>
      <x:c r="B17" s="65" t="str">
        <x:v>Port revenue</x:v>
      </x:c>
      <x:c r="C17" s="65" t="str">
        <x:v>Logistics revenue</x:v>
      </x:c>
      <x:c r="D17" s="65" t="str">
        <x:v>Port mix</x:v>
      </x:c>
      <x:c r="E17" s="65" t="str">
        <x:v>COGS</x:v>
      </x:c>
      <x:c r="F17" s="65" t="str">
        <x:v>Selling expense</x:v>
      </x:c>
      <x:c r="G17" s="65" t="str">
        <x:v>G&amp;A</x:v>
      </x:c>
      <x:c r="H17" s="65" t="str">
        <x:v>Interest expense</x:v>
      </x:c>
      <x:c r="I17" s="65" t="str">
        <x:v>Source ID</x:v>
      </x:c>
    </x:row>
    <x:row r="18" ht="29" customHeight="1">
      <x:c r="A18" s="85" t="n">
        <x:v>2021</x:v>
      </x:c>
      <x:c r="B18" s="287" t="n">
        <x:f>'Raw GMD Disclosures'!D7</x:f>
        <x:v>2762.788218</x:v>
      </x:c>
      <x:c r="C18" s="287" t="n">
        <x:f>'Raw GMD Disclosures'!D8</x:f>
        <x:v>429.904936</x:v>
      </x:c>
      <x:c r="D18" s="111" t="n">
        <x:f>B18/SUM(B18:C18)</x:f>
        <x:v>0.8653472428249521</x:v>
      </x:c>
      <x:c r="E18" s="287" t="n">
        <x:f>-'Raw GMD VNStock'!E9/'Raw GMD VNStock'!$B$3</x:f>
        <x:v>2064.489230639</x:v>
      </x:c>
      <x:c r="F18" s="287" t="n">
        <x:f>-'Raw GMD VNStock'!E14/'Raw GMD VNStock'!$B$3</x:f>
        <x:v>154.146091638</x:v>
      </x:c>
      <x:c r="G18" s="287" t="n">
        <x:f>-'Raw GMD VNStock'!E15/'Raw GMD VNStock'!$B$3</x:f>
        <x:v>294.784653891</x:v>
      </x:c>
      <x:c r="H18" s="287" t="n">
        <x:f>-'Raw GMD VNStock'!E13/'Raw GMD VNStock'!$B$3</x:f>
        <x:v>119.252955378</x:v>
      </x:c>
      <x:c r="I18" s="86" t="str">
        <x:v>SRC-API01 / issuer AR</x:v>
      </x:c>
    </x:row>
    <x:row r="19" ht="29" customHeight="1">
      <x:c r="A19" s="88" t="n">
        <x:v>2022</x:v>
      </x:c>
      <x:c r="B19" s="288" t="n">
        <x:f>'Raw GMD Disclosures'!E7</x:f>
        <x:v>3086.178236</x:v>
      </x:c>
      <x:c r="C19" s="288" t="n">
        <x:f>'Raw GMD Disclosures'!E8</x:f>
        <x:v>810.822008</x:v>
      </x:c>
      <x:c r="D19" s="109" t="n">
        <x:f>B19/SUM(B19:C19)</x:f>
        <x:v>0.7919368854933025</x:v>
      </x:c>
      <x:c r="E19" s="288" t="n">
        <x:f>-'Raw GMD VNStock'!F9/'Raw GMD VNStock'!$B$3</x:f>
        <x:v>2180.183031483</x:v>
      </x:c>
      <x:c r="F19" s="288" t="n">
        <x:f>-'Raw GMD VNStock'!F14/'Raw GMD VNStock'!$B$3</x:f>
        <x:v>142.172449496</x:v>
      </x:c>
      <x:c r="G19" s="288" t="n">
        <x:f>-'Raw GMD VNStock'!F15/'Raw GMD VNStock'!$B$3</x:f>
        <x:v>524.441250459</x:v>
      </x:c>
      <x:c r="H19" s="288" t="n">
        <x:f>-'Raw GMD VNStock'!F13/'Raw GMD VNStock'!$B$3</x:f>
        <x:v>130.756997659</x:v>
      </x:c>
      <x:c r="I19" s="89" t="str">
        <x:v>SRC-API01 / issuer AR</x:v>
      </x:c>
    </x:row>
    <x:row r="20" ht="29" customHeight="1">
      <x:c r="A20" s="88" t="n">
        <x:v>2023</x:v>
      </x:c>
      <x:c r="B20" s="288" t="n">
        <x:f>'Raw GMD Disclosures'!F7</x:f>
        <x:v>2908.540764</x:v>
      </x:c>
      <x:c r="C20" s="288" t="n">
        <x:f>'Raw GMD Disclosures'!F8</x:f>
        <x:v>935.815647</x:v>
      </x:c>
      <x:c r="D20" s="109" t="n">
        <x:f>B20/SUM(B20:C20)</x:f>
        <x:v>0.7565741708228936</x:v>
      </x:c>
      <x:c r="E20" s="288" t="n">
        <x:f>-'Raw GMD VNStock'!G9/'Raw GMD VNStock'!$B$3</x:f>
        <x:v>2067.811109265</x:v>
      </x:c>
      <x:c r="F20" s="288" t="n">
        <x:f>-'Raw GMD VNStock'!G14/'Raw GMD VNStock'!$B$3</x:f>
        <x:v>109.543154417</x:v>
      </x:c>
      <x:c r="G20" s="288" t="n">
        <x:f>-'Raw GMD VNStock'!G15/'Raw GMD VNStock'!$B$3</x:f>
        <x:v>551.943343263</x:v>
      </x:c>
      <x:c r="H20" s="288" t="n">
        <x:f>-'Raw GMD VNStock'!G13/'Raw GMD VNStock'!$B$3</x:f>
        <x:v>134.993138662</x:v>
      </x:c>
      <x:c r="I20" s="89" t="str">
        <x:v>SRC-API01 / issuer AR</x:v>
      </x:c>
    </x:row>
    <x:row r="21" ht="29" customHeight="1">
      <x:c r="A21" s="88" t="n">
        <x:v>2024</x:v>
      </x:c>
      <x:c r="B21" s="288" t="n">
        <x:f>'Raw GMD Disclosures'!G7</x:f>
        <x:v>4190.786438</x:v>
      </x:c>
      <x:c r="C21" s="288" t="n">
        <x:f>'Raw GMD Disclosures'!G8</x:f>
        <x:v>630.775427</x:v>
      </x:c>
      <x:c r="D21" s="109" t="n">
        <x:f>B21/SUM(B21:C21)</x:f>
        <x:v>0.8691761207962848</x:v>
      </x:c>
      <x:c r="E21" s="288" t="n">
        <x:f>-'Raw GMD VNStock'!H9/'Raw GMD VNStock'!$B$3</x:f>
        <x:v>2696.544401941</x:v>
      </x:c>
      <x:c r="F21" s="288" t="n">
        <x:f>-'Raw GMD VNStock'!H14/'Raw GMD VNStock'!$B$3</x:f>
        <x:v>247.200313981</x:v>
      </x:c>
      <x:c r="G21" s="288" t="n">
        <x:f>-'Raw GMD VNStock'!H15/'Raw GMD VNStock'!$B$3</x:f>
        <x:v>574.83848571</x:v>
      </x:c>
      <x:c r="H21" s="288" t="n">
        <x:f>-'Raw GMD VNStock'!H13/'Raw GMD VNStock'!$B$3</x:f>
        <x:v>139.487501839</x:v>
      </x:c>
      <x:c r="I21" s="89" t="str">
        <x:v>SRC-API01 / issuer AR</x:v>
      </x:c>
    </x:row>
    <x:row r="22" ht="29" customHeight="1">
      <x:c r="A22" s="91" t="n">
        <x:v>2025</x:v>
      </x:c>
      <x:c r="B22" s="360" t="n">
        <x:f>'Raw GMD Disclosures'!H7</x:f>
        <x:v>5254.22761</x:v>
      </x:c>
      <x:c r="C22" s="360" t="n">
        <x:f>'Raw GMD Disclosures'!H8</x:f>
        <x:v>693.74057</x:v>
      </x:c>
      <x:c r="D22" s="110" t="n">
        <x:f>B22/SUM(B22:C22)</x:f>
        <x:v>0.8833651174643641</x:v>
      </x:c>
      <x:c r="E22" s="360" t="n">
        <x:f>-'Raw GMD VNStock'!I9/'Raw GMD VNStock'!$B$3</x:f>
        <x:v>3216.552758085</x:v>
      </x:c>
      <x:c r="F22" s="360" t="n">
        <x:f>-'Raw GMD VNStock'!I14/'Raw GMD VNStock'!$B$3</x:f>
        <x:v>481.965603944</x:v>
      </x:c>
      <x:c r="G22" s="360" t="n">
        <x:f>-'Raw GMD VNStock'!I15/'Raw GMD VNStock'!$B$3</x:f>
        <x:v>610.544456639</x:v>
      </x:c>
      <x:c r="H22" s="360" t="n">
        <x:f>-'Raw GMD VNStock'!I13/'Raw GMD VNStock'!$B$3</x:f>
        <x:v>112.580748513</x:v>
      </x:c>
      <x:c r="I22" s="92" t="str">
        <x:v>SRC-API01 / issuer AR</x:v>
      </x:c>
    </x:row>
  </x:sheetData>
  <x:mergeCells>
    <x:mergeCell ref="A1:K1"/>
    <x:mergeCell ref="A2:K2"/>
    <x:mergeCell ref="A4:K4"/>
    <x:mergeCell ref="A15:K15"/>
  </x:mergeCells>
  <x:pageMargins left="0.7" right="0.7" top="0.75" bottom="0.75" header="0.3" footer="0.3"/>
  <x:legacyDrawing xmlns:r="http://schemas.openxmlformats.org/officeDocument/2006/relationships" r:id="R5d8fd52dfabb45c5"/>
  <x:tableParts count="2">
    <x:tablePart xmlns:r="http://schemas.openxmlformats.org/officeDocument/2006/relationships" r:id="R9b735d12edd74785"/>
    <x:tablePart xmlns:r="http://schemas.openxmlformats.org/officeDocument/2006/relationships" r:id="Rf3a5d588e3fb4f8e"/>
  </x:tableParts>
</x:worksheet>
</file>

<file path=xl/worksheets/sheet8.xml><?xml version="1.0" encoding="utf-8"?>
<x:worksheet xmlns:x="http://schemas.openxmlformats.org/spreadsheetml/2006/main">
  <x:sheetViews>
    <x:sheetView showGridLines="0" workbookViewId="0"/>
  </x:sheetViews>
  <x:sheetFormatPr defaultRowHeight="15"/>
  <x:cols>
    <x:col min="1" max="1" width="13" hidden="0" customWidth="1"/>
    <x:col min="2" max="2" width="31" hidden="0" customWidth="1"/>
    <x:col min="3" max="3" width="13" hidden="0" customWidth="1"/>
    <x:col min="4" max="4" width="27" hidden="0" customWidth="1"/>
    <x:col min="5" max="5" width="15" hidden="0" customWidth="1"/>
    <x:col min="6" max="6" width="14" hidden="0" customWidth="1"/>
    <x:col min="7" max="7" width="24" hidden="0" customWidth="1"/>
    <x:col min="8" max="8" width="21" hidden="0" customWidth="1"/>
    <x:col min="9" max="9" width="19" hidden="0" customWidth="1"/>
    <x:col min="10" max="10" width="54" hidden="0" customWidth="1"/>
  </x:cols>
  <x:sheetData>
    <x:row r="1" ht="30" customHeight="1">
      <x:c r="A1" s="4" t="str">
        <x:v>GMD Operations — Throughput, Capacity and Asset Facts</x:v>
      </x:c>
      <x:c r="B1" s="4" t="str">
        <x:v>GMD Operations — Throughput, Capacity and Asset Facts</x:v>
      </x:c>
      <x:c r="C1" s="4" t="str">
        <x:v>GMD Operations — Throughput, Capacity and Asset Facts</x:v>
      </x:c>
      <x:c r="D1" s="4" t="str">
        <x:v>GMD Operations — Throughput, Capacity and Asset Facts</x:v>
      </x:c>
      <x:c r="E1" s="4" t="str">
        <x:v>GMD Operations — Throughput, Capacity and Asset Facts</x:v>
      </x:c>
      <x:c r="F1" s="4" t="str">
        <x:v>GMD Operations — Throughput, Capacity and Asset Facts</x:v>
      </x:c>
      <x:c r="G1" s="4" t="str">
        <x:v>GMD Operations — Throughput, Capacity and Asset Facts</x:v>
      </x:c>
      <x:c r="H1" s="4" t="str">
        <x:v>GMD Operations — Throughput, Capacity and Asset Facts</x:v>
      </x:c>
      <x:c r="I1" s="4" t="str">
        <x:v>GMD Operations — Throughput, Capacity and Asset Facts</x:v>
      </x:c>
      <x:c r="J1" s="4" t="str">
        <x:v>GMD Operations — Throughput, Capacity and Asset Facts</x:v>
      </x:c>
    </x:row>
    <x:row r="2" ht="34" customHeight="1">
      <x:c r="A2" s="9" t="str">
        <x:v>The sheet preserves each disclosed unit and definition. Two Nam Dinh Vu Phase 3 capacity figures are shown deliberately as an unresolved source variance.</x:v>
      </x:c>
      <x:c r="B2" s="9" t="str">
        <x:v>The sheet preserves each disclosed unit and definition. Two Nam Dinh Vu Phase 3 capacity figures are shown deliberately as an unresolved source variance.</x:v>
      </x:c>
      <x:c r="C2" s="9" t="str">
        <x:v>The sheet preserves each disclosed unit and definition. Two Nam Dinh Vu Phase 3 capacity figures are shown deliberately as an unresolved source variance.</x:v>
      </x:c>
      <x:c r="D2" s="9" t="str">
        <x:v>The sheet preserves each disclosed unit and definition. Two Nam Dinh Vu Phase 3 capacity figures are shown deliberately as an unresolved source variance.</x:v>
      </x:c>
      <x:c r="E2" s="9" t="str">
        <x:v>The sheet preserves each disclosed unit and definition. Two Nam Dinh Vu Phase 3 capacity figures are shown deliberately as an unresolved source variance.</x:v>
      </x:c>
      <x:c r="F2" s="9" t="str">
        <x:v>The sheet preserves each disclosed unit and definition. Two Nam Dinh Vu Phase 3 capacity figures are shown deliberately as an unresolved source variance.</x:v>
      </x:c>
      <x:c r="G2" s="9" t="str">
        <x:v>The sheet preserves each disclosed unit and definition. Two Nam Dinh Vu Phase 3 capacity figures are shown deliberately as an unresolved source variance.</x:v>
      </x:c>
      <x:c r="H2" s="9" t="str">
        <x:v>The sheet preserves each disclosed unit and definition. Two Nam Dinh Vu Phase 3 capacity figures are shown deliberately as an unresolved source variance.</x:v>
      </x:c>
      <x:c r="I2" s="9" t="str">
        <x:v>The sheet preserves each disclosed unit and definition. Two Nam Dinh Vu Phase 3 capacity figures are shown deliberately as an unresolved source variance.</x:v>
      </x:c>
      <x:c r="J2" s="9" t="str">
        <x:v>The sheet preserves each disclosed unit and definition. Two Nam Dinh Vu Phase 3 capacity figures are shown deliberately as an unresolved source variance.</x:v>
      </x:c>
    </x:row>
    <x:row r="4" ht="21" customHeight="1">
      <x:c r="A4" s="13" t="str">
        <x:v>Verified operating facts</x:v>
      </x:c>
      <x:c r="B4" s="13" t="str">
        <x:v>Verified operating facts</x:v>
      </x:c>
      <x:c r="C4" s="13" t="str">
        <x:v>Verified operating facts</x:v>
      </x:c>
      <x:c r="D4" s="13" t="str">
        <x:v>Verified operating facts</x:v>
      </x:c>
      <x:c r="E4" s="13" t="str">
        <x:v>Verified operating facts</x:v>
      </x:c>
      <x:c r="F4" s="13" t="str">
        <x:v>Verified operating facts</x:v>
      </x:c>
      <x:c r="G4" s="13" t="str">
        <x:v>Verified operating facts</x:v>
      </x:c>
      <x:c r="H4" s="13" t="str">
        <x:v>Verified operating facts</x:v>
      </x:c>
      <x:c r="I4" s="13" t="str">
        <x:v>Verified operating facts</x:v>
      </x:c>
      <x:c r="J4" s="13" t="str">
        <x:v>Verified operating facts</x:v>
      </x:c>
    </x:row>
    <x:row r="6" ht="32" customHeight="1">
      <x:c r="A6" s="65" t="str">
        <x:v>Data ID</x:v>
      </x:c>
      <x:c r="B6" s="65" t="str">
        <x:v>Asset / cluster</x:v>
      </x:c>
      <x:c r="C6" s="65" t="str">
        <x:v>Region</x:v>
      </x:c>
      <x:c r="D6" s="65" t="str">
        <x:v>Metric</x:v>
      </x:c>
      <x:c r="E6" s="65" t="str">
        <x:v>Value</x:v>
      </x:c>
      <x:c r="F6" s="65" t="str">
        <x:v>Unit</x:v>
      </x:c>
      <x:c r="G6" s="65" t="str">
        <x:v>Period / status</x:v>
      </x:c>
      <x:c r="H6" s="65" t="str">
        <x:v>Data class</x:v>
      </x:c>
      <x:c r="I6" s="65" t="str">
        <x:v>Source ID</x:v>
      </x:c>
      <x:c r="J6" s="65" t="str">
        <x:v>Audit note</x:v>
      </x:c>
    </x:row>
    <x:row r="7" ht="36" customHeight="1">
      <x:c r="A7" s="85" t="str">
        <x:v>GMD-OP-01</x:v>
      </x:c>
      <x:c r="B7" s="86" t="str">
        <x:v>System</x:v>
      </x:c>
      <x:c r="C7" s="86" t="str">
        <x:v>Vietnam</x:v>
      </x:c>
      <x:c r="D7" s="86" t="str">
        <x:v>Container throughput</x:v>
      </x:c>
      <x:c r="E7" s="136" t="n">
        <x:v>5.079</x:v>
      </x:c>
      <x:c r="F7" s="86" t="str">
        <x:v>m TEU</x:v>
      </x:c>
      <x:c r="G7" s="86" t="str">
        <x:v>FY2025</x:v>
      </x:c>
      <x:c r="H7" s="86" t="str">
        <x:v>Actual</x:v>
      </x:c>
      <x:c r="I7" s="86" t="str">
        <x:v>SRC-G01</x:v>
      </x:c>
      <x:c r="J7" s="87" t="str">
        <x:v>Annual-report chart; exceeds 5m TEU.</x:v>
      </x:c>
    </x:row>
    <x:row r="8" ht="36" customHeight="1">
      <x:c r="A8" s="88" t="str">
        <x:v>GMD-OP-02</x:v>
      </x:c>
      <x:c r="B8" s="89" t="str">
        <x:v>System</x:v>
      </x:c>
      <x:c r="C8" s="89" t="str">
        <x:v>Vietnam</x:v>
      </x:c>
      <x:c r="D8" s="89" t="str">
        <x:v>National market share</x:v>
      </x:c>
      <x:c r="E8" s="116" t="n">
        <x:v>0.15</x:v>
      </x:c>
      <x:c r="F8" s="89" t="str">
        <x:v>share</x:v>
      </x:c>
      <x:c r="G8" s="89" t="str">
        <x:v>FY2025</x:v>
      </x:c>
      <x:c r="H8" s="89" t="str">
        <x:v>Issuer estimate</x:v>
      </x:c>
      <x:c r="I8" s="89" t="str">
        <x:v>SRC-G01</x:v>
      </x:c>
      <x:c r="J8" s="90" t="str">
        <x:v>Approximate share disclosed by company.</x:v>
      </x:c>
    </x:row>
    <x:row r="9" ht="36" customHeight="1">
      <x:c r="A9" s="88" t="str">
        <x:v>GMD-OP-03</x:v>
      </x:c>
      <x:c r="B9" s="89" t="str">
        <x:v>System</x:v>
      </x:c>
      <x:c r="C9" s="89" t="str">
        <x:v>Vietnam</x:v>
      </x:c>
      <x:c r="D9" s="89" t="str">
        <x:v>Container throughput</x:v>
      </x:c>
      <x:c r="E9" s="137" t="n">
        <x:v>1.233</x:v>
      </x:c>
      <x:c r="F9" s="89" t="str">
        <x:v>m TEU</x:v>
      </x:c>
      <x:c r="G9" s="89" t="str">
        <x:v>Q1 2026</x:v>
      </x:c>
      <x:c r="H9" s="89" t="str">
        <x:v>Actual</x:v>
      </x:c>
      <x:c r="I9" s="89" t="str">
        <x:v>SRC-G02</x:v>
      </x:c>
      <x:c r="J9" s="90" t="str">
        <x:v>Approximately +8% YoY.</x:v>
      </x:c>
    </x:row>
    <x:row r="10" ht="36" customHeight="1">
      <x:c r="A10" s="88" t="str">
        <x:v>GMD-OP-04</x:v>
      </x:c>
      <x:c r="B10" s="89" t="str">
        <x:v>Northern ports</x:v>
      </x:c>
      <x:c r="C10" s="89" t="str">
        <x:v>North</x:v>
      </x:c>
      <x:c r="D10" s="89" t="str">
        <x:v>Container throughput</x:v>
      </x:c>
      <x:c r="E10" s="137" t="n">
        <x:v>0.327</x:v>
      </x:c>
      <x:c r="F10" s="89" t="str">
        <x:v>m TEU</x:v>
      </x:c>
      <x:c r="G10" s="89" t="str">
        <x:v>Q1 2026</x:v>
      </x:c>
      <x:c r="H10" s="89" t="str">
        <x:v>Actual</x:v>
      </x:c>
      <x:c r="I10" s="89" t="str">
        <x:v>SRC-G02</x:v>
      </x:c>
      <x:c r="J10" s="90" t="str">
        <x:v>Regional map disclosure.</x:v>
      </x:c>
    </x:row>
    <x:row r="11" ht="36" customHeight="1">
      <x:c r="A11" s="88" t="str">
        <x:v>GMD-OP-05</x:v>
      </x:c>
      <x:c r="B11" s="89" t="str">
        <x:v>Northern ports</x:v>
      </x:c>
      <x:c r="C11" s="89" t="str">
        <x:v>North</x:v>
      </x:c>
      <x:c r="D11" s="89" t="str">
        <x:v>Market share</x:v>
      </x:c>
      <x:c r="E11" s="116" t="n">
        <x:v>0.165</x:v>
      </x:c>
      <x:c r="F11" s="89" t="str">
        <x:v>share</x:v>
      </x:c>
      <x:c r="G11" s="89" t="str">
        <x:v>Q1 2026</x:v>
      </x:c>
      <x:c r="H11" s="89" t="str">
        <x:v>Issuer estimate</x:v>
      </x:c>
      <x:c r="I11" s="89" t="str">
        <x:v>SRC-G02</x:v>
      </x:c>
      <x:c r="J11" s="90" t="str">
        <x:v>Regional map disclosure.</x:v>
      </x:c>
    </x:row>
    <x:row r="12" ht="36" customHeight="1">
      <x:c r="A12" s="88" t="str">
        <x:v>GMD-OP-06</x:v>
      </x:c>
      <x:c r="B12" s="89" t="str">
        <x:v>Dung Quat / Central</x:v>
      </x:c>
      <x:c r="C12" s="89" t="str">
        <x:v>Central</x:v>
      </x:c>
      <x:c r="D12" s="89" t="str">
        <x:v>Cargo throughput</x:v>
      </x:c>
      <x:c r="E12" s="137" t="n">
        <x:v>0.696</x:v>
      </x:c>
      <x:c r="F12" s="89" t="str">
        <x:v>mn tonnes</x:v>
      </x:c>
      <x:c r="G12" s="89" t="str">
        <x:v>Q1 2026</x:v>
      </x:c>
      <x:c r="H12" s="89" t="str">
        <x:v>Actual</x:v>
      </x:c>
      <x:c r="I12" s="89" t="str">
        <x:v>SRC-G02</x:v>
      </x:c>
      <x:c r="J12" s="90" t="str">
        <x:v>Unit is tonnes, not TEU.</x:v>
      </x:c>
    </x:row>
    <x:row r="13" ht="36" customHeight="1">
      <x:c r="A13" s="88" t="str">
        <x:v>GMD-OP-07</x:v>
      </x:c>
      <x:c r="B13" s="89" t="str">
        <x:v>Dung Quat / Central</x:v>
      </x:c>
      <x:c r="C13" s="89" t="str">
        <x:v>Central</x:v>
      </x:c>
      <x:c r="D13" s="89" t="str">
        <x:v>Market share</x:v>
      </x:c>
      <x:c r="E13" s="116" t="n">
        <x:v>0.403</x:v>
      </x:c>
      <x:c r="F13" s="89" t="str">
        <x:v>share</x:v>
      </x:c>
      <x:c r="G13" s="89" t="str">
        <x:v>Q1 2026</x:v>
      </x:c>
      <x:c r="H13" s="89" t="str">
        <x:v>Issuer estimate</x:v>
      </x:c>
      <x:c r="I13" s="89" t="str">
        <x:v>SRC-G02</x:v>
      </x:c>
      <x:c r="J13" s="90" t="str">
        <x:v>Regional map disclosure.</x:v>
      </x:c>
    </x:row>
    <x:row r="14" ht="36" customHeight="1">
      <x:c r="A14" s="88" t="str">
        <x:v>GMD-OP-08</x:v>
      </x:c>
      <x:c r="B14" s="89" t="str">
        <x:v>Southern ports / ICDs</x:v>
      </x:c>
      <x:c r="C14" s="89" t="str">
        <x:v>South</x:v>
      </x:c>
      <x:c r="D14" s="89" t="str">
        <x:v>Container throughput</x:v>
      </x:c>
      <x:c r="E14" s="137" t="n">
        <x:v>0.905</x:v>
      </x:c>
      <x:c r="F14" s="89" t="str">
        <x:v>m TEU</x:v>
      </x:c>
      <x:c r="G14" s="89" t="str">
        <x:v>Q1 2026</x:v>
      </x:c>
      <x:c r="H14" s="89" t="str">
        <x:v>Actual</x:v>
      </x:c>
      <x:c r="I14" s="89" t="str">
        <x:v>SRC-G02</x:v>
      </x:c>
      <x:c r="J14" s="90" t="str">
        <x:v>Regional map disclosure.</x:v>
      </x:c>
    </x:row>
    <x:row r="15" ht="36" customHeight="1">
      <x:c r="A15" s="88" t="str">
        <x:v>GMD-OP-09</x:v>
      </x:c>
      <x:c r="B15" s="89" t="str">
        <x:v>Southern ports / ICDs</x:v>
      </x:c>
      <x:c r="C15" s="89" t="str">
        <x:v>South</x:v>
      </x:c>
      <x:c r="D15" s="89" t="str">
        <x:v>Market share</x:v>
      </x:c>
      <x:c r="E15" s="116" t="n">
        <x:v>0.27</x:v>
      </x:c>
      <x:c r="F15" s="89" t="str">
        <x:v>share</x:v>
      </x:c>
      <x:c r="G15" s="89" t="str">
        <x:v>Q1 2026</x:v>
      </x:c>
      <x:c r="H15" s="89" t="str">
        <x:v>Issuer estimate</x:v>
      </x:c>
      <x:c r="I15" s="89" t="str">
        <x:v>SRC-G02</x:v>
      </x:c>
      <x:c r="J15" s="90" t="str">
        <x:v>Regional map disclosure.</x:v>
      </x:c>
    </x:row>
    <x:row r="16" ht="36" customHeight="1">
      <x:c r="A16" s="88" t="str">
        <x:v>GMD-OP-10</x:v>
      </x:c>
      <x:c r="B16" s="89" t="str">
        <x:v>Nam Dinh Vu Phase 1</x:v>
      </x:c>
      <x:c r="C16" s="89" t="str">
        <x:v>North</x:v>
      </x:c>
      <x:c r="D16" s="89" t="str">
        <x:v>Design capacity</x:v>
      </x:c>
      <x:c r="E16" s="137" t="n">
        <x:v>0.6</x:v>
      </x:c>
      <x:c r="F16" s="89" t="str">
        <x:v>m TEU</x:v>
      </x:c>
      <x:c r="G16" s="89" t="str">
        <x:v>Operational Q1 2018</x:v>
      </x:c>
      <x:c r="H16" s="89" t="str">
        <x:v>Capacity</x:v>
      </x:c>
      <x:c r="I16" s="89" t="str">
        <x:v>SRC-G01</x:v>
      </x:c>
      <x:c r="J16" s="90" t="str">
        <x:v>Capacity is not throughput.</x:v>
      </x:c>
    </x:row>
    <x:row r="17" ht="36" customHeight="1">
      <x:c r="A17" s="88" t="str">
        <x:v>GMD-OP-11</x:v>
      </x:c>
      <x:c r="B17" s="89" t="str">
        <x:v>Nam Dinh Vu Phase 2</x:v>
      </x:c>
      <x:c r="C17" s="89" t="str">
        <x:v>North</x:v>
      </x:c>
      <x:c r="D17" s="89" t="str">
        <x:v>Design capacity</x:v>
      </x:c>
      <x:c r="E17" s="137" t="n">
        <x:v>0.6</x:v>
      </x:c>
      <x:c r="F17" s="89" t="str">
        <x:v>m TEU</x:v>
      </x:c>
      <x:c r="G17" s="89" t="str">
        <x:v>Operational Q2 2023</x:v>
      </x:c>
      <x:c r="H17" s="89" t="str">
        <x:v>Capacity</x:v>
      </x:c>
      <x:c r="I17" s="89" t="str">
        <x:v>SRC-G01</x:v>
      </x:c>
      <x:c r="J17" s="90" t="str">
        <x:v>Capacity is not throughput.</x:v>
      </x:c>
    </x:row>
    <x:row r="18" ht="36" customHeight="1">
      <x:c r="A18" s="139" t="str">
        <x:v>GMD-OP-12</x:v>
      </x:c>
      <x:c r="B18" s="140" t="str">
        <x:v>Nam Dinh Vu Phase 3</x:v>
      </x:c>
      <x:c r="C18" s="140" t="str">
        <x:v>North</x:v>
      </x:c>
      <x:c r="D18" s="140" t="str">
        <x:v>Design capacity</x:v>
      </x:c>
      <x:c r="E18" s="141" t="n">
        <x:v>0.8</x:v>
      </x:c>
      <x:c r="F18" s="140" t="str">
        <x:v>m TEU</x:v>
      </x:c>
      <x:c r="G18" s="140" t="str">
        <x:v>Operational Oct 2025</x:v>
      </x:c>
      <x:c r="H18" s="140" t="str">
        <x:v>Capacity</x:v>
      </x:c>
      <x:c r="I18" s="140" t="str">
        <x:v>SRC-G01</x:v>
      </x:c>
      <x:c r="J18" s="142" t="str">
        <x:v>Annual-report table; differs from issuer press release's ~650k TEU added.</x:v>
      </x:c>
    </x:row>
    <x:row r="19" ht="36" customHeight="1">
      <x:c r="A19" s="139" t="str">
        <x:v>GMD-OP-13</x:v>
      </x:c>
      <x:c r="B19" s="140" t="str">
        <x:v>Nam Dinh Vu Phase 3</x:v>
      </x:c>
      <x:c r="C19" s="140" t="str">
        <x:v>North</x:v>
      </x:c>
      <x:c r="D19" s="140" t="str">
        <x:v>Added capacity</x:v>
      </x:c>
      <x:c r="E19" s="141" t="n">
        <x:v>0.65</x:v>
      </x:c>
      <x:c r="F19" s="140" t="str">
        <x:v>m TEU</x:v>
      </x:c>
      <x:c r="G19" s="140" t="str">
        <x:v>Operational 30-Sep-2025</x:v>
      </x:c>
      <x:c r="H19" s="140" t="str">
        <x:v>Capacity disclosure</x:v>
      </x:c>
      <x:c r="I19" s="140" t="str">
        <x:v>SRC-G04</x:v>
      </x:c>
      <x:c r="J19" s="142" t="str">
        <x:v>Definition variance versus 0.8m TEU in annual report.</x:v>
      </x:c>
    </x:row>
    <x:row r="20" ht="36" customHeight="1">
      <x:c r="A20" s="88" t="str">
        <x:v>GMD-OP-14</x:v>
      </x:c>
      <x:c r="B20" s="89" t="str">
        <x:v>Nam Dinh Vu Phase 1</x:v>
      </x:c>
      <x:c r="C20" s="89" t="str">
        <x:v>North</x:v>
      </x:c>
      <x:c r="D20" s="89" t="str">
        <x:v>Investment</x:v>
      </x:c>
      <x:c r="E20" s="137" t="n">
        <x:v>1700</x:v>
      </x:c>
      <x:c r="F20" s="89" t="str">
        <x:v>VND bn</x:v>
      </x:c>
      <x:c r="G20" s="89" t="str">
        <x:v>Project disclosure</x:v>
      </x:c>
      <x:c r="H20" s="89" t="str">
        <x:v>Capex</x:v>
      </x:c>
      <x:c r="I20" s="89" t="str">
        <x:v>SRC-G01</x:v>
      </x:c>
      <x:c r="J20" s="90" t="str">
        <x:v>Historical disclosed capex.</x:v>
      </x:c>
    </x:row>
    <x:row r="21" ht="36" customHeight="1">
      <x:c r="A21" s="88" t="str">
        <x:v>GMD-OP-15</x:v>
      </x:c>
      <x:c r="B21" s="89" t="str">
        <x:v>Nam Dinh Vu Phase 2</x:v>
      </x:c>
      <x:c r="C21" s="89" t="str">
        <x:v>North</x:v>
      </x:c>
      <x:c r="D21" s="89" t="str">
        <x:v>Investment</x:v>
      </x:c>
      <x:c r="E21" s="137" t="n">
        <x:v>2200</x:v>
      </x:c>
      <x:c r="F21" s="89" t="str">
        <x:v>VND bn</x:v>
      </x:c>
      <x:c r="G21" s="89" t="str">
        <x:v>Project disclosure</x:v>
      </x:c>
      <x:c r="H21" s="89" t="str">
        <x:v>Capex</x:v>
      </x:c>
      <x:c r="I21" s="89" t="str">
        <x:v>SRC-G01</x:v>
      </x:c>
      <x:c r="J21" s="90" t="str">
        <x:v>Historical disclosed capex.</x:v>
      </x:c>
    </x:row>
    <x:row r="22" ht="36" customHeight="1">
      <x:c r="A22" s="88" t="str">
        <x:v>GMD-OP-16</x:v>
      </x:c>
      <x:c r="B22" s="89" t="str">
        <x:v>Nam Dinh Vu Phase 3</x:v>
      </x:c>
      <x:c r="C22" s="89" t="str">
        <x:v>North</x:v>
      </x:c>
      <x:c r="D22" s="89" t="str">
        <x:v>Investment</x:v>
      </x:c>
      <x:c r="E22" s="137" t="n">
        <x:v>2800</x:v>
      </x:c>
      <x:c r="F22" s="89" t="str">
        <x:v>VND bn</x:v>
      </x:c>
      <x:c r="G22" s="89" t="str">
        <x:v>Project disclosure</x:v>
      </x:c>
      <x:c r="H22" s="89" t="str">
        <x:v>Capex</x:v>
      </x:c>
      <x:c r="I22" s="89" t="str">
        <x:v>SRC-G01 / SRC-G07</x:v>
      </x:c>
      <x:c r="J22" s="90" t="str">
        <x:v>Disclosed project investment.</x:v>
      </x:c>
    </x:row>
    <x:row r="23" ht="36" customHeight="1">
      <x:c r="A23" s="88" t="str">
        <x:v>GMD-OP-17</x:v>
      </x:c>
      <x:c r="B23" s="89" t="str">
        <x:v>Gemalink</x:v>
      </x:c>
      <x:c r="C23" s="89" t="str">
        <x:v>South</x:v>
      </x:c>
      <x:c r="D23" s="89" t="str">
        <x:v>Largest vessel received</x:v>
      </x:c>
      <x:c r="E23" s="137" t="n">
        <x:v>232494.5</x:v>
      </x:c>
      <x:c r="F23" s="89" t="str">
        <x:v>DWT</x:v>
      </x:c>
      <x:c r="G23" s="89" t="str">
        <x:v>Current license</x:v>
      </x:c>
      <x:c r="H23" s="89" t="str">
        <x:v>Physical capability</x:v>
      </x:c>
      <x:c r="I23" s="89" t="str">
        <x:v>SRC-G06</x:v>
      </x:c>
      <x:c r="J23" s="90" t="str">
        <x:v>Gemadept 75%; CMA Terminals 25%.</x:v>
      </x:c>
    </x:row>
    <x:row r="24" ht="36" customHeight="1">
      <x:c r="A24" s="88" t="str">
        <x:v>GMD-OP-18</x:v>
      </x:c>
      <x:c r="B24" s="89" t="str">
        <x:v>Port network</x:v>
      </x:c>
      <x:c r="C24" s="89" t="str">
        <x:v>Vietnam</x:v>
      </x:c>
      <x:c r="D24" s="89" t="str">
        <x:v>Current capacity</x:v>
      </x:c>
      <x:c r="E24" s="137" t="n">
        <x:v>5</x:v>
      </x:c>
      <x:c r="F24" s="89" t="str">
        <x:v>m TEU</x:v>
      </x:c>
      <x:c r="G24" s="89" t="str">
        <x:v>Current disclosure</x:v>
      </x:c>
      <x:c r="H24" s="89" t="str">
        <x:v>Capacity</x:v>
      </x:c>
      <x:c r="I24" s="89" t="str">
        <x:v>SRC-G05</x:v>
      </x:c>
      <x:c r="J24" s="90" t="str">
        <x:v>Marketing page; separate from 2025 actual throughput.</x:v>
      </x:c>
    </x:row>
    <x:row r="25" ht="36" customHeight="1">
      <x:c r="A25" s="88" t="str">
        <x:v>GMD-OP-19</x:v>
      </x:c>
      <x:c r="B25" s="89" t="str">
        <x:v>Southern port division</x:v>
      </x:c>
      <x:c r="C25" s="89" t="str">
        <x:v>South</x:v>
      </x:c>
      <x:c r="D25" s="89" t="str">
        <x:v>Container throughput</x:v>
      </x:c>
      <x:c r="E25" s="137" t="n">
        <x:v>1.650408</x:v>
      </x:c>
      <x:c r="F25" s="89" t="str">
        <x:v>m TEU</x:v>
      </x:c>
      <x:c r="G25" s="89" t="str">
        <x:v>FY2025</x:v>
      </x:c>
      <x:c r="H25" s="89" t="str">
        <x:v>Actual</x:v>
      </x:c>
      <x:c r="I25" s="89" t="str">
        <x:v>SRC-G01</x:v>
      </x:c>
      <x:c r="J25" s="90" t="str">
        <x:v>Company says more than this level; +24% YoY.</x:v>
      </x:c>
    </x:row>
    <x:row r="26" ht="36" customHeight="1">
      <x:c r="A26" s="91" t="str">
        <x:v>GMD-OP-20</x:v>
      </x:c>
      <x:c r="B26" s="92" t="str">
        <x:v>Phuoc Long ICD / Binh Duong</x:v>
      </x:c>
      <x:c r="C26" s="92" t="str">
        <x:v>South</x:v>
      </x:c>
      <x:c r="D26" s="92" t="str">
        <x:v>Container throughput</x:v>
      </x:c>
      <x:c r="E26" s="138" t="n">
        <x:v>1.260574</x:v>
      </x:c>
      <x:c r="F26" s="92" t="str">
        <x:v>m TEU</x:v>
      </x:c>
      <x:c r="G26" s="92" t="str">
        <x:v>FY2025</x:v>
      </x:c>
      <x:c r="H26" s="92" t="str">
        <x:v>Actual</x:v>
      </x:c>
      <x:c r="I26" s="92" t="str">
        <x:v>SRC-G01</x:v>
      </x:c>
      <x:c r="J26" s="93" t="str">
        <x:v>2024 actual was 1.145m TEU.</x:v>
      </x:c>
    </x:row>
    <x:row r="27" ht="37" customHeight="1">
      <x:c r="A27" s="85" t="str">
        <x:v>GMD-OP-21</x:v>
      </x:c>
      <x:c r="B27" s="86" t="str">
        <x:v>System</x:v>
      </x:c>
      <x:c r="C27" s="86" t="str">
        <x:v>Vietnam</x:v>
      </x:c>
      <x:c r="D27" s="86" t="str">
        <x:v>Container throughput</x:v>
      </x:c>
      <x:c r="E27" s="133" t="n">
        <x:v>2.627</x:v>
      </x:c>
      <x:c r="F27" s="86" t="str">
        <x:v>m TEU</x:v>
      </x:c>
      <x:c r="G27" s="86" t="str">
        <x:v>FY2021</x:v>
      </x:c>
      <x:c r="H27" s="86" t="str">
        <x:v>Issuer chart-derived approximation</x:v>
      </x:c>
      <x:c r="I27" s="86" t="str">
        <x:v>SRC-G01</x:v>
      </x:c>
      <x:c r="J27" s="87" t="str">
        <x:v>Derived from the rounded +52% issuer chart label and 2020 base; not an exact disclosed point.</x:v>
      </x:c>
    </x:row>
    <x:row r="28" ht="37" customHeight="1">
      <x:c r="A28" s="88" t="str">
        <x:v>GMD-OP-22</x:v>
      </x:c>
      <x:c r="B28" s="89" t="str">
        <x:v>System</x:v>
      </x:c>
      <x:c r="C28" s="89" t="str">
        <x:v>Vietnam</x:v>
      </x:c>
      <x:c r="D28" s="89" t="str">
        <x:v>Container throughput</x:v>
      </x:c>
      <x:c r="E28" s="134" t="n">
        <x:v>3.1</x:v>
      </x:c>
      <x:c r="F28" s="89" t="str">
        <x:v>m TEU</x:v>
      </x:c>
      <x:c r="G28" s="89" t="str">
        <x:v>FY2022</x:v>
      </x:c>
      <x:c r="H28" s="89" t="str">
        <x:v>Issuer chart-derived approximation</x:v>
      </x:c>
      <x:c r="I28" s="89" t="str">
        <x:v>SRC-G01 / SRC-G10</x:v>
      </x:c>
      <x:c r="J28" s="90" t="str">
        <x:v>Derived from the rounded +18% issuer chart label; consistent with issuer disclosure of over 3m TEU.</x:v>
      </x:c>
    </x:row>
    <x:row r="29" ht="37" customHeight="1">
      <x:c r="A29" s="88" t="str">
        <x:v>GMD-OP-23</x:v>
      </x:c>
      <x:c r="B29" s="89" t="str">
        <x:v>System</x:v>
      </x:c>
      <x:c r="C29" s="89" t="str">
        <x:v>Vietnam</x:v>
      </x:c>
      <x:c r="D29" s="89" t="str">
        <x:v>Container throughput</x:v>
      </x:c>
      <x:c r="E29" s="134" t="n">
        <x:v>3.011</x:v>
      </x:c>
      <x:c r="F29" s="89" t="str">
        <x:v>m TEU</x:v>
      </x:c>
      <x:c r="G29" s="89" t="str">
        <x:v>FY2023</x:v>
      </x:c>
      <x:c r="H29" s="89" t="str">
        <x:v>Issuer actual</x:v>
      </x:c>
      <x:c r="I29" s="89" t="str">
        <x:v>SRC-G09</x:v>
      </x:c>
      <x:c r="J29" s="90" t="str">
        <x:v>Exact system total.</x:v>
      </x:c>
    </x:row>
    <x:row r="30" ht="37" customHeight="1">
      <x:c r="A30" s="88" t="str">
        <x:v>GMD-OP-24</x:v>
      </x:c>
      <x:c r="B30" s="89" t="str">
        <x:v>System</x:v>
      </x:c>
      <x:c r="C30" s="89" t="str">
        <x:v>Vietnam</x:v>
      </x:c>
      <x:c r="D30" s="89" t="str">
        <x:v>Container throughput</x:v>
      </x:c>
      <x:c r="E30" s="134" t="n">
        <x:v>4.435</x:v>
      </x:c>
      <x:c r="F30" s="89" t="str">
        <x:v>m TEU</x:v>
      </x:c>
      <x:c r="G30" s="89" t="str">
        <x:v>FY2024</x:v>
      </x:c>
      <x:c r="H30" s="89" t="str">
        <x:v>Issuer actual</x:v>
      </x:c>
      <x:c r="I30" s="89" t="str">
        <x:v>SRC-G08</x:v>
      </x:c>
      <x:c r="J30" s="90" t="str">
        <x:v>Exact system total.</x:v>
      </x:c>
    </x:row>
    <x:row r="31" ht="37" customHeight="1">
      <x:c r="A31" s="88" t="str">
        <x:v>GMD-OP-25</x:v>
      </x:c>
      <x:c r="B31" s="89" t="str">
        <x:v>Gemalink</x:v>
      </x:c>
      <x:c r="C31" s="89" t="str">
        <x:v>South</x:v>
      </x:c>
      <x:c r="D31" s="89" t="str">
        <x:v>Container throughput</x:v>
      </x:c>
      <x:c r="E31" s="134" t="n">
        <x:v>1.1</x:v>
      </x:c>
      <x:c r="F31" s="89" t="str">
        <x:v>m TEU, minimum</x:v>
      </x:c>
      <x:c r="G31" s="89" t="str">
        <x:v>FY2022</x:v>
      </x:c>
      <x:c r="H31" s="89" t="str">
        <x:v>Issuer approximate disclosure</x:v>
      </x:c>
      <x:c r="I31" s="89" t="str">
        <x:v>SRC-G10</x:v>
      </x:c>
      <x:c r="J31" s="90" t="str">
        <x:v>Issuer says Gemalink handled about 1.1m TEU.</x:v>
      </x:c>
    </x:row>
    <x:row r="32" ht="37" customHeight="1">
      <x:c r="A32" s="88" t="str">
        <x:v>GMD-OP-26</x:v>
      </x:c>
      <x:c r="B32" s="89" t="str">
        <x:v>Gemalink</x:v>
      </x:c>
      <x:c r="C32" s="89" t="str">
        <x:v>South</x:v>
      </x:c>
      <x:c r="D32" s="89" t="str">
        <x:v>Container throughput</x:v>
      </x:c>
      <x:c r="E32" s="134" t="n">
        <x:v>1</x:v>
      </x:c>
      <x:c r="F32" s="89" t="str">
        <x:v>m TEU, minimum</x:v>
      </x:c>
      <x:c r="G32" s="89" t="str">
        <x:v>FY2023</x:v>
      </x:c>
      <x:c r="H32" s="89" t="str">
        <x:v>Issuer minimum disclosure</x:v>
      </x:c>
      <x:c r="I32" s="89" t="str">
        <x:v>SRC-G09</x:v>
      </x:c>
      <x:c r="J32" s="90" t="str">
        <x:v>Gemalink is equity-accounted; revenue is not consolidated line by line.</x:v>
      </x:c>
    </x:row>
    <x:row r="33" ht="37" customHeight="1">
      <x:c r="A33" s="88" t="str">
        <x:v>GMD-OP-27</x:v>
      </x:c>
      <x:c r="B33" s="89" t="str">
        <x:v>Gemalink</x:v>
      </x:c>
      <x:c r="C33" s="89" t="str">
        <x:v>South</x:v>
      </x:c>
      <x:c r="D33" s="89" t="str">
        <x:v>Container throughput</x:v>
      </x:c>
      <x:c r="E33" s="134" t="n">
        <x:v>1.7</x:v>
      </x:c>
      <x:c r="F33" s="89" t="str">
        <x:v>m TEU, minimum</x:v>
      </x:c>
      <x:c r="G33" s="89" t="str">
        <x:v>FY2024</x:v>
      </x:c>
      <x:c r="H33" s="89" t="str">
        <x:v>Issuer minimum disclosure</x:v>
      </x:c>
      <x:c r="I33" s="89" t="str">
        <x:v>SRC-G08</x:v>
      </x:c>
      <x:c r="J33" s="90" t="str">
        <x:v>Issuer says throughput exceeded 1.7m TEU.</x:v>
      </x:c>
    </x:row>
    <x:row r="34" ht="37" customHeight="1">
      <x:c r="A34" s="88" t="str">
        <x:v>GMD-OP-28</x:v>
      </x:c>
      <x:c r="B34" s="89" t="str">
        <x:v>Gemalink</x:v>
      </x:c>
      <x:c r="C34" s="89" t="str">
        <x:v>South</x:v>
      </x:c>
      <x:c r="D34" s="89" t="str">
        <x:v>Container throughput</x:v>
      </x:c>
      <x:c r="E34" s="134" t="n">
        <x:v>1.9</x:v>
      </x:c>
      <x:c r="F34" s="89" t="str">
        <x:v>m TEU, minimum</x:v>
      </x:c>
      <x:c r="G34" s="89" t="str">
        <x:v>FY2025</x:v>
      </x:c>
      <x:c r="H34" s="89" t="str">
        <x:v>Issuer minimum disclosure</x:v>
      </x:c>
      <x:c r="I34" s="89" t="str">
        <x:v>SRC-G01</x:v>
      </x:c>
      <x:c r="J34" s="90" t="str">
        <x:v>Issuer says throughput exceeded 1.9m TEU.</x:v>
      </x:c>
    </x:row>
    <x:row r="35" ht="37" customHeight="1">
      <x:c r="A35" s="91" t="str">
        <x:v>GMD-OP-29</x:v>
      </x:c>
      <x:c r="B35" s="92" t="str">
        <x:v>Nam Dinh Vu</x:v>
      </x:c>
      <x:c r="C35" s="92" t="str">
        <x:v>North</x:v>
      </x:c>
      <x:c r="D35" s="92" t="str">
        <x:v>Container throughput</x:v>
      </x:c>
      <x:c r="E35" s="135" t="n">
        <x:v>0.897719</x:v>
      </x:c>
      <x:c r="F35" s="92" t="str">
        <x:v>m TEU</x:v>
      </x:c>
      <x:c r="G35" s="92" t="str">
        <x:v>FY2023</x:v>
      </x:c>
      <x:c r="H35" s="92" t="str">
        <x:v>Issuer actual</x:v>
      </x:c>
      <x:c r="I35" s="92" t="str">
        <x:v>SRC-G09</x:v>
      </x:c>
      <x:c r="J35" s="93" t="str">
        <x:v>Asset-level actual; not a complete regional series.</x:v>
      </x:c>
    </x:row>
  </x:sheetData>
  <x:mergeCells>
    <x:mergeCell ref="A1:J1"/>
    <x:mergeCell ref="A2:J2"/>
    <x:mergeCell ref="A4:J4"/>
  </x:mergeCells>
  <x:pageMargins left="0.7" right="0.7" top="0.75" bottom="0.75" header="0.3" footer="0.3"/>
  <x:legacyDrawing xmlns:r="http://schemas.openxmlformats.org/officeDocument/2006/relationships" r:id="R7537e7eeece6499a"/>
  <x:tableParts count="1">
    <x:tablePart xmlns:r="http://schemas.openxmlformats.org/officeDocument/2006/relationships" r:id="R9ee9501b6e8044cc"/>
  </x:tableParts>
</x:worksheet>
</file>

<file path=xl/worksheets/sheet9.xml><?xml version="1.0" encoding="utf-8"?>
<x:worksheet xmlns:x="http://schemas.openxmlformats.org/spreadsheetml/2006/main">
  <x:sheetViews>
    <x:sheetView showGridLines="0" workbookViewId="0"/>
  </x:sheetViews>
  <x:sheetFormatPr defaultRowHeight="15"/>
  <x:cols>
    <x:col min="1" max="1" width="12" hidden="0" customWidth="1"/>
    <x:col min="2" max="2" width="28" hidden="0" customWidth="1"/>
    <x:col min="3" max="3" width="20" hidden="0" customWidth="1"/>
    <x:col min="4" max="4" width="52" hidden="0" customWidth="1"/>
    <x:col min="5" max="5" width="32" hidden="0" customWidth="1"/>
    <x:col min="6" max="6" width="31" hidden="0" customWidth="1"/>
    <x:col min="7" max="7" width="23" hidden="0" customWidth="1"/>
    <x:col min="8" max="8" width="30" hidden="0" customWidth="1"/>
    <x:col min="9" max="9" width="54" hidden="0" customWidth="1"/>
  </x:cols>
  <x:sheetData>
    <x:row r="1" ht="30" customHeight="1">
      <x:c r="A1" s="4" t="str">
        <x:v>Peer Registry — GMD, VSC, PHP and DVP</x:v>
      </x:c>
      <x:c r="B1" s="4" t="str">
        <x:v>Peer Registry — GMD, VSC, PHP and DVP</x:v>
      </x:c>
      <x:c r="C1" s="4" t="str">
        <x:v>Peer Registry — GMD, VSC, PHP and DVP</x:v>
      </x:c>
      <x:c r="D1" s="4" t="str">
        <x:v>Peer Registry — GMD, VSC, PHP and DVP</x:v>
      </x:c>
      <x:c r="E1" s="4" t="str">
        <x:v>Peer Registry — GMD, VSC, PHP and DVP</x:v>
      </x:c>
      <x:c r="F1" s="4" t="str">
        <x:v>Peer Registry — GMD, VSC, PHP and DVP</x:v>
      </x:c>
      <x:c r="G1" s="4" t="str">
        <x:v>Peer Registry — GMD, VSC, PHP and DVP</x:v>
      </x:c>
      <x:c r="H1" s="4" t="str">
        <x:v>Peer Registry — GMD, VSC, PHP and DVP</x:v>
      </x:c>
      <x:c r="I1" s="4" t="str">
        <x:v>Peer Registry — GMD, VSC, PHP and DVP</x:v>
      </x:c>
    </x:row>
    <x:row r="2" ht="34" customHeight="1">
      <x:c r="A2" s="9" t="str">
        <x:v>Phase 1 registers the universe and primary documents. It does not force a comparable score where issuer-level data is not yet auditable.</x:v>
      </x:c>
      <x:c r="B2" s="9" t="str">
        <x:v>Phase 1 registers the universe and primary documents. It does not force a comparable score where issuer-level data is not yet auditable.</x:v>
      </x:c>
      <x:c r="C2" s="9" t="str">
        <x:v>Phase 1 registers the universe and primary documents. It does not force a comparable score where issuer-level data is not yet auditable.</x:v>
      </x:c>
      <x:c r="D2" s="9" t="str">
        <x:v>Phase 1 registers the universe and primary documents. It does not force a comparable score where issuer-level data is not yet auditable.</x:v>
      </x:c>
      <x:c r="E2" s="9" t="str">
        <x:v>Phase 1 registers the universe and primary documents. It does not force a comparable score where issuer-level data is not yet auditable.</x:v>
      </x:c>
      <x:c r="F2" s="9" t="str">
        <x:v>Phase 1 registers the universe and primary documents. It does not force a comparable score where issuer-level data is not yet auditable.</x:v>
      </x:c>
      <x:c r="G2" s="9" t="str">
        <x:v>Phase 1 registers the universe and primary documents. It does not force a comparable score where issuer-level data is not yet auditable.</x:v>
      </x:c>
      <x:c r="H2" s="9" t="str">
        <x:v>Phase 1 registers the universe and primary documents. It does not force a comparable score where issuer-level data is not yet auditable.</x:v>
      </x:c>
      <x:c r="I2" s="9" t="str">
        <x:v>Phase 1 registers the universe and primary documents. It does not force a comparable score where issuer-level data is not yet auditable.</x:v>
      </x:c>
    </x:row>
    <x:row r="4" ht="21" customHeight="1">
      <x:c r="A4" s="13" t="str">
        <x:v>Universe map</x:v>
      </x:c>
      <x:c r="B4" s="13" t="str">
        <x:v>Universe map</x:v>
      </x:c>
      <x:c r="C4" s="13" t="str">
        <x:v>Universe map</x:v>
      </x:c>
      <x:c r="D4" s="13" t="str">
        <x:v>Universe map</x:v>
      </x:c>
      <x:c r="E4" s="13" t="str">
        <x:v>Universe map</x:v>
      </x:c>
      <x:c r="F4" s="13" t="str">
        <x:v>Universe map</x:v>
      </x:c>
      <x:c r="G4" s="13" t="str">
        <x:v>Universe map</x:v>
      </x:c>
      <x:c r="H4" s="13" t="str">
        <x:v>Universe map</x:v>
      </x:c>
      <x:c r="I4" s="13" t="str">
        <x:v>Universe map</x:v>
      </x:c>
    </x:row>
    <x:row r="6" ht="32" customHeight="1">
      <x:c r="A6" s="65" t="str">
        <x:v>Ticker</x:v>
      </x:c>
      <x:c r="B6" s="65" t="str">
        <x:v>Company</x:v>
      </x:c>
      <x:c r="C6" s="65" t="str">
        <x:v>Geography</x:v>
      </x:c>
      <x:c r="D6" s="65" t="str">
        <x:v>Key assets / exposure</x:v>
      </x:c>
      <x:c r="E6" s="65" t="str">
        <x:v>Strategic angle</x:v>
      </x:c>
      <x:c r="F6" s="65" t="str">
        <x:v>Evidence status</x:v>
      </x:c>
      <x:c r="G6" s="65" t="str">
        <x:v>Source ID</x:v>
      </x:c>
      <x:c r="H6" s="65" t="str">
        <x:v>Phase 2 role</x:v>
      </x:c>
      <x:c r="I6" s="65" t="str">
        <x:v>Normalization issue</x:v>
      </x:c>
    </x:row>
    <x:row r="7" ht="52" customHeight="1">
      <x:c r="A7" s="85" t="str">
        <x:v>GMD</x:v>
      </x:c>
      <x:c r="B7" s="86" t="str">
        <x:v>Gemadept</x:v>
      </x:c>
      <x:c r="C7" s="86" t="str">
        <x:v>North / Central / South</x:v>
      </x:c>
      <x:c r="D7" s="86" t="str">
        <x:v>Nam Dinh Vu, Gemalink, Phuoc Long ICD, Binh Duong, Dung Quat</x:v>
      </x:c>
      <x:c r="E7" s="86" t="str">
        <x:v>Network + deep-water + expansion</x:v>
      </x:c>
      <x:c r="F7" s="86" t="str">
        <x:v>Primary data loaded</x:v>
      </x:c>
      <x:c r="G7" s="86" t="str">
        <x:v>SRC-G01 / SRC-G02</x:v>
      </x:c>
      <x:c r="H7" s="86" t="str">
        <x:v>Candidate for full model</x:v>
      </x:c>
      <x:c r="I7" s="87" t="str">
        <x:v>Must reconcile associates/minority interests and capacity definitions.</x:v>
      </x:c>
    </x:row>
    <x:row r="8" ht="52" customHeight="1">
      <x:c r="A8" s="88" t="str">
        <x:v>VSC</x:v>
      </x:c>
      <x:c r="B8" s="89" t="str">
        <x:v>Viconship</x:v>
      </x:c>
      <x:c r="C8" s="89" t="str">
        <x:v>Hai Phong</x:v>
      </x:c>
      <x:c r="D8" s="89" t="str">
        <x:v>Green Port, VIP Green, Nam Hai Dinh Vu; HAH stake adds non-port exposure</x:v>
      </x:c>
      <x:c r="E8" s="89" t="str">
        <x:v>Cluster position + integration</x:v>
      </x:c>
      <x:c r="F8" s="89" t="str">
        <x:v>Primary filing registered; capacity secondary only</x:v>
      </x:c>
      <x:c r="G8" s="89" t="str">
        <x:v>SRC-P01 / SRC-S01</x:v>
      </x:c>
      <x:c r="H8" s="89" t="str">
        <x:v>Primary comparator</x:v>
      </x:c>
      <x:c r="I8" s="90" t="str">
        <x:v>Do not mix HAH shipping exposure into the port thesis; OCR/manual extraction required.</x:v>
      </x:c>
    </x:row>
    <x:row r="9" ht="52" customHeight="1">
      <x:c r="A9" s="88" t="str">
        <x:v>PHP</x:v>
      </x:c>
      <x:c r="B9" s="89" t="str">
        <x:v>Port of Hai Phong</x:v>
      </x:c>
      <x:c r="C9" s="89" t="str">
        <x:v>Hai Phong / Lach Huyen</x:v>
      </x:c>
      <x:c r="D9" s="89" t="str">
        <x:v>Tan Vu, Chua Ve and terminals 3–4 at Lach Huyen via affiliate/subsidiary structure</x:v>
      </x:c>
      <x:c r="E9" s="89" t="str">
        <x:v>Scale + gateway-port transition</x:v>
      </x:c>
      <x:c r="F9" s="89" t="str">
        <x:v>Primary operating data loaded</x:v>
      </x:c>
      <x:c r="G9" s="89" t="str">
        <x:v>SRC-P02</x:v>
      </x:c>
      <x:c r="H9" s="89" t="str">
        <x:v>Peer screen</x:v>
      </x:c>
      <x:c r="I9" s="90" t="str">
        <x:v>Consolidated versus parent throughput and ownership must be normalized.</x:v>
      </x:c>
    </x:row>
    <x:row r="10" ht="52" customHeight="1">
      <x:c r="A10" s="91" t="str">
        <x:v>DVP</x:v>
      </x:c>
      <x:c r="B10" s="92" t="str">
        <x:v>Dinh Vu Port</x:v>
      </x:c>
      <x:c r="C10" s="92" t="str">
        <x:v>Hai Phong upstream</x:v>
      </x:c>
      <x:c r="D10" s="92" t="str">
        <x:v>Dinh Vu terminal</x:v>
      </x:c>
      <x:c r="E10" s="92" t="str">
        <x:v>Mature cash-generative operator</x:v>
      </x:c>
      <x:c r="F10" s="92" t="str">
        <x:v>Primary registry + qualitative update</x:v>
      </x:c>
      <x:c r="G10" s="92" t="str">
        <x:v>SRC-P03 / SRC-P04</x:v>
      </x:c>
      <x:c r="H10" s="92" t="str">
        <x:v>Peer screen</x:v>
      </x:c>
      <x:c r="I10" s="93" t="str">
        <x:v>Competitive pressure from Lach Huyen and Nam Dinh Vu; retrieve auditable 2025 KPI table.</x:v>
      </x:c>
    </x:row>
    <x:row r="14" ht="21" customHeight="1">
      <x:c r="A14" s="13" t="str">
        <x:v>PHP — verified 2025 operating anchors</x:v>
      </x:c>
      <x:c r="B14" s="13" t="str">
        <x:v>PHP — verified 2025 operating anchors</x:v>
      </x:c>
      <x:c r="C14" s="13" t="str">
        <x:v>PHP — verified 2025 operating anchors</x:v>
      </x:c>
      <x:c r="D14" s="13" t="str">
        <x:v>PHP — verified 2025 operating anchors</x:v>
      </x:c>
      <x:c r="E14" s="13" t="str">
        <x:v>PHP — verified 2025 operating anchors</x:v>
      </x:c>
      <x:c r="F14" s="13" t="str">
        <x:v>PHP — verified 2025 operating anchors</x:v>
      </x:c>
      <x:c r="G14" s="13" t="str">
        <x:v>PHP — verified 2025 operating anchors</x:v>
      </x:c>
      <x:c r="H14" s="13" t="str">
        <x:v>PHP — verified 2025 operating anchors</x:v>
      </x:c>
      <x:c r="I14" s="13" t="str">
        <x:v>PHP — verified 2025 operating anchors</x:v>
      </x:c>
    </x:row>
    <x:row r="16" ht="32" customHeight="1">
      <x:c r="A16" s="65" t="str">
        <x:v>Data ID</x:v>
      </x:c>
      <x:c r="B16" s="65" t="str">
        <x:v>Metric</x:v>
      </x:c>
      <x:c r="C16" s="65" t="str">
        <x:v>Value</x:v>
      </x:c>
      <x:c r="D16" s="65" t="str">
        <x:v>Unit</x:v>
      </x:c>
      <x:c r="E16" s="65" t="str">
        <x:v>Period</x:v>
      </x:c>
      <x:c r="F16" s="65" t="str">
        <x:v>Data class</x:v>
      </x:c>
      <x:c r="G16" s="65" t="str">
        <x:v>Source ID</x:v>
      </x:c>
      <x:c r="H16" s="65" t="str">
        <x:v>Audit note</x:v>
      </x:c>
    </x:row>
    <x:row r="17" ht="34" customHeight="1">
      <x:c r="A17" s="85" t="str">
        <x:v>PHP-01</x:v>
      </x:c>
      <x:c r="B17" s="86" t="str">
        <x:v>Parent throughput</x:v>
      </x:c>
      <x:c r="C17" s="103" t="n">
        <x:v>23.3</x:v>
      </x:c>
      <x:c r="D17" s="86" t="str">
        <x:v>mn tonnes</x:v>
      </x:c>
      <x:c r="E17" s="86" t="str">
        <x:v>FY2025</x:v>
      </x:c>
      <x:c r="F17" s="86" t="str">
        <x:v>Actual</x:v>
      </x:c>
      <x:c r="G17" s="86" t="str">
        <x:v>SRC-P02</x:v>
      </x:c>
      <x:c r="H17" s="87" t="str">
        <x:v>98.8% of 2024; 83.4% of plan.</x:v>
      </x:c>
    </x:row>
    <x:row r="18" ht="34" customHeight="1">
      <x:c r="A18" s="88" t="str">
        <x:v>PHP-02</x:v>
      </x:c>
      <x:c r="B18" s="89" t="str">
        <x:v>Parent container throughput</x:v>
      </x:c>
      <x:c r="C18" s="105" t="n">
        <x:v>1.2407</x:v>
      </x:c>
      <x:c r="D18" s="89" t="str">
        <x:v>m TEU</x:v>
      </x:c>
      <x:c r="E18" s="89" t="str">
        <x:v>FY2025</x:v>
      </x:c>
      <x:c r="F18" s="89" t="str">
        <x:v>Actual</x:v>
      </x:c>
      <x:c r="G18" s="89" t="str">
        <x:v>SRC-P02</x:v>
      </x:c>
      <x:c r="H18" s="90" t="str">
        <x:v>97.4% of 2024; 85.8% of plan.</x:v>
      </x:c>
    </x:row>
    <x:row r="19" ht="34" customHeight="1">
      <x:c r="A19" s="88" t="str">
        <x:v>PHP-03</x:v>
      </x:c>
      <x:c r="B19" s="89" t="str">
        <x:v>Parent revenue</x:v>
      </x:c>
      <x:c r="C19" s="105" t="n">
        <x:v>2315.33</x:v>
      </x:c>
      <x:c r="D19" s="89" t="str">
        <x:v>VND bn</x:v>
      </x:c>
      <x:c r="E19" s="89" t="str">
        <x:v>FY2025</x:v>
      </x:c>
      <x:c r="F19" s="89" t="str">
        <x:v>Actual</x:v>
      </x:c>
      <x:c r="G19" s="89" t="str">
        <x:v>SRC-P02</x:v>
      </x:c>
      <x:c r="H19" s="90" t="str">
        <x:v>+33.8% YoY.</x:v>
      </x:c>
    </x:row>
    <x:row r="20" ht="34" customHeight="1">
      <x:c r="A20" s="88" t="str">
        <x:v>PHP-04</x:v>
      </x:c>
      <x:c r="B20" s="89" t="str">
        <x:v>Parent profit</x:v>
      </x:c>
      <x:c r="C20" s="105" t="n">
        <x:v>1173.24</x:v>
      </x:c>
      <x:c r="D20" s="89" t="str">
        <x:v>VND bn</x:v>
      </x:c>
      <x:c r="E20" s="89" t="str">
        <x:v>FY2025</x:v>
      </x:c>
      <x:c r="F20" s="89" t="str">
        <x:v>Actual</x:v>
      </x:c>
      <x:c r="G20" s="89" t="str">
        <x:v>SRC-P02</x:v>
      </x:c>
      <x:c r="H20" s="90" t="str">
        <x:v>Annual report labels this 'profit'; verify PBT/net-profit definition before valuation use.</x:v>
      </x:c>
    </x:row>
    <x:row r="21" ht="34" customHeight="1">
      <x:c r="A21" s="88" t="str">
        <x:v>PHP-05</x:v>
      </x:c>
      <x:c r="B21" s="89" t="str">
        <x:v>Consolidated throughput</x:v>
      </x:c>
      <x:c r="C21" s="105" t="n">
        <x:v>42.7</x:v>
      </x:c>
      <x:c r="D21" s="89" t="str">
        <x:v>mn tonnes</x:v>
      </x:c>
      <x:c r="E21" s="89" t="str">
        <x:v>FY2025</x:v>
      </x:c>
      <x:c r="F21" s="89" t="str">
        <x:v>Actual</x:v>
      </x:c>
      <x:c r="G21" s="89" t="str">
        <x:v>SRC-P02</x:v>
      </x:c>
      <x:c r="H21" s="90" t="str">
        <x:v>+6.9% YoY.</x:v>
      </x:c>
    </x:row>
    <x:row r="22" ht="34" customHeight="1">
      <x:c r="A22" s="88" t="str">
        <x:v>PHP-06</x:v>
      </x:c>
      <x:c r="B22" s="89" t="str">
        <x:v>Consolidated revenue</x:v>
      </x:c>
      <x:c r="C22" s="105" t="n">
        <x:v>2942.93</x:v>
      </x:c>
      <x:c r="D22" s="89" t="str">
        <x:v>VND bn</x:v>
      </x:c>
      <x:c r="E22" s="89" t="str">
        <x:v>FY2025</x:v>
      </x:c>
      <x:c r="F22" s="89" t="str">
        <x:v>Actual</x:v>
      </x:c>
      <x:c r="G22" s="89" t="str">
        <x:v>SRC-P02</x:v>
      </x:c>
      <x:c r="H22" s="90" t="str">
        <x:v>98.16% of 2024.</x:v>
      </x:c>
    </x:row>
    <x:row r="23" ht="34" customHeight="1">
      <x:c r="A23" s="91" t="str">
        <x:v>PHP-07</x:v>
      </x:c>
      <x:c r="B23" s="92" t="str">
        <x:v>Consolidated profit</x:v>
      </x:c>
      <x:c r="C23" s="107" t="n">
        <x:v>1257.2</x:v>
      </x:c>
      <x:c r="D23" s="92" t="str">
        <x:v>VND bn</x:v>
      </x:c>
      <x:c r="E23" s="92" t="str">
        <x:v>FY2025</x:v>
      </x:c>
      <x:c r="F23" s="92" t="str">
        <x:v>Actual</x:v>
      </x:c>
      <x:c r="G23" s="92" t="str">
        <x:v>SRC-P02</x:v>
      </x:c>
      <x:c r="H23" s="93" t="str">
        <x:v>+4.8% YoY; verify profit definition before valuation use.</x:v>
      </x:c>
    </x:row>
  </x:sheetData>
  <x:mergeCells>
    <x:mergeCell ref="A1:I1"/>
    <x:mergeCell ref="A2:I2"/>
    <x:mergeCell ref="A4:I4"/>
    <x:mergeCell ref="A14:I14"/>
  </x:mergeCells>
  <x:pageMargins left="0.7" right="0.7" top="0.75" bottom="0.75" header="0.3" footer="0.3"/>
  <x:legacyDrawing xmlns:r="http://schemas.openxmlformats.org/officeDocument/2006/relationships" r:id="R9a5477ca8c584e7c"/>
  <x:tableParts count="2">
    <x:tablePart xmlns:r="http://schemas.openxmlformats.org/officeDocument/2006/relationships" r:id="Rac383823f71b438b"/>
    <x:tablePart xmlns:r="http://schemas.openxmlformats.org/officeDocument/2006/relationships" r:id="Rec0d76abff034c01"/>
  </x:tableParts>
</x:worksheet>
</file>

<file path=xl/worksheets/sheet10.xml><?xml version="1.0" encoding="utf-8"?>
<x:worksheet xmlns:x="http://schemas.openxmlformats.org/spreadsheetml/2006/main">
  <x:sheetViews>
    <x:sheetView showGridLines="0" workbookViewId="0"/>
  </x:sheetViews>
  <x:sheetFormatPr defaultRowHeight="15"/>
  <x:cols>
    <x:col min="1" max="1" width="22" hidden="0" customWidth="1"/>
    <x:col min="2" max="2" width="56" hidden="0" customWidth="1"/>
    <x:col min="3" max="3" width="20" hidden="0" customWidth="1"/>
    <x:col min="4" max="4" width="22" hidden="0" customWidth="1"/>
    <x:col min="5" max="5" width="28" hidden="0" customWidth="1"/>
    <x:col min="6" max="6" width="60" hidden="0" customWidth="1"/>
  </x:cols>
  <x:sheetData>
    <x:row r="1" ht="30" customHeight="1">
      <x:c r="A1" s="4" t="str">
        <x:v>Data Dictionary and Modeling Conventions</x:v>
      </x:c>
      <x:c r="B1" s="4" t="str">
        <x:v>Data Dictionary and Modeling Conventions</x:v>
      </x:c>
      <x:c r="C1" s="4" t="str">
        <x:v>Data Dictionary and Modeling Conventions</x:v>
      </x:c>
      <x:c r="D1" s="4" t="str">
        <x:v>Data Dictionary and Modeling Conventions</x:v>
      </x:c>
      <x:c r="E1" s="4" t="str">
        <x:v>Data Dictionary and Modeling Conventions</x:v>
      </x:c>
      <x:c r="F1" s="4" t="str">
        <x:v>Data Dictionary and Modeling Conventions</x:v>
      </x:c>
    </x:row>
    <x:row r="2" ht="34" customHeight="1">
      <x:c r="A2" s="9" t="str">
        <x:v>Definitions prevent the most common top-down errors: value versus volume, capacity versus throughput, and guidance versus forecast.</x:v>
      </x:c>
      <x:c r="B2" s="9" t="str">
        <x:v>Definitions prevent the most common top-down errors: value versus volume, capacity versus throughput, and guidance versus forecast.</x:v>
      </x:c>
      <x:c r="C2" s="9" t="str">
        <x:v>Definitions prevent the most common top-down errors: value versus volume, capacity versus throughput, and guidance versus forecast.</x:v>
      </x:c>
      <x:c r="D2" s="9" t="str">
        <x:v>Definitions prevent the most common top-down errors: value versus volume, capacity versus throughput, and guidance versus forecast.</x:v>
      </x:c>
      <x:c r="E2" s="9" t="str">
        <x:v>Definitions prevent the most common top-down errors: value versus volume, capacity versus throughput, and guidance versus forecast.</x:v>
      </x:c>
      <x:c r="F2" s="9" t="str">
        <x:v>Definitions prevent the most common top-down errors: value versus volume, capacity versus throughput, and guidance versus forecast.</x:v>
      </x:c>
    </x:row>
    <x:row r="4" ht="21" customHeight="1">
      <x:c r="A4" s="13" t="str">
        <x:v>Metric definitions</x:v>
      </x:c>
      <x:c r="B4" s="13" t="str">
        <x:v>Metric definitions</x:v>
      </x:c>
      <x:c r="C4" s="13" t="str">
        <x:v>Metric definitions</x:v>
      </x:c>
      <x:c r="D4" s="13" t="str">
        <x:v>Metric definitions</x:v>
      </x:c>
      <x:c r="E4" s="13" t="str">
        <x:v>Metric definitions</x:v>
      </x:c>
      <x:c r="F4" s="13" t="str">
        <x:v>Metric definitions</x:v>
      </x:c>
    </x:row>
    <x:row r="6" ht="32" customHeight="1">
      <x:c r="A6" s="65" t="str">
        <x:v>Metric</x:v>
      </x:c>
      <x:c r="B6" s="65" t="str">
        <x:v>Definition</x:v>
      </x:c>
      <x:c r="C6" s="65" t="str">
        <x:v>Standard unit</x:v>
      </x:c>
      <x:c r="D6" s="65" t="str">
        <x:v>Frequency</x:v>
      </x:c>
      <x:c r="E6" s="65" t="str">
        <x:v>Preferred source</x:v>
      </x:c>
      <x:c r="F6" s="65" t="str">
        <x:v>Modeling caveat</x:v>
      </x:c>
    </x:row>
    <x:row r="7" ht="39" customHeight="1">
      <x:c r="A7" s="85" t="str">
        <x:v>Trade turnover</x:v>
      </x:c>
      <x:c r="B7" s="86" t="str">
        <x:v>Exports + imports of goods</x:v>
      </x:c>
      <x:c r="C7" s="86" t="str">
        <x:v>USD bn</x:v>
      </x:c>
      <x:c r="D7" s="86" t="str">
        <x:v>Annual / partial year</x:v>
      </x:c>
      <x:c r="E7" s="86" t="str">
        <x:v>NSO</x:v>
      </x:c>
      <x:c r="F7" s="87" t="str">
        <x:v>Macro demand indicator; not TEU.</x:v>
      </x:c>
    </x:row>
    <x:row r="8" ht="39" customHeight="1">
      <x:c r="A8" s="88" t="str">
        <x:v>Registered FDI</x:v>
      </x:c>
      <x:c r="B8" s="89" t="str">
        <x:v>New, adjusted and contributed capital registered</x:v>
      </x:c>
      <x:c r="C8" s="89" t="str">
        <x:v>USD bn</x:v>
      </x:c>
      <x:c r="D8" s="89" t="str">
        <x:v>Annual / partial year</x:v>
      </x:c>
      <x:c r="E8" s="89" t="str">
        <x:v>NSO / FIA</x:v>
      </x:c>
      <x:c r="F8" s="90" t="str">
        <x:v>Pipeline indicator; timing to operations can be long.</x:v>
      </x:c>
    </x:row>
    <x:row r="9" ht="39" customHeight="1">
      <x:c r="A9" s="88" t="str">
        <x:v>Disbursed FDI</x:v>
      </x:c>
      <x:c r="B9" s="89" t="str">
        <x:v>Estimated realized capital</x:v>
      </x:c>
      <x:c r="C9" s="89" t="str">
        <x:v>USD bn</x:v>
      </x:c>
      <x:c r="D9" s="89" t="str">
        <x:v>Annual / partial year</x:v>
      </x:c>
      <x:c r="E9" s="89" t="str">
        <x:v>NSO / FIA</x:v>
      </x:c>
      <x:c r="F9" s="90" t="str">
        <x:v>Closer to real activity but not a direct port-volume measure.</x:v>
      </x:c>
    </x:row>
    <x:row r="10" ht="39" customHeight="1">
      <x:c r="A10" s="88" t="str">
        <x:v>Container throughput</x:v>
      </x:c>
      <x:c r="B10" s="89" t="str">
        <x:v>Containers handled under source-specific scope</x:v>
      </x:c>
      <x:c r="C10" s="89" t="str">
        <x:v>TEU / m TEU</x:v>
      </x:c>
      <x:c r="D10" s="89" t="str">
        <x:v>Monthly / quarterly / annual</x:v>
      </x:c>
      <x:c r="E10" s="89" t="str">
        <x:v>Regulator / issuer</x:v>
      </x:c>
      <x:c r="F10" s="90" t="str">
        <x:v>Check whether domestic, transshipment, empty and laden boxes are included.</x:v>
      </x:c>
    </x:row>
    <x:row r="11" ht="39" customHeight="1">
      <x:c r="A11" s="88" t="str">
        <x:v>Cargo throughput</x:v>
      </x:c>
      <x:c r="B11" s="89" t="str">
        <x:v>Cargo handled by weight</x:v>
      </x:c>
      <x:c r="C11" s="89" t="str">
        <x:v>tonnes / mn tonnes</x:v>
      </x:c>
      <x:c r="D11" s="89" t="str">
        <x:v>Monthly / quarterly / annual</x:v>
      </x:c>
      <x:c r="E11" s="89" t="str">
        <x:v>Regulator / issuer</x:v>
      </x:c>
      <x:c r="F11" s="90" t="str">
        <x:v>Never add to or compare directly with TEU.</x:v>
      </x:c>
    </x:row>
    <x:row r="12" ht="39" customHeight="1">
      <x:c r="A12" s="88" t="str">
        <x:v>Design capacity</x:v>
      </x:c>
      <x:c r="B12" s="89" t="str">
        <x:v>Nameplate handling capacity disclosed for an asset</x:v>
      </x:c>
      <x:c r="C12" s="89" t="str">
        <x:v>TEU/year</x:v>
      </x:c>
      <x:c r="D12" s="89" t="str">
        <x:v>Point-in-time</x:v>
      </x:c>
      <x:c r="E12" s="89" t="str">
        <x:v>Issuer / plan</x:v>
      </x:c>
      <x:c r="F12" s="90" t="str">
        <x:v>Not actual throughput; definition can differ across disclosures.</x:v>
      </x:c>
    </x:row>
    <x:row r="13" ht="39" customHeight="1">
      <x:c r="A13" s="88" t="str">
        <x:v>Utilization</x:v>
      </x:c>
      <x:c r="B13" s="89" t="str">
        <x:v>Actual throughput divided by comparable design capacity</x:v>
      </x:c>
      <x:c r="C13" s="89" t="str">
        <x:v>%</x:v>
      </x:c>
      <x:c r="D13" s="89" t="str">
        <x:v>Annual</x:v>
      </x:c>
      <x:c r="E13" s="89" t="str">
        <x:v>Model output</x:v>
      </x:c>
      <x:c r="F13" s="90" t="str">
        <x:v>Only calculate after scope and units are aligned.</x:v>
      </x:c>
    </x:row>
    <x:row r="14" ht="39" customHeight="1">
      <x:c r="A14" s="88" t="str">
        <x:v>Tariff</x:v>
      </x:c>
      <x:c r="B14" s="89" t="str">
        <x:v>Average or regulated handling/service price</x:v>
      </x:c>
      <x:c r="C14" s="89" t="str">
        <x:v>VND/TEU or VND/tonne</x:v>
      </x:c>
      <x:c r="D14" s="89" t="str">
        <x:v>Annual</x:v>
      </x:c>
      <x:c r="E14" s="89" t="str">
        <x:v>Issuer / regulation / analyst assumption</x:v>
      </x:c>
      <x:c r="F14" s="90" t="str">
        <x:v>Must distinguish regulated floor, list price and realized revenue per unit.</x:v>
      </x:c>
    </x:row>
    <x:row r="15" ht="39" customHeight="1">
      <x:c r="A15" s="88" t="str">
        <x:v>Revenue</x:v>
      </x:c>
      <x:c r="B15" s="89" t="str">
        <x:v>Reported net revenue</x:v>
      </x:c>
      <x:c r="C15" s="89" t="str">
        <x:v>VND bn</x:v>
      </x:c>
      <x:c r="D15" s="89" t="str">
        <x:v>Quarterly / annual</x:v>
      </x:c>
      <x:c r="E15" s="89" t="str">
        <x:v>Financial statements</x:v>
      </x:c>
      <x:c r="F15" s="90" t="str">
        <x:v>Keep consolidated and parent-company figures separate.</x:v>
      </x:c>
    </x:row>
    <x:row r="16" ht="39" customHeight="1">
      <x:c r="A16" s="88" t="str">
        <x:v>EBITDA</x:v>
      </x:c>
      <x:c r="B16" s="89" t="str">
        <x:v>EBIT plus depreciation and amortization</x:v>
      </x:c>
      <x:c r="C16" s="89" t="str">
        <x:v>VND bn</x:v>
      </x:c>
      <x:c r="D16" s="89" t="str">
        <x:v>Quarterly / annual</x:v>
      </x:c>
      <x:c r="E16" s="89" t="str">
        <x:v>Model output / issuer</x:v>
      </x:c>
      <x:c r="F16" s="90" t="str">
        <x:v>Use a consistent treatment of associates and one-offs.</x:v>
      </x:c>
    </x:row>
    <x:row r="17" ht="39" customHeight="1">
      <x:c r="A17" s="88" t="str">
        <x:v>PBT</x:v>
      </x:c>
      <x:c r="B17" s="89" t="str">
        <x:v>Profit before tax</x:v>
      </x:c>
      <x:c r="C17" s="89" t="str">
        <x:v>VND bn</x:v>
      </x:c>
      <x:c r="D17" s="89" t="str">
        <x:v>Quarterly / annual</x:v>
      </x:c>
      <x:c r="E17" s="89" t="str">
        <x:v>Financial statements / issuer</x:v>
      </x:c>
      <x:c r="F17" s="90" t="str">
        <x:v>Prior divestment gains can distort comparability.</x:v>
      </x:c>
    </x:row>
    <x:row r="18" ht="39" customHeight="1">
      <x:c r="A18" s="88" t="str">
        <x:v>Market share</x:v>
      </x:c>
      <x:c r="B18" s="89" t="str">
        <x:v>Company/asset throughput divided by a comparable market denominator</x:v>
      </x:c>
      <x:c r="C18" s="89" t="str">
        <x:v>%</x:v>
      </x:c>
      <x:c r="D18" s="89" t="str">
        <x:v>Quarterly / annual</x:v>
      </x:c>
      <x:c r="E18" s="89" t="str">
        <x:v>Issuer / calculated</x:v>
      </x:c>
      <x:c r="F18" s="90" t="str">
        <x:v>Issuer estimates require scope verification.</x:v>
      </x:c>
    </x:row>
    <x:row r="19" ht="39" customHeight="1">
      <x:c r="A19" s="88" t="str">
        <x:v>Management guidance</x:v>
      </x:c>
      <x:c r="B19" s="89" t="str">
        <x:v>Company plan or target</x:v>
      </x:c>
      <x:c r="C19" s="89" t="str">
        <x:v>Metric-specific</x:v>
      </x:c>
      <x:c r="D19" s="89" t="str">
        <x:v>Annual</x:v>
      </x:c>
      <x:c r="E19" s="89" t="str">
        <x:v>AGM / issuer</x:v>
      </x:c>
      <x:c r="F19" s="90" t="str">
        <x:v>Not an analyst forecast.</x:v>
      </x:c>
    </x:row>
    <x:row r="20" ht="39" customHeight="1">
      <x:c r="A20" s="88" t="str">
        <x:v>Analyst assumption</x:v>
      </x:c>
      <x:c r="B20" s="89" t="str">
        <x:v>Input selected by the researcher</x:v>
      </x:c>
      <x:c r="C20" s="89" t="str">
        <x:v>Metric-specific</x:v>
      </x:c>
      <x:c r="D20" s="89" t="str">
        <x:v>Forecast</x:v>
      </x:c>
      <x:c r="E20" s="89" t="str">
        <x:v>Model</x:v>
      </x:c>
      <x:c r="F20" s="90" t="str">
        <x:v>Must have rationale, date and sensitivity.</x:v>
      </x:c>
    </x:row>
    <x:row r="21" ht="39" customHeight="1">
      <x:c r="A21" s="91" t="str">
        <x:v>Model output</x:v>
      </x:c>
      <x:c r="B21" s="92" t="str">
        <x:v>Formula-derived result</x:v>
      </x:c>
      <x:c r="C21" s="92" t="str">
        <x:v>Metric-specific</x:v>
      </x:c>
      <x:c r="D21" s="92" t="str">
        <x:v>Historical / forecast</x:v>
      </x:c>
      <x:c r="E21" s="92" t="str">
        <x:v>Workbook</x:v>
      </x:c>
      <x:c r="F21" s="93" t="str">
        <x:v>Never hardcode output cells.</x:v>
      </x:c>
    </x:row>
  </x:sheetData>
  <x:mergeCells>
    <x:mergeCell ref="A1:F1"/>
    <x:mergeCell ref="A2:F2"/>
    <x:mergeCell ref="A4:F4"/>
  </x:mergeCells>
  <x:pageMargins left="0.7" right="0.7" top="0.75" bottom="0.75" header="0.3" footer="0.3"/>
  <x:tableParts count="1">
    <x:tablePart xmlns:r="http://schemas.openxmlformats.org/officeDocument/2006/relationships" r:id="R11cc07e0b4534bf4"/>
  </x:tableParts>
</x:worksheet>
</file>

<file path=xl/worksheets/sheet11.xml><?xml version="1.0" encoding="utf-8"?>
<x:worksheet xmlns:x="http://schemas.openxmlformats.org/spreadsheetml/2006/main">
  <x:sheetViews>
    <x:sheetView showGridLines="0" workbookViewId="0"/>
  </x:sheetViews>
  <x:sheetFormatPr defaultRowHeight="15"/>
  <x:cols>
    <x:col min="1" max="1" width="12" hidden="0" customWidth="1"/>
    <x:col min="2" max="2" width="16" hidden="0" customWidth="1"/>
    <x:col min="3" max="3" width="55" hidden="0" customWidth="1"/>
    <x:col min="4" max="4" width="13" hidden="0" customWidth="1"/>
    <x:col min="5" max="5" width="21" hidden="0" customWidth="1"/>
    <x:col min="6" max="6" width="17" hidden="0" customWidth="1"/>
    <x:col min="7" max="7" width="16" hidden="0" customWidth="1"/>
    <x:col min="8" max="8" width="54" hidden="0" customWidth="1"/>
    <x:col min="9" max="9" width="45" hidden="0" customWidth="1"/>
  </x:cols>
  <x:sheetData>
    <x:row r="1" ht="30" customHeight="1">
      <x:c r="A1" s="4" t="str">
        <x:v>Gap Log — Controlled Missing Evidence</x:v>
      </x:c>
      <x:c r="B1" s="4" t="str">
        <x:v>Gap Log — Controlled Missing Evidence</x:v>
      </x:c>
      <x:c r="C1" s="4" t="str">
        <x:v>Gap Log — Controlled Missing Evidence</x:v>
      </x:c>
      <x:c r="D1" s="4" t="str">
        <x:v>Gap Log — Controlled Missing Evidence</x:v>
      </x:c>
      <x:c r="E1" s="4" t="str">
        <x:v>Gap Log — Controlled Missing Evidence</x:v>
      </x:c>
      <x:c r="F1" s="4" t="str">
        <x:v>Gap Log — Controlled Missing Evidence</x:v>
      </x:c>
      <x:c r="G1" s="4" t="str">
        <x:v>Gap Log — Controlled Missing Evidence</x:v>
      </x:c>
      <x:c r="H1" s="4" t="str">
        <x:v>Gap Log — Controlled Missing Evidence</x:v>
      </x:c>
      <x:c r="I1" s="4" t="str">
        <x:v>Gap Log — Controlled Missing Evidence</x:v>
      </x:c>
    </x:row>
    <x:row r="2" ht="34" customHeight="1">
      <x:c r="A2" s="9" t="str">
        <x:v>A blank is preferable to an unsupported estimate. Every material gap has a priority, owner, next action and the phase in which it must be closed.</x:v>
      </x:c>
      <x:c r="B2" s="9" t="str">
        <x:v>A blank is preferable to an unsupported estimate. Every material gap has a priority, owner, next action and the phase in which it must be closed.</x:v>
      </x:c>
      <x:c r="C2" s="9" t="str">
        <x:v>A blank is preferable to an unsupported estimate. Every material gap has a priority, owner, next action and the phase in which it must be closed.</x:v>
      </x:c>
      <x:c r="D2" s="9" t="str">
        <x:v>A blank is preferable to an unsupported estimate. Every material gap has a priority, owner, next action and the phase in which it must be closed.</x:v>
      </x:c>
      <x:c r="E2" s="9" t="str">
        <x:v>A blank is preferable to an unsupported estimate. Every material gap has a priority, owner, next action and the phase in which it must be closed.</x:v>
      </x:c>
      <x:c r="F2" s="9" t="str">
        <x:v>A blank is preferable to an unsupported estimate. Every material gap has a priority, owner, next action and the phase in which it must be closed.</x:v>
      </x:c>
      <x:c r="G2" s="9" t="str">
        <x:v>A blank is preferable to an unsupported estimate. Every material gap has a priority, owner, next action and the phase in which it must be closed.</x:v>
      </x:c>
      <x:c r="H2" s="9" t="str">
        <x:v>A blank is preferable to an unsupported estimate. Every material gap has a priority, owner, next action and the phase in which it must be closed.</x:v>
      </x:c>
      <x:c r="I2" s="9" t="str">
        <x:v>A blank is preferable to an unsupported estimate. Every material gap has a priority, owner, next action and the phase in which it must be closed.</x:v>
      </x:c>
    </x:row>
    <x:row r="4" ht="21" customHeight="1">
      <x:c r="A4" s="13" t="str">
        <x:v>Open evidence requests</x:v>
      </x:c>
      <x:c r="B4" s="13" t="str">
        <x:v>Open evidence requests</x:v>
      </x:c>
      <x:c r="C4" s="13" t="str">
        <x:v>Open evidence requests</x:v>
      </x:c>
      <x:c r="D4" s="13" t="str">
        <x:v>Open evidence requests</x:v>
      </x:c>
      <x:c r="E4" s="13" t="str">
        <x:v>Open evidence requests</x:v>
      </x:c>
      <x:c r="F4" s="13" t="str">
        <x:v>Open evidence requests</x:v>
      </x:c>
      <x:c r="G4" s="13" t="str">
        <x:v>Open evidence requests</x:v>
      </x:c>
      <x:c r="H4" s="13" t="str">
        <x:v>Open evidence requests</x:v>
      </x:c>
      <x:c r="I4" s="13" t="str">
        <x:v>Open evidence requests</x:v>
      </x:c>
    </x:row>
    <x:row r="6" ht="32" customHeight="1">
      <x:c r="A6" s="65" t="str">
        <x:v>Gap ID</x:v>
      </x:c>
      <x:c r="B6" s="65" t="str">
        <x:v>Topic</x:v>
      </x:c>
      <x:c r="C6" s="65" t="str">
        <x:v>Missing evidence</x:v>
      </x:c>
      <x:c r="D6" s="65" t="str">
        <x:v>Priority</x:v>
      </x:c>
      <x:c r="E6" s="65" t="str">
        <x:v>Status</x:v>
      </x:c>
      <x:c r="F6" s="65" t="str">
        <x:v>Required by</x:v>
      </x:c>
      <x:c r="G6" s="65" t="str">
        <x:v>Owner</x:v>
      </x:c>
      <x:c r="H6" s="65" t="str">
        <x:v>Next action</x:v>
      </x:c>
      <x:c r="I6" s="65" t="str">
        <x:v>Why it matters</x:v>
      </x:c>
    </x:row>
    <x:row r="7" ht="45" customHeight="1">
      <x:c r="A7" s="85" t="str">
        <x:v>GAP-01</x:v>
      </x:c>
      <x:c r="B7" s="86" t="str">
        <x:v>Industry</x:v>
      </x:c>
      <x:c r="C7" s="86" t="str">
        <x:v>Annual national container-throughput series for 2021–2024 with identical scope</x:v>
      </x:c>
      <x:c r="D7" s="86" t="str">
        <x:v>High</x:v>
      </x:c>
      <x:c r="E7" s="143" t="str">
        <x:v>Open</x:v>
      </x:c>
      <x:c r="F7" s="86" t="str">
        <x:v>Phase 3</x:v>
      </x:c>
      <x:c r="G7" s="86" t="str">
        <x:v>Researcher</x:v>
      </x:c>
      <x:c r="H7" s="86" t="str">
        <x:v>Download regulator annual/monthly reports and reconcile definition changes.</x:v>
      </x:c>
      <x:c r="I7" s="87" t="str">
        <x:v>Required to estimate trade-to-TEU elasticity.</x:v>
      </x:c>
    </x:row>
    <x:row r="8" ht="45" customHeight="1">
      <x:c r="A8" s="88" t="str">
        <x:v>GAP-02</x:v>
      </x:c>
      <x:c r="B8" s="89" t="str">
        <x:v>Regional</x:v>
      </x:c>
      <x:c r="C8" s="89" t="str">
        <x:v>Comparable North / Central / South TEU history</x:v>
      </x:c>
      <x:c r="D8" s="89" t="str">
        <x:v>High</x:v>
      </x:c>
      <x:c r="E8" s="140" t="str">
        <x:v>Partially closed</x:v>
      </x:c>
      <x:c r="F8" s="89" t="str">
        <x:v>Phase 3</x:v>
      </x:c>
      <x:c r="G8" s="89" t="str">
        <x:v>Researcher</x:v>
      </x:c>
      <x:c r="H8" s="89" t="str">
        <x:v>Regional positioning map is complete; annual regional TEU history remains required for the forecast.</x:v>
      </x:c>
      <x:c r="I8" s="90" t="str">
        <x:v>Needed to avoid applying national growth equally to all assets.</x:v>
      </x:c>
    </x:row>
    <x:row r="9" ht="45" customHeight="1">
      <x:c r="A9" s="88" t="str">
        <x:v>GAP-03</x:v>
      </x:c>
      <x:c r="B9" s="89" t="str">
        <x:v>GMD</x:v>
      </x:c>
      <x:c r="C9" s="89" t="str">
        <x:v>Port-level throughput history and utilization</x:v>
      </x:c>
      <x:c r="D9" s="89" t="str">
        <x:v>High</x:v>
      </x:c>
      <x:c r="E9" s="140" t="str">
        <x:v>Partially closed</x:v>
      </x:c>
      <x:c r="F9" s="89" t="str">
        <x:v>Phase 4</x:v>
      </x:c>
      <x:c r="G9" s="89" t="str">
        <x:v>Researcher</x:v>
      </x:c>
      <x:c r="H9" s="89" t="str">
        <x:v>Five-year system history is loaded; 2021–2022 throughput is derived from rounded issuer growth labels, while 2023–2025 uses exact disclosed points.</x:v>
      </x:c>
      <x:c r="I9" s="90" t="str">
        <x:v>Core driver for throughput × tariff model.</x:v>
      </x:c>
    </x:row>
    <x:row r="10" ht="45" customHeight="1">
      <x:c r="A10" s="88" t="str">
        <x:v>GAP-04</x:v>
      </x:c>
      <x:c r="B10" s="89" t="str">
        <x:v>GMD</x:v>
      </x:c>
      <x:c r="C10" s="89" t="str">
        <x:v>Nam Dinh Vu Phase 3 capacity: 650k versus 800k TEU</x:v>
      </x:c>
      <x:c r="D10" s="89" t="str">
        <x:v>High</x:v>
      </x:c>
      <x:c r="E10" s="140" t="str">
        <x:v>Open — controlled</x:v>
      </x:c>
      <x:c r="F10" s="89" t="str">
        <x:v>Phase 4</x:v>
      </x:c>
      <x:c r="G10" s="89" t="str">
        <x:v>Researcher</x:v>
      </x:c>
      <x:c r="H10" s="89" t="str">
        <x:v>Capacity definitions remain asset- and phase-specific; the forecast must keep North and South capacity ramps separate.</x:v>
      </x:c>
      <x:c r="I10" s="90" t="str">
        <x:v>Do not average the two figures.</x:v>
      </x:c>
    </x:row>
    <x:row r="11" ht="45" customHeight="1">
      <x:c r="A11" s="88" t="str">
        <x:v>GAP-05</x:v>
      </x:c>
      <x:c r="B11" s="89" t="str">
        <x:v>GMD</x:v>
      </x:c>
      <x:c r="C11" s="89" t="str">
        <x:v>Gemalink Phase 2 timing: early versus late 2027</x:v>
      </x:c>
      <x:c r="D11" s="89" t="str">
        <x:v>Medium</x:v>
      </x:c>
      <x:c r="E11" s="140" t="str">
        <x:v>Open — latest used</x:v>
      </x:c>
      <x:c r="F11" s="89" t="str">
        <x:v>Phase 3</x:v>
      </x:c>
      <x:c r="G11" s="89" t="str">
        <x:v>Researcher</x:v>
      </x:c>
      <x:c r="H11" s="89" t="str">
        <x:v>Use Q1 2026 newsletter as latest; monitor subsequent IR.</x:v>
      </x:c>
      <x:c r="I11" s="90" t="str">
        <x:v>Timing changes volume and capex phasing.</x:v>
      </x:c>
    </x:row>
    <x:row r="12" ht="45" customHeight="1">
      <x:c r="A12" s="88" t="str">
        <x:v>GAP-06</x:v>
      </x:c>
      <x:c r="B12" s="89" t="str">
        <x:v>VSC</x:v>
      </x:c>
      <x:c r="C12" s="89" t="str">
        <x:v>Auditable issuer-level 2025 capacity, throughput and revenue split</x:v>
      </x:c>
      <x:c r="D12" s="89" t="str">
        <x:v>High</x:v>
      </x:c>
      <x:c r="E12" s="140" t="str">
        <x:v>Partially closed</x:v>
      </x:c>
      <x:c r="F12" s="89" t="str">
        <x:v>Phase 3</x:v>
      </x:c>
      <x:c r="G12" s="89" t="str">
        <x:v>Researcher</x:v>
      </x:c>
      <x:c r="H12" s="89" t="str">
        <x:v>2025 financial statements verified; port-level 2025 throughput remains undisclosed in an auditable issuer table.</x:v>
      </x:c>
      <x:c r="I12" s="90" t="str">
        <x:v>Secondary capacity figure cannot finalize peer score.</x:v>
      </x:c>
    </x:row>
    <x:row r="13" ht="45" customHeight="1">
      <x:c r="A13" s="88" t="str">
        <x:v>GAP-07</x:v>
      </x:c>
      <x:c r="B13" s="89" t="str">
        <x:v>PHP</x:v>
      </x:c>
      <x:c r="C13" s="89" t="str">
        <x:v>Normalize parent versus consolidated throughput and profit definition</x:v>
      </x:c>
      <x:c r="D13" s="89" t="str">
        <x:v>Medium</x:v>
      </x:c>
      <x:c r="E13" s="140" t="str">
        <x:v>Open</x:v>
      </x:c>
      <x:c r="F13" s="89" t="str">
        <x:v>Phase 4</x:v>
      </x:c>
      <x:c r="G13" s="89" t="str">
        <x:v>Researcher</x:v>
      </x:c>
      <x:c r="H13" s="89" t="str">
        <x:v>Tie annual-report operating table to audited financial statements.</x:v>
      </x:c>
      <x:c r="I13" s="90" t="str">
        <x:v>Avoid double counting subsidiaries/associates.</x:v>
      </x:c>
    </x:row>
    <x:row r="14" ht="45" customHeight="1">
      <x:c r="A14" s="88" t="str">
        <x:v>GAP-08</x:v>
      </x:c>
      <x:c r="B14" s="89" t="str">
        <x:v>DVP</x:v>
      </x:c>
      <x:c r="C14" s="89" t="str">
        <x:v>2025 numerical KPI and financial table</x:v>
      </x:c>
      <x:c r="D14" s="89" t="str">
        <x:v>High</x:v>
      </x:c>
      <x:c r="E14" s="140" t="str">
        <x:v>Closed for peer screen</x:v>
      </x:c>
      <x:c r="F14" s="89" t="str">
        <x:v>Phase 2</x:v>
      </x:c>
      <x:c r="G14" s="89" t="str">
        <x:v>Researcher</x:v>
      </x:c>
      <x:c r="H14" s="89" t="str">
        <x:v>Official 2025 throughput, revenue, PBT and 2026 AGM plan loaded.</x:v>
      </x:c>
      <x:c r="I14" s="90" t="str">
        <x:v>Current evidence is qualitative only.</x:v>
      </x:c>
    </x:row>
    <x:row r="15" ht="45" customHeight="1">
      <x:c r="A15" s="88" t="str">
        <x:v>GAP-09</x:v>
      </x:c>
      <x:c r="B15" s="89" t="str">
        <x:v>Pricing</x:v>
      </x:c>
      <x:c r="C15" s="89" t="str">
        <x:v>Port-level realized tariff / revenue per TEU</x:v>
      </x:c>
      <x:c r="D15" s="89" t="str">
        <x:v>High</x:v>
      </x:c>
      <x:c r="E15" s="140" t="str">
        <x:v>Controlled proxy built</x:v>
      </x:c>
      <x:c r="F15" s="89" t="str">
        <x:v>Phase 4</x:v>
      </x:c>
      <x:c r="G15" s="89" t="str">
        <x:v>Researcher</x:v>
      </x:c>
      <x:c r="H15" s="89" t="str">
        <x:v>Implied port revenue per system TEU remains a price/mix/scope proxy, not a realized tariff.</x:v>
      </x:c>
      <x:c r="I15" s="90" t="str">
        <x:v>Needed to bridge volume to revenue.</x:v>
      </x:c>
    </x:row>
    <x:row r="16" ht="45" customHeight="1">
      <x:c r="A16" s="91" t="str">
        <x:v>GAP-10</x:v>
      </x:c>
      <x:c r="B16" s="92" t="str">
        <x:v>Valuation</x:v>
      </x:c>
      <x:c r="C16" s="92" t="str">
        <x:v>Common market-price date, shares, net debt and minority-interest treatment</x:v>
      </x:c>
      <x:c r="D16" s="92" t="str">
        <x:v>High</x:v>
      </x:c>
      <x:c r="E16" s="144" t="str">
        <x:v>Not started</x:v>
      </x:c>
      <x:c r="F16" s="92" t="str">
        <x:v>Phase 4</x:v>
      </x:c>
      <x:c r="G16" s="92" t="str">
        <x:v>Researcher</x:v>
      </x:c>
      <x:c r="H16" s="92" t="str">
        <x:v>Lock one valuation date and official share counts.</x:v>
      </x:c>
      <x:c r="I16" s="93" t="str">
        <x:v>No rating or target price before this is complete.</x:v>
      </x:c>
    </x:row>
  </x:sheetData>
  <x:mergeCells>
    <x:mergeCell ref="A1:I1"/>
    <x:mergeCell ref="A2:I2"/>
    <x:mergeCell ref="A4:I4"/>
  </x:mergeCells>
  <x:conditionalFormatting sqref="D7:D16">
    <x:cfRule type="cellIs" dxfId="0" priority="1" operator="equal">
      <x:formula>"High"</x:formula>
    </x:cfRule>
  </x:conditionalFormatting>
  <x:pageMargins left="0.7" right="0.7" top="0.75" bottom="0.75" header="0.3" footer="0.3"/>
  <x:tableParts count="1">
    <x:tablePart xmlns:r="http://schemas.openxmlformats.org/officeDocument/2006/relationships" r:id="R1ca2724dfecf45c7"/>
  </x:tableParts>
</x:worksheet>
</file>

<file path=xl/worksheets/sheet12.xml><?xml version="1.0" encoding="utf-8"?>
<x:worksheet xmlns:x="http://schemas.openxmlformats.org/spreadsheetml/2006/main">
  <x:sheetViews>
    <x:sheetView showGridLines="0" workbookViewId="0"/>
  </x:sheetViews>
  <x:sheetFormatPr defaultRowHeight="15"/>
  <x:cols>
    <x:col min="1" max="1" width="35" hidden="0" customWidth="1"/>
    <x:col min="2" max="2" width="15" hidden="0" customWidth="1"/>
    <x:col min="3" max="3" width="15" hidden="0" customWidth="1"/>
    <x:col min="4" max="4" width="15" hidden="0" customWidth="1"/>
    <x:col min="5" max="5" width="14" hidden="0" customWidth="1"/>
    <x:col min="6" max="6" width="58" hidden="0" customWidth="1"/>
  </x:cols>
  <x:sheetData>
    <x:row r="1" ht="30" customHeight="1">
      <x:c r="A1" s="4" t="str">
        <x:v>Checks — Phase 0 &amp; 1 Control Sheet</x:v>
      </x:c>
      <x:c r="B1" s="4" t="str">
        <x:v>Checks — Phase 0 &amp; 1 Control Sheet</x:v>
      </x:c>
      <x:c r="C1" s="4" t="str">
        <x:v>Checks — Phase 0 &amp; 1 Control Sheet</x:v>
      </x:c>
      <x:c r="D1" s="4" t="str">
        <x:v>Checks — Phase 0 &amp; 1 Control Sheet</x:v>
      </x:c>
      <x:c r="E1" s="4" t="str">
        <x:v>Checks — Phase 0 &amp; 1 Control Sheet</x:v>
      </x:c>
      <x:c r="F1" s="4" t="str">
        <x:v>Checks — Phase 0 &amp; 1 Control Sheet</x:v>
      </x:c>
    </x:row>
    <x:row r="2" ht="34" customHeight="1">
      <x:c r="A2" s="9" t="str">
        <x:v>Formula-driven checks verify source coverage, formula tie-outs and key unit boundaries. Passing checks do not constitute an investment recommendation.</x:v>
      </x:c>
      <x:c r="B2" s="9" t="str">
        <x:v>Formula-driven checks verify source coverage, formula tie-outs and key unit boundaries. Passing checks do not constitute an investment recommendation.</x:v>
      </x:c>
      <x:c r="C2" s="9" t="str">
        <x:v>Formula-driven checks verify source coverage, formula tie-outs and key unit boundaries. Passing checks do not constitute an investment recommendation.</x:v>
      </x:c>
      <x:c r="D2" s="9" t="str">
        <x:v>Formula-driven checks verify source coverage, formula tie-outs and key unit boundaries. Passing checks do not constitute an investment recommendation.</x:v>
      </x:c>
      <x:c r="E2" s="9" t="str">
        <x:v>Formula-driven checks verify source coverage, formula tie-outs and key unit boundaries. Passing checks do not constitute an investment recommendation.</x:v>
      </x:c>
      <x:c r="F2" s="9" t="str">
        <x:v>Formula-driven checks verify source coverage, formula tie-outs and key unit boundaries. Passing checks do not constitute an investment recommendation.</x:v>
      </x:c>
    </x:row>
    <x:row r="4" ht="21" customHeight="1">
      <x:c r="A4" s="13" t="str">
        <x:v>Audit checks</x:v>
      </x:c>
      <x:c r="B4" s="13" t="str">
        <x:v>Audit checks</x:v>
      </x:c>
      <x:c r="C4" s="13" t="str">
        <x:v>Audit checks</x:v>
      </x:c>
      <x:c r="D4" s="13" t="str">
        <x:v>Audit checks</x:v>
      </x:c>
      <x:c r="E4" s="13" t="str">
        <x:v>Audit checks</x:v>
      </x:c>
      <x:c r="F4" s="13" t="str">
        <x:v>Audit checks</x:v>
      </x:c>
    </x:row>
    <x:row r="6" ht="32" customHeight="1">
      <x:c r="A6" s="65" t="str">
        <x:v>Check</x:v>
      </x:c>
      <x:c r="B6" s="65" t="str">
        <x:v>Actual</x:v>
      </x:c>
      <x:c r="C6" s="65" t="str">
        <x:v>Expected</x:v>
      </x:c>
      <x:c r="D6" s="65" t="str">
        <x:v>Difference</x:v>
      </x:c>
      <x:c r="E6" s="65" t="str">
        <x:v>Status</x:v>
      </x:c>
      <x:c r="F6" s="65" t="str">
        <x:v>Control note</x:v>
      </x:c>
    </x:row>
    <x:row r="7" ht="29" customHeight="1">
      <x:c r="A7" s="85" t="str">
        <x:v>Registered sources</x:v>
      </x:c>
      <x:c r="B7" s="145" t="n">
        <x:f>COUNTA('Source Audit'!A7:A32)</x:f>
        <x:v>26</x:v>
      </x:c>
      <x:c r="C7" s="104" t="n">
        <x:v>26</x:v>
      </x:c>
      <x:c r="D7" s="104" t="n">
        <x:f>B7-C7</x:f>
        <x:v>0</x:v>
      </x:c>
      <x:c r="E7" s="148" t="str">
        <x:f>IF(ABS(D7)&lt;0.0001,"OK","CHECK")</x:f>
        <x:v>OK</x:v>
      </x:c>
      <x:c r="F7" s="87" t="str">
        <x:v>Source Audit count</x:v>
      </x:c>
    </x:row>
    <x:row r="8" ht="29" customHeight="1">
      <x:c r="A8" s="88" t="str">
        <x:v>Annual macro rows</x:v>
      </x:c>
      <x:c r="B8" s="146" t="n">
        <x:f>COUNTA('Macro Annual'!A7:A11)</x:f>
        <x:v>5</x:v>
      </x:c>
      <x:c r="C8" s="106" t="n">
        <x:v>5</x:v>
      </x:c>
      <x:c r="D8" s="106" t="n">
        <x:f>B8-C8</x:f>
        <x:v>0</x:v>
      </x:c>
      <x:c r="E8" s="149" t="str">
        <x:f>IF(ABS(D8)&lt;0.0001,"OK","CHECK")</x:f>
        <x:v>OK</x:v>
      </x:c>
      <x:c r="F8" s="90" t="str">
        <x:v>Five years loaded</x:v>
      </x:c>
    </x:row>
    <x:row r="9" ht="29" customHeight="1">
      <x:c r="A9" s="88" t="str">
        <x:v>H1 macro facts</x:v>
      </x:c>
      <x:c r="B9" s="146" t="n">
        <x:f>COUNTA('Macro H1 2026'!A7:A11)</x:f>
        <x:v>5</x:v>
      </x:c>
      <x:c r="C9" s="106" t="n">
        <x:v>5</x:v>
      </x:c>
      <x:c r="D9" s="106" t="n">
        <x:f>B9-C9</x:f>
        <x:v>0</x:v>
      </x:c>
      <x:c r="E9" s="149" t="str">
        <x:f>IF(ABS(D9)&lt;0.0001,"OK","CHECK")</x:f>
        <x:v>OK</x:v>
      </x:c>
      <x:c r="F9" s="90" t="str">
        <x:v>Latest snapshot loaded</x:v>
      </x:c>
    </x:row>
    <x:row r="10" ht="29" customHeight="1">
      <x:c r="A10" s="88" t="str">
        <x:v>Industry facts</x:v>
      </x:c>
      <x:c r="B10" s="146" t="n">
        <x:f>COUNTA('Industry Facts'!A7:A17)</x:f>
        <x:v>11</x:v>
      </x:c>
      <x:c r="C10" s="106" t="n">
        <x:v>11</x:v>
      </x:c>
      <x:c r="D10" s="106" t="n">
        <x:f>B10-C10</x:f>
        <x:v>0</x:v>
      </x:c>
      <x:c r="E10" s="149" t="str">
        <x:f>IF(ABS(D10)&lt;0.0001,"OK","CHECK")</x:f>
        <x:v>OK</x:v>
      </x:c>
      <x:c r="F10" s="90" t="str">
        <x:v>Facts and planning targets remain classified</x:v>
      </x:c>
    </x:row>
    <x:row r="11" ht="29" customHeight="1">
      <x:c r="A11" s="88" t="str">
        <x:v>GMD historical rows</x:v>
      </x:c>
      <x:c r="B11" s="146" t="n">
        <x:f>COUNTA('GMD Historical'!A7:A12)</x:f>
        <x:v>6</x:v>
      </x:c>
      <x:c r="C11" s="106" t="n">
        <x:v>6</x:v>
      </x:c>
      <x:c r="D11" s="106" t="n">
        <x:f>B11-C11</x:f>
        <x:v>0</x:v>
      </x:c>
      <x:c r="E11" s="149" t="str">
        <x:f>IF(ABS(D11)&lt;0.0001,"OK","CHECK")</x:f>
        <x:v>OK</x:v>
      </x:c>
      <x:c r="F11" s="90" t="str">
        <x:v>Historical series loaded</x:v>
      </x:c>
    </x:row>
    <x:row r="12" ht="29" customHeight="1">
      <x:c r="A12" s="88" t="str">
        <x:v>GMD operating facts</x:v>
      </x:c>
      <x:c r="B12" s="146" t="n">
        <x:f>COUNTA('GMD Operations'!A7:A26)</x:f>
        <x:v>20</x:v>
      </x:c>
      <x:c r="C12" s="106" t="n">
        <x:v>20</x:v>
      </x:c>
      <x:c r="D12" s="106" t="n">
        <x:f>B12-C12</x:f>
        <x:v>0</x:v>
      </x:c>
      <x:c r="E12" s="149" t="str">
        <x:f>IF(ABS(D12)&lt;0.0001,"OK","CHECK")</x:f>
        <x:v>OK</x:v>
      </x:c>
      <x:c r="F12" s="90" t="str">
        <x:v>Capacity and actuals remain separate</x:v>
      </x:c>
    </x:row>
    <x:row r="13" ht="29" customHeight="1">
      <x:c r="A13" s="88" t="str">
        <x:v>Peer companies</x:v>
      </x:c>
      <x:c r="B13" s="146" t="n">
        <x:f>COUNTA('Peer Registry'!A7:A10)</x:f>
        <x:v>4</x:v>
      </x:c>
      <x:c r="C13" s="106" t="n">
        <x:v>4</x:v>
      </x:c>
      <x:c r="D13" s="106" t="n">
        <x:f>B13-C13</x:f>
        <x:v>0</x:v>
      </x:c>
      <x:c r="E13" s="149" t="str">
        <x:f>IF(ABS(D13)&lt;0.0001,"OK","CHECK")</x:f>
        <x:v>OK</x:v>
      </x:c>
      <x:c r="F13" s="90" t="str">
        <x:v>Universe contains GMD, VSC, PHP and DVP</x:v>
      </x:c>
    </x:row>
    <x:row r="14" ht="29" customHeight="1">
      <x:c r="A14" s="88" t="str">
        <x:v>Data-dictionary rows</x:v>
      </x:c>
      <x:c r="B14" s="146" t="n">
        <x:f>COUNTA('Data Dictionary'!A7:A21)</x:f>
        <x:v>15</x:v>
      </x:c>
      <x:c r="C14" s="106" t="n">
        <x:v>15</x:v>
      </x:c>
      <x:c r="D14" s="106" t="n">
        <x:f>B14-C14</x:f>
        <x:v>0</x:v>
      </x:c>
      <x:c r="E14" s="149" t="str">
        <x:f>IF(ABS(D14)&lt;0.0001,"OK","CHECK")</x:f>
        <x:v>OK</x:v>
      </x:c>
      <x:c r="F14" s="90" t="str">
        <x:v>Definitions loaded</x:v>
      </x:c>
    </x:row>
    <x:row r="15" ht="29" customHeight="1">
      <x:c r="A15" s="88" t="str">
        <x:v>Gap-log rows</x:v>
      </x:c>
      <x:c r="B15" s="146" t="n">
        <x:f>COUNTA('Gap Log'!A7:A16)</x:f>
        <x:v>10</x:v>
      </x:c>
      <x:c r="C15" s="106" t="n">
        <x:v>10</x:v>
      </x:c>
      <x:c r="D15" s="106" t="n">
        <x:f>B15-C15</x:f>
        <x:v>0</x:v>
      </x:c>
      <x:c r="E15" s="149" t="str">
        <x:f>IF(ABS(D15)&lt;0.0001,"OK","CHECK")</x:f>
        <x:v>OK</x:v>
      </x:c>
      <x:c r="F15" s="90" t="str">
        <x:v>No unsupported estimate used to fill gaps</x:v>
      </x:c>
    </x:row>
    <x:row r="16" ht="29" customHeight="1">
      <x:c r="A16" s="88" t="str">
        <x:v>2021 trade tie-out</x:v>
      </x:c>
      <x:c r="B16" s="146" t="n">
        <x:f>'Macro Annual'!I7</x:f>
        <x:v>0</x:v>
      </x:c>
      <x:c r="C16" s="106" t="n">
        <x:v>0</x:v>
      </x:c>
      <x:c r="D16" s="106" t="n">
        <x:f>B16-C16</x:f>
        <x:v>0</x:v>
      </x:c>
      <x:c r="E16" s="149" t="str">
        <x:f>IF(ABS(D16)&lt;0.0001,"OK","CHECK")</x:f>
        <x:v>OK</x:v>
      </x:c>
      <x:c r="F16" s="90" t="str">
        <x:v>Total trade equals exports plus imports</x:v>
      </x:c>
    </x:row>
    <x:row r="17" ht="29" customHeight="1">
      <x:c r="A17" s="88" t="str">
        <x:v>2022 trade tie-out</x:v>
      </x:c>
      <x:c r="B17" s="146" t="n">
        <x:f>'Macro Annual'!I8</x:f>
        <x:v>0</x:v>
      </x:c>
      <x:c r="C17" s="106" t="n">
        <x:v>0</x:v>
      </x:c>
      <x:c r="D17" s="106" t="n">
        <x:f>B17-C17</x:f>
        <x:v>0</x:v>
      </x:c>
      <x:c r="E17" s="149" t="str">
        <x:f>IF(ABS(D17)&lt;0.0001,"OK","CHECK")</x:f>
        <x:v>OK</x:v>
      </x:c>
      <x:c r="F17" s="90" t="str">
        <x:v>Total trade equals exports plus imports</x:v>
      </x:c>
    </x:row>
    <x:row r="18" ht="29" customHeight="1">
      <x:c r="A18" s="88" t="str">
        <x:v>2023 trade tie-out</x:v>
      </x:c>
      <x:c r="B18" s="146" t="n">
        <x:f>'Macro Annual'!I9</x:f>
        <x:v>0</x:v>
      </x:c>
      <x:c r="C18" s="106" t="n">
        <x:v>0</x:v>
      </x:c>
      <x:c r="D18" s="106" t="n">
        <x:f>B18-C18</x:f>
        <x:v>0</x:v>
      </x:c>
      <x:c r="E18" s="149" t="str">
        <x:f>IF(ABS(D18)&lt;0.0001,"OK","CHECK")</x:f>
        <x:v>OK</x:v>
      </x:c>
      <x:c r="F18" s="90" t="str">
        <x:v>Total trade equals exports plus imports</x:v>
      </x:c>
    </x:row>
    <x:row r="19" ht="29" customHeight="1">
      <x:c r="A19" s="88" t="str">
        <x:v>2024 trade tie-out</x:v>
      </x:c>
      <x:c r="B19" s="146" t="n">
        <x:f>'Macro Annual'!I10</x:f>
        <x:v>0</x:v>
      </x:c>
      <x:c r="C19" s="106" t="n">
        <x:v>0</x:v>
      </x:c>
      <x:c r="D19" s="106" t="n">
        <x:f>B19-C19</x:f>
        <x:v>0</x:v>
      </x:c>
      <x:c r="E19" s="149" t="str">
        <x:f>IF(ABS(D19)&lt;0.0001,"OK","CHECK")</x:f>
        <x:v>OK</x:v>
      </x:c>
      <x:c r="F19" s="90" t="str">
        <x:v>Total trade equals exports plus imports</x:v>
      </x:c>
    </x:row>
    <x:row r="20" ht="29" customHeight="1">
      <x:c r="A20" s="88" t="str">
        <x:v>2025 trade tie-out</x:v>
      </x:c>
      <x:c r="B20" s="146" t="n">
        <x:f>'Macro Annual'!I11</x:f>
        <x:v>0</x:v>
      </x:c>
      <x:c r="C20" s="106" t="n">
        <x:v>0</x:v>
      </x:c>
      <x:c r="D20" s="106" t="n">
        <x:f>B20-C20</x:f>
        <x:v>0</x:v>
      </x:c>
      <x:c r="E20" s="149" t="str">
        <x:f>IF(ABS(D20)&lt;0.0001,"OK","CHECK")</x:f>
        <x:v>OK</x:v>
      </x:c>
      <x:c r="F20" s="90" t="str">
        <x:v>Total trade equals exports plus imports</x:v>
      </x:c>
    </x:row>
    <x:row r="21" ht="29" customHeight="1">
      <x:c r="A21" s="91" t="str">
        <x:v>Model boundary</x:v>
      </x:c>
      <x:c r="B21" s="147" t="n">
        <x:v>0</x:v>
      </x:c>
      <x:c r="C21" s="108" t="n">
        <x:v>0</x:v>
      </x:c>
      <x:c r="D21" s="108" t="n">
        <x:f>B21-C21</x:f>
        <x:v>0</x:v>
      </x:c>
      <x:c r="E21" s="150" t="str">
        <x:f>IF(ABS(D21)&lt;0.0001,"OK","CHECK")</x:f>
        <x:v>OK</x:v>
      </x:c>
      <x:c r="F21" s="93" t="str">
        <x:v>No rating or target price is included</x:v>
      </x:c>
    </x:row>
    <x:row r="24" ht="21" customHeight="1">
      <x:c r="A24" s="13" t="str">
        <x:v>Overall status</x:v>
      </x:c>
      <x:c r="B24" s="13" t="str">
        <x:v>Overall status</x:v>
      </x:c>
      <x:c r="C24" s="13" t="str">
        <x:v>Overall status</x:v>
      </x:c>
      <x:c r="D24" s="13" t="str">
        <x:v>Overall status</x:v>
      </x:c>
      <x:c r="E24" s="13" t="str">
        <x:v>Overall status</x:v>
      </x:c>
      <x:c r="F24" s="13" t="str">
        <x:v>Overall status</x:v>
      </x:c>
    </x:row>
    <x:row r="25" ht="28" customHeight="1">
      <x:c r="A25" s="16" t="str">
        <x:v>Phase 0–1 control status</x:v>
      </x:c>
      <x:c r="B25" s="58" t="str">
        <x:f>IF(COUNTIF(E7:E21,"CHECK")=0,"OK — foundation complete with documented gaps","CHECK — resolve failed controls")</x:f>
        <x:v>OK — foundation complete with documented gaps</x:v>
      </x:c>
      <x:c r="C25" s="58"/>
      <x:c r="D25" s="58"/>
      <x:c r="E25" s="58"/>
      <x:c r="F25" s="58"/>
    </x:row>
  </x:sheetData>
  <x:mergeCells>
    <x:mergeCell ref="A1:F1"/>
    <x:mergeCell ref="A2:F2"/>
    <x:mergeCell ref="A4:F4"/>
    <x:mergeCell ref="A24:F24"/>
    <x:mergeCell ref="B25:F25"/>
  </x:mergeCells>
  <x:conditionalFormatting sqref="E7:E21">
    <x:cfRule type="cellIs" dxfId="1" priority="1" operator="equal">
      <x:formula>"OK"</x:formula>
    </x:cfRule>
    <x:cfRule type="cellIs" dxfId="2" priority="2" operator="equal">
      <x:formula>"CHECK"</x:formula>
    </x:cfRule>
  </x:conditionalFormatting>
  <x:pageMargins left="0.7" right="0.7" top="0.75" bottom="0.75" header="0.3" footer="0.3"/>
  <x:tableParts count="1">
    <x:tablePart xmlns:r="http://schemas.openxmlformats.org/officeDocument/2006/relationships" r:id="R8311b7973bdd4aa8"/>
  </x:tableParts>
</x:worksheet>
</file>

<file path=xl/worksheets/sheet13.xml><?xml version="1.0" encoding="utf-8"?>
<x:worksheet xmlns:x="http://schemas.openxmlformats.org/spreadsheetml/2006/main">
  <x:sheetViews>
    <x:sheetView showGridLines="0" workbookViewId="0"/>
  </x:sheetViews>
  <x:sheetFormatPr defaultRowHeight="15"/>
  <x:cols>
    <x:col min="1" max="1" width="29" hidden="0" customWidth="1"/>
    <x:col min="2" max="2" width="31" hidden="0" customWidth="1"/>
    <x:col min="3" max="3" width="57" hidden="0" customWidth="1"/>
    <x:col min="4" max="4" width="43" hidden="0" customWidth="1"/>
    <x:col min="5" max="5" width="21" hidden="0" customWidth="1"/>
    <x:col min="6" max="6" width="52" hidden="0" customWidth="1"/>
    <x:col min="7" max="7" width="16" hidden="0" customWidth="1"/>
    <x:col min="8" max="8" width="43" hidden="0" customWidth="1"/>
    <x:col min="9" max="9" width="43" hidden="0" customWidth="1"/>
    <x:col min="10" max="10" width="33" hidden="0" customWidth="1"/>
    <x:col min="11" max="11" width="42" hidden="0" customWidth="1"/>
  </x:cols>
  <x:sheetData>
    <x:row r="1" ht="30" customHeight="1">
      <x:c r="A1" s="158" t="str">
        <x:v>Phase 2 — Regional Port Map</x:v>
      </x:c>
      <x:c r="B1" s="158" t="str">
        <x:v>Phase 2 — Regional Port Map</x:v>
      </x:c>
      <x:c r="C1" s="158" t="str">
        <x:v>Phase 2 — Regional Port Map</x:v>
      </x:c>
      <x:c r="D1" s="158" t="str">
        <x:v>Phase 2 — Regional Port Map</x:v>
      </x:c>
      <x:c r="E1" s="158" t="str">
        <x:v>Phase 2 — Regional Port Map</x:v>
      </x:c>
      <x:c r="F1" s="158" t="str">
        <x:v>Phase 2 — Regional Port Map</x:v>
      </x:c>
      <x:c r="G1" s="158" t="str">
        <x:v>Phase 2 — Regional Port Map</x:v>
      </x:c>
      <x:c r="H1" s="158" t="str">
        <x:v>Phase 2 — Regional Port Map</x:v>
      </x:c>
      <x:c r="I1" s="158" t="str">
        <x:v>Phase 2 — Regional Port Map</x:v>
      </x:c>
      <x:c r="J1" s="158" t="str">
        <x:v>Phase 2 — Regional Port Map</x:v>
      </x:c>
      <x:c r="K1" s="158" t="str">
        <x:v>Phase 2 — Regional Port Map</x:v>
      </x:c>
    </x:row>
    <x:row r="2" ht="34" customHeight="1">
      <x:c r="A2" s="162" t="str">
        <x:v>The national export recovery is filtered through channel depth, shipping-line connectivity, asset location and usable capacity. Regions are not assigned the same growth rate.</x:v>
      </x:c>
      <x:c r="B2" s="162" t="str">
        <x:v>The national export recovery is filtered through channel depth, shipping-line connectivity, asset location and usable capacity. Regions are not assigned the same growth rate.</x:v>
      </x:c>
      <x:c r="C2" s="162" t="str">
        <x:v>The national export recovery is filtered through channel depth, shipping-line connectivity, asset location and usable capacity. Regions are not assigned the same growth rate.</x:v>
      </x:c>
      <x:c r="D2" s="162" t="str">
        <x:v>The national export recovery is filtered through channel depth, shipping-line connectivity, asset location and usable capacity. Regions are not assigned the same growth rate.</x:v>
      </x:c>
      <x:c r="E2" s="162" t="str">
        <x:v>The national export recovery is filtered through channel depth, shipping-line connectivity, asset location and usable capacity. Regions are not assigned the same growth rate.</x:v>
      </x:c>
      <x:c r="F2" s="162" t="str">
        <x:v>The national export recovery is filtered through channel depth, shipping-line connectivity, asset location and usable capacity. Regions are not assigned the same growth rate.</x:v>
      </x:c>
      <x:c r="G2" s="162" t="str">
        <x:v>The national export recovery is filtered through channel depth, shipping-line connectivity, asset location and usable capacity. Regions are not assigned the same growth rate.</x:v>
      </x:c>
      <x:c r="H2" s="162" t="str">
        <x:v>The national export recovery is filtered through channel depth, shipping-line connectivity, asset location and usable capacity. Regions are not assigned the same growth rate.</x:v>
      </x:c>
      <x:c r="I2" s="162" t="str">
        <x:v>The national export recovery is filtered through channel depth, shipping-line connectivity, asset location and usable capacity. Regions are not assigned the same growth rate.</x:v>
      </x:c>
      <x:c r="J2" s="162" t="str">
        <x:v>The national export recovery is filtered through channel depth, shipping-line connectivity, asset location and usable capacity. Regions are not assigned the same growth rate.</x:v>
      </x:c>
      <x:c r="K2" s="162" t="str">
        <x:v>The national export recovery is filtered through channel depth, shipping-line connectivity, asset location and usable capacity. Regions are not assigned the same growth rate.</x:v>
      </x:c>
    </x:row>
    <x:row r="4" ht="21" customHeight="1">
      <x:c r="A4" s="165" t="str">
        <x:v>Regional positioning matrix</x:v>
      </x:c>
      <x:c r="B4" s="165" t="str">
        <x:v>Regional positioning matrix</x:v>
      </x:c>
      <x:c r="C4" s="165" t="str">
        <x:v>Regional positioning matrix</x:v>
      </x:c>
      <x:c r="D4" s="165" t="str">
        <x:v>Regional positioning matrix</x:v>
      </x:c>
      <x:c r="E4" s="165" t="str">
        <x:v>Regional positioning matrix</x:v>
      </x:c>
      <x:c r="F4" s="165" t="str">
        <x:v>Regional positioning matrix</x:v>
      </x:c>
      <x:c r="G4" s="165" t="str">
        <x:v>Regional positioning matrix</x:v>
      </x:c>
      <x:c r="H4" s="165" t="str">
        <x:v>Regional positioning matrix</x:v>
      </x:c>
      <x:c r="I4" s="165" t="str">
        <x:v>Regional positioning matrix</x:v>
      </x:c>
      <x:c r="J4" s="165" t="str">
        <x:v>Regional positioning matrix</x:v>
      </x:c>
      <x:c r="K4" s="165" t="str">
        <x:v>Regional positioning matrix</x:v>
      </x:c>
    </x:row>
    <x:row r="6" ht="32" customHeight="1">
      <x:c r="A6" s="171" t="str">
        <x:v>Region / cluster</x:v>
      </x:c>
      <x:c r="B6" s="171" t="str">
        <x:v>Geography</x:v>
      </x:c>
      <x:c r="C6" s="171" t="str">
        <x:v>Demand / connectivity anchor</x:v>
      </x:c>
      <x:c r="D6" s="171" t="str">
        <x:v>Asset-position read</x:v>
      </x:c>
      <x:c r="E6" s="171" t="str">
        <x:v>Relevant peers</x:v>
      </x:c>
      <x:c r="F6" s="171" t="str">
        <x:v>Key assets</x:v>
      </x:c>
      <x:c r="G6" s="171" t="str">
        <x:v>Structural score</x:v>
      </x:c>
      <x:c r="H6" s="171" t="str">
        <x:v>ER implication</x:v>
      </x:c>
      <x:c r="I6" s="171" t="str">
        <x:v>Main risk</x:v>
      </x:c>
      <x:c r="J6" s="171" t="str">
        <x:v>Source ID</x:v>
      </x:c>
      <x:c r="K6" s="171" t="str">
        <x:v>Audit note</x:v>
      </x:c>
    </x:row>
    <x:row r="7" ht="62" customHeight="1">
      <x:c r="A7" s="85" t="str">
        <x:v>North — downstream Hai Phong</x:v>
      </x:c>
      <x:c r="B7" s="86" t="str">
        <x:v>Hai Phong / Lach Huyen / Nam Dinh Vu</x:v>
      </x:c>
      <x:c r="C7" s="86" t="str">
        <x:v>Seaport Group 1 target: 13–16m TEU by 2030; 7 direct North America routes in 5M2024 disclosure</x:v>
      </x:c>
      <x:c r="D7" s="86" t="str">
        <x:v>Deeper-water and newer downstream assets</x:v>
      </x:c>
      <x:c r="E7" s="86" t="str">
        <x:v>GMD, VSC, PHP</x:v>
      </x:c>
      <x:c r="F7" s="86" t="str">
        <x:v>Nam Dinh Vu, VIP Greenport, Nam Hai Dinh Vu, Lach Huyen 3–4</x:v>
      </x:c>
      <x:c r="G7" s="178" t="n">
        <x:v>5</x:v>
      </x:c>
      <x:c r="H7" s="86" t="str">
        <x:v>Preferred northern exposure</x:v>
      </x:c>
      <x:c r="I7" s="86" t="str">
        <x:v>Capacity ramp, price competition, commissioning timing</x:v>
      </x:c>
      <x:c r="J7" s="86" t="str">
        <x:v>SRC-I02 / SRC-I04 / SRC-G01 / SRC-P02 / SRC-P08</x:v>
      </x:c>
      <x:c r="K7" s="87" t="str">
        <x:v>Use asset-level schedules in Phase 3.</x:v>
      </x:c>
    </x:row>
    <x:row r="8" ht="62" customHeight="1">
      <x:c r="A8" s="88" t="str">
        <x:v>North — upstream Dinh Vu / Tan Vu</x:v>
      </x:c>
      <x:c r="B8" s="89" t="str">
        <x:v>Upper Dinh Vu / Bach Dang channel</x:v>
      </x:c>
      <x:c r="C8" s="89" t="str">
        <x:v>Large incumbent cargo base but services are shifting downstream</x:v>
      </x:c>
      <x:c r="D8" s="89" t="str">
        <x:v>Channel and vessel-loading constraints</x:v>
      </x:c>
      <x:c r="E8" s="89" t="str">
        <x:v>DVP, PHP, VSC</x:v>
      </x:c>
      <x:c r="F8" s="89" t="str">
        <x:v>Dinh Vu Port, Tan Vu, Greenport</x:v>
      </x:c>
      <x:c r="G8" s="179" t="n">
        <x:v>2.5</x:v>
      </x:c>
      <x:c r="H8" s="89" t="str">
        <x:v>Cash-generative but structurally challenged</x:v>
      </x:c>
      <x:c r="I8" s="89" t="str">
        <x:v>Service rotation loss and dredging execution</x:v>
      </x:c>
      <x:c r="J8" s="89" t="str">
        <x:v>SRC-P09 / SRC-P11 / SRC-P02</x:v>
      </x:c>
      <x:c r="K8" s="90" t="str">
        <x:v>DVP lost two SITC services to Nam Dinh Vu.</x:v>
      </x:c>
    </x:row>
    <x:row r="9" ht="62" customHeight="1">
      <x:c r="A9" s="88" t="str">
        <x:v>South — Cai Mep–Thi Vai</x:v>
      </x:c>
      <x:c r="B9" s="89" t="str">
        <x:v>Ba Ria–Vung Tau / HCMC gateway</x:v>
      </x:c>
      <x:c r="C9" s="89" t="str">
        <x:v>&gt;35 direct services; vessel capability up to about 232,494 DWT</x:v>
      </x:c>
      <x:c r="D9" s="89" t="str">
        <x:v>Vietnam's strongest deep-water export gateway</x:v>
      </x:c>
      <x:c r="E9" s="89" t="str">
        <x:v>GMD</x:v>
      </x:c>
      <x:c r="F9" s="89" t="str">
        <x:v>Gemalink plus southern ICD/river-port network</x:v>
      </x:c>
      <x:c r="G9" s="179" t="n">
        <x:v>5</x:v>
      </x:c>
      <x:c r="H9" s="89" t="str">
        <x:v>Core structural advantage for GMD</x:v>
      </x:c>
      <x:c r="I9" s="89" t="str">
        <x:v>Associate ownership, Phase 2 capex and ramp timing</x:v>
      </x:c>
      <x:c r="J9" s="89" t="str">
        <x:v>SRC-I02 / SRC-I05 / SRC-G02 / SRC-G06</x:v>
      </x:c>
      <x:c r="K9" s="90" t="str">
        <x:v>Model attributable earnings, not only terminal throughput.</x:v>
      </x:c>
    </x:row>
    <x:row r="10" ht="62" customHeight="1">
      <x:c r="A10" s="91" t="str">
        <x:v>Central</x:v>
      </x:c>
      <x:c r="B10" s="92" t="str">
        <x:v>Dung Quat and central coast</x:v>
      </x:c>
      <x:c r="C10" s="92" t="str">
        <x:v>GMD disclosed 696k tonnes and 40.3% regional share in Q1 2026</x:v>
      </x:c>
      <x:c r="D10" s="92" t="str">
        <x:v>General cargo / bulk exposure; smaller container thesis</x:v>
      </x:c>
      <x:c r="E10" s="92" t="str">
        <x:v>GMD</x:v>
      </x:c>
      <x:c r="F10" s="92" t="str">
        <x:v>Dung Quat</x:v>
      </x:c>
      <x:c r="G10" s="180" t="n">
        <x:v>2.5</x:v>
      </x:c>
      <x:c r="H10" s="92" t="str">
        <x:v>Diversifier, not the core container driver</x:v>
      </x:c>
      <x:c r="I10" s="92" t="str">
        <x:v>Tonnes cannot be added to TEU</x:v>
      </x:c>
      <x:c r="J10" s="92" t="str">
        <x:v>SRC-G02</x:v>
      </x:c>
      <x:c r="K10" s="93" t="str">
        <x:v>Build a separate tonnes × tariff schedule.</x:v>
      </x:c>
    </x:row>
    <x:row r="12" ht="26" customHeight="1">
      <x:c r="A12" s="201" t="str">
        <x:v>Phase 2 interpretation: downstream Hai Phong and Cai Mep–Thi Vai are the preferred structural exposures. DVP is deliberately retained as a negative-control case: 2025 throughput fell 10.3% and revenue fell 15.3% after service rotations moved to Nam Dinh Vu, despite a favorable national trade backdrop.</x:v>
      </x:c>
      <x:c r="B12" s="202" t="str">
        <x:v>Phase 2 interpretation: downstream Hai Phong and Cai Mep–Thi Vai are the preferred structural exposures. DVP is deliberately retained as a negative-control case: 2025 throughput fell 10.3% and revenue fell 15.3% after service rotations moved to Nam Dinh Vu, despite a favorable national trade backdrop.</x:v>
      </x:c>
      <x:c r="C12" s="202" t="str">
        <x:v>Phase 2 interpretation: downstream Hai Phong and Cai Mep–Thi Vai are the preferred structural exposures. DVP is deliberately retained as a negative-control case: 2025 throughput fell 10.3% and revenue fell 15.3% after service rotations moved to Nam Dinh Vu, despite a favorable national trade backdrop.</x:v>
      </x:c>
      <x:c r="D12" s="202" t="str">
        <x:v>Phase 2 interpretation: downstream Hai Phong and Cai Mep–Thi Vai are the preferred structural exposures. DVP is deliberately retained as a negative-control case: 2025 throughput fell 10.3% and revenue fell 15.3% after service rotations moved to Nam Dinh Vu, despite a favorable national trade backdrop.</x:v>
      </x:c>
      <x:c r="E12" s="202" t="str">
        <x:v>Phase 2 interpretation: downstream Hai Phong and Cai Mep–Thi Vai are the preferred structural exposures. DVP is deliberately retained as a negative-control case: 2025 throughput fell 10.3% and revenue fell 15.3% after service rotations moved to Nam Dinh Vu, despite a favorable national trade backdrop.</x:v>
      </x:c>
      <x:c r="F12" s="202" t="str">
        <x:v>Phase 2 interpretation: downstream Hai Phong and Cai Mep–Thi Vai are the preferred structural exposures. DVP is deliberately retained as a negative-control case: 2025 throughput fell 10.3% and revenue fell 15.3% after service rotations moved to Nam Dinh Vu, despite a favorable national trade backdrop.</x:v>
      </x:c>
      <x:c r="G12" s="202" t="str">
        <x:v>Phase 2 interpretation: downstream Hai Phong and Cai Mep–Thi Vai are the preferred structural exposures. DVP is deliberately retained as a negative-control case: 2025 throughput fell 10.3% and revenue fell 15.3% after service rotations moved to Nam Dinh Vu, despite a favorable national trade backdrop.</x:v>
      </x:c>
      <x:c r="H12" s="202" t="str">
        <x:v>Phase 2 interpretation: downstream Hai Phong and Cai Mep–Thi Vai are the preferred structural exposures. DVP is deliberately retained as a negative-control case: 2025 throughput fell 10.3% and revenue fell 15.3% after service rotations moved to Nam Dinh Vu, despite a favorable national trade backdrop.</x:v>
      </x:c>
      <x:c r="I12" s="202" t="str">
        <x:v>Phase 2 interpretation: downstream Hai Phong and Cai Mep–Thi Vai are the preferred structural exposures. DVP is deliberately retained as a negative-control case: 2025 throughput fell 10.3% and revenue fell 15.3% after service rotations moved to Nam Dinh Vu, despite a favorable national trade backdrop.</x:v>
      </x:c>
      <x:c r="J12" s="202" t="str">
        <x:v>Phase 2 interpretation: downstream Hai Phong and Cai Mep–Thi Vai are the preferred structural exposures. DVP is deliberately retained as a negative-control case: 2025 throughput fell 10.3% and revenue fell 15.3% after service rotations moved to Nam Dinh Vu, despite a favorable national trade backdrop.</x:v>
      </x:c>
      <x:c r="K12" s="203" t="str">
        <x:v>Phase 2 interpretation: downstream Hai Phong and Cai Mep–Thi Vai are the preferred structural exposures. DVP is deliberately retained as a negative-control case: 2025 throughput fell 10.3% and revenue fell 15.3% after service rotations moved to Nam Dinh Vu, despite a favorable national trade backdrop.</x:v>
      </x:c>
    </x:row>
    <x:row r="13" ht="26" customHeight="1">
      <x:c r="A13" s="204" t="str">
        <x:v>Phase 2 interpretation: downstream Hai Phong and Cai Mep–Thi Vai are the preferred structural exposures. DVP is deliberately retained as a negative-control case: 2025 throughput fell 10.3% and revenue fell 15.3% after service rotations moved to Nam Dinh Vu, despite a favorable national trade backdrop.</x:v>
      </x:c>
      <x:c r="B13" s="205" t="str">
        <x:v>Phase 2 interpretation: downstream Hai Phong and Cai Mep–Thi Vai are the preferred structural exposures. DVP is deliberately retained as a negative-control case: 2025 throughput fell 10.3% and revenue fell 15.3% after service rotations moved to Nam Dinh Vu, despite a favorable national trade backdrop.</x:v>
      </x:c>
      <x:c r="C13" s="205" t="str">
        <x:v>Phase 2 interpretation: downstream Hai Phong and Cai Mep–Thi Vai are the preferred structural exposures. DVP is deliberately retained as a negative-control case: 2025 throughput fell 10.3% and revenue fell 15.3% after service rotations moved to Nam Dinh Vu, despite a favorable national trade backdrop.</x:v>
      </x:c>
      <x:c r="D13" s="205" t="str">
        <x:v>Phase 2 interpretation: downstream Hai Phong and Cai Mep–Thi Vai are the preferred structural exposures. DVP is deliberately retained as a negative-control case: 2025 throughput fell 10.3% and revenue fell 15.3% after service rotations moved to Nam Dinh Vu, despite a favorable national trade backdrop.</x:v>
      </x:c>
      <x:c r="E13" s="205" t="str">
        <x:v>Phase 2 interpretation: downstream Hai Phong and Cai Mep–Thi Vai are the preferred structural exposures. DVP is deliberately retained as a negative-control case: 2025 throughput fell 10.3% and revenue fell 15.3% after service rotations moved to Nam Dinh Vu, despite a favorable national trade backdrop.</x:v>
      </x:c>
      <x:c r="F13" s="205" t="str">
        <x:v>Phase 2 interpretation: downstream Hai Phong and Cai Mep–Thi Vai are the preferred structural exposures. DVP is deliberately retained as a negative-control case: 2025 throughput fell 10.3% and revenue fell 15.3% after service rotations moved to Nam Dinh Vu, despite a favorable national trade backdrop.</x:v>
      </x:c>
      <x:c r="G13" s="205" t="str">
        <x:v>Phase 2 interpretation: downstream Hai Phong and Cai Mep–Thi Vai are the preferred structural exposures. DVP is deliberately retained as a negative-control case: 2025 throughput fell 10.3% and revenue fell 15.3% after service rotations moved to Nam Dinh Vu, despite a favorable national trade backdrop.</x:v>
      </x:c>
      <x:c r="H13" s="205" t="str">
        <x:v>Phase 2 interpretation: downstream Hai Phong and Cai Mep–Thi Vai are the preferred structural exposures. DVP is deliberately retained as a negative-control case: 2025 throughput fell 10.3% and revenue fell 15.3% after service rotations moved to Nam Dinh Vu, despite a favorable national trade backdrop.</x:v>
      </x:c>
      <x:c r="I13" s="205" t="str">
        <x:v>Phase 2 interpretation: downstream Hai Phong and Cai Mep–Thi Vai are the preferred structural exposures. DVP is deliberately retained as a negative-control case: 2025 throughput fell 10.3% and revenue fell 15.3% after service rotations moved to Nam Dinh Vu, despite a favorable national trade backdrop.</x:v>
      </x:c>
      <x:c r="J13" s="205" t="str">
        <x:v>Phase 2 interpretation: downstream Hai Phong and Cai Mep–Thi Vai are the preferred structural exposures. DVP is deliberately retained as a negative-control case: 2025 throughput fell 10.3% and revenue fell 15.3% after service rotations moved to Nam Dinh Vu, despite a favorable national trade backdrop.</x:v>
      </x:c>
      <x:c r="K13" s="206" t="str">
        <x:v>Phase 2 interpretation: downstream Hai Phong and Cai Mep–Thi Vai are the preferred structural exposures. DVP is deliberately retained as a negative-control case: 2025 throughput fell 10.3% and revenue fell 15.3% after service rotations moved to Nam Dinh Vu, despite a favorable national trade backdrop.</x:v>
      </x:c>
    </x:row>
    <x:row r="14" ht="26" customHeight="1">
      <x:c r="A14" s="204" t="str">
        <x:v>Phase 2 interpretation: downstream Hai Phong and Cai Mep–Thi Vai are the preferred structural exposures. DVP is deliberately retained as a negative-control case: 2025 throughput fell 10.3% and revenue fell 15.3% after service rotations moved to Nam Dinh Vu, despite a favorable national trade backdrop.</x:v>
      </x:c>
      <x:c r="B14" s="205" t="str">
        <x:v>Phase 2 interpretation: downstream Hai Phong and Cai Mep–Thi Vai are the preferred structural exposures. DVP is deliberately retained as a negative-control case: 2025 throughput fell 10.3% and revenue fell 15.3% after service rotations moved to Nam Dinh Vu, despite a favorable national trade backdrop.</x:v>
      </x:c>
      <x:c r="C14" s="205" t="str">
        <x:v>Phase 2 interpretation: downstream Hai Phong and Cai Mep–Thi Vai are the preferred structural exposures. DVP is deliberately retained as a negative-control case: 2025 throughput fell 10.3% and revenue fell 15.3% after service rotations moved to Nam Dinh Vu, despite a favorable national trade backdrop.</x:v>
      </x:c>
      <x:c r="D14" s="205" t="str">
        <x:v>Phase 2 interpretation: downstream Hai Phong and Cai Mep–Thi Vai are the preferred structural exposures. DVP is deliberately retained as a negative-control case: 2025 throughput fell 10.3% and revenue fell 15.3% after service rotations moved to Nam Dinh Vu, despite a favorable national trade backdrop.</x:v>
      </x:c>
      <x:c r="E14" s="205" t="str">
        <x:v>Phase 2 interpretation: downstream Hai Phong and Cai Mep–Thi Vai are the preferred structural exposures. DVP is deliberately retained as a negative-control case: 2025 throughput fell 10.3% and revenue fell 15.3% after service rotations moved to Nam Dinh Vu, despite a favorable national trade backdrop.</x:v>
      </x:c>
      <x:c r="F14" s="205" t="str">
        <x:v>Phase 2 interpretation: downstream Hai Phong and Cai Mep–Thi Vai are the preferred structural exposures. DVP is deliberately retained as a negative-control case: 2025 throughput fell 10.3% and revenue fell 15.3% after service rotations moved to Nam Dinh Vu, despite a favorable national trade backdrop.</x:v>
      </x:c>
      <x:c r="G14" s="205" t="str">
        <x:v>Phase 2 interpretation: downstream Hai Phong and Cai Mep–Thi Vai are the preferred structural exposures. DVP is deliberately retained as a negative-control case: 2025 throughput fell 10.3% and revenue fell 15.3% after service rotations moved to Nam Dinh Vu, despite a favorable national trade backdrop.</x:v>
      </x:c>
      <x:c r="H14" s="205" t="str">
        <x:v>Phase 2 interpretation: downstream Hai Phong and Cai Mep–Thi Vai are the preferred structural exposures. DVP is deliberately retained as a negative-control case: 2025 throughput fell 10.3% and revenue fell 15.3% after service rotations moved to Nam Dinh Vu, despite a favorable national trade backdrop.</x:v>
      </x:c>
      <x:c r="I14" s="205" t="str">
        <x:v>Phase 2 interpretation: downstream Hai Phong and Cai Mep–Thi Vai are the preferred structural exposures. DVP is deliberately retained as a negative-control case: 2025 throughput fell 10.3% and revenue fell 15.3% after service rotations moved to Nam Dinh Vu, despite a favorable national trade backdrop.</x:v>
      </x:c>
      <x:c r="J14" s="205" t="str">
        <x:v>Phase 2 interpretation: downstream Hai Phong and Cai Mep–Thi Vai are the preferred structural exposures. DVP is deliberately retained as a negative-control case: 2025 throughput fell 10.3% and revenue fell 15.3% after service rotations moved to Nam Dinh Vu, despite a favorable national trade backdrop.</x:v>
      </x:c>
      <x:c r="K14" s="206" t="str">
        <x:v>Phase 2 interpretation: downstream Hai Phong and Cai Mep–Thi Vai are the preferred structural exposures. DVP is deliberately retained as a negative-control case: 2025 throughput fell 10.3% and revenue fell 15.3% after service rotations moved to Nam Dinh Vu, despite a favorable national trade backdrop.</x:v>
      </x:c>
    </x:row>
    <x:row r="15" ht="26" customHeight="1">
      <x:c r="A15" s="207" t="str">
        <x:v>Phase 2 interpretation: downstream Hai Phong and Cai Mep–Thi Vai are the preferred structural exposures. DVP is deliberately retained as a negative-control case: 2025 throughput fell 10.3% and revenue fell 15.3% after service rotations moved to Nam Dinh Vu, despite a favorable national trade backdrop.</x:v>
      </x:c>
      <x:c r="B15" s="208" t="str">
        <x:v>Phase 2 interpretation: downstream Hai Phong and Cai Mep–Thi Vai are the preferred structural exposures. DVP is deliberately retained as a negative-control case: 2025 throughput fell 10.3% and revenue fell 15.3% after service rotations moved to Nam Dinh Vu, despite a favorable national trade backdrop.</x:v>
      </x:c>
      <x:c r="C15" s="208" t="str">
        <x:v>Phase 2 interpretation: downstream Hai Phong and Cai Mep–Thi Vai are the preferred structural exposures. DVP is deliberately retained as a negative-control case: 2025 throughput fell 10.3% and revenue fell 15.3% after service rotations moved to Nam Dinh Vu, despite a favorable national trade backdrop.</x:v>
      </x:c>
      <x:c r="D15" s="208" t="str">
        <x:v>Phase 2 interpretation: downstream Hai Phong and Cai Mep–Thi Vai are the preferred structural exposures. DVP is deliberately retained as a negative-control case: 2025 throughput fell 10.3% and revenue fell 15.3% after service rotations moved to Nam Dinh Vu, despite a favorable national trade backdrop.</x:v>
      </x:c>
      <x:c r="E15" s="208" t="str">
        <x:v>Phase 2 interpretation: downstream Hai Phong and Cai Mep–Thi Vai are the preferred structural exposures. DVP is deliberately retained as a negative-control case: 2025 throughput fell 10.3% and revenue fell 15.3% after service rotations moved to Nam Dinh Vu, despite a favorable national trade backdrop.</x:v>
      </x:c>
      <x:c r="F15" s="208" t="str">
        <x:v>Phase 2 interpretation: downstream Hai Phong and Cai Mep–Thi Vai are the preferred structural exposures. DVP is deliberately retained as a negative-control case: 2025 throughput fell 10.3% and revenue fell 15.3% after service rotations moved to Nam Dinh Vu, despite a favorable national trade backdrop.</x:v>
      </x:c>
      <x:c r="G15" s="208" t="str">
        <x:v>Phase 2 interpretation: downstream Hai Phong and Cai Mep–Thi Vai are the preferred structural exposures. DVP is deliberately retained as a negative-control case: 2025 throughput fell 10.3% and revenue fell 15.3% after service rotations moved to Nam Dinh Vu, despite a favorable national trade backdrop.</x:v>
      </x:c>
      <x:c r="H15" s="208" t="str">
        <x:v>Phase 2 interpretation: downstream Hai Phong and Cai Mep–Thi Vai are the preferred structural exposures. DVP is deliberately retained as a negative-control case: 2025 throughput fell 10.3% and revenue fell 15.3% after service rotations moved to Nam Dinh Vu, despite a favorable national trade backdrop.</x:v>
      </x:c>
      <x:c r="I15" s="208" t="str">
        <x:v>Phase 2 interpretation: downstream Hai Phong and Cai Mep–Thi Vai are the preferred structural exposures. DVP is deliberately retained as a negative-control case: 2025 throughput fell 10.3% and revenue fell 15.3% after service rotations moved to Nam Dinh Vu, despite a favorable national trade backdrop.</x:v>
      </x:c>
      <x:c r="J15" s="208" t="str">
        <x:v>Phase 2 interpretation: downstream Hai Phong and Cai Mep–Thi Vai are the preferred structural exposures. DVP is deliberately retained as a negative-control case: 2025 throughput fell 10.3% and revenue fell 15.3% after service rotations moved to Nam Dinh Vu, despite a favorable national trade backdrop.</x:v>
      </x:c>
      <x:c r="K15" s="209" t="str">
        <x:v>Phase 2 interpretation: downstream Hai Phong and Cai Mep–Thi Vai are the preferred structural exposures. DVP is deliberately retained as a negative-control case: 2025 throughput fell 10.3% and revenue fell 15.3% after service rotations moved to Nam Dinh Vu, despite a favorable national trade backdrop.</x:v>
      </x:c>
    </x:row>
  </x:sheetData>
  <x:mergeCells>
    <x:mergeCell ref="A1:K1"/>
    <x:mergeCell ref="A2:K2"/>
    <x:mergeCell ref="A4:K4"/>
    <x:mergeCell ref="A12:K15"/>
  </x:mergeCells>
  <x:conditionalFormatting sqref="G7:G10">
    <x:cfRule type="colorScale" priority="1">
      <x:colorScale>
        <x:cfvo type="min"/>
        <x:cfvo type="percentile" val="50"/>
        <x:cfvo type="max"/>
        <x:color rgb="FFFCE4D6"/>
        <x:color rgb="FFFFF2CC"/>
        <x:color rgb="FFE2F0D9"/>
      </x:colorScale>
    </x:cfRule>
  </x:conditionalFormatting>
  <x:dataValidations count="1">
    <x:dataValidation type="decimal" operator="between" sqref="G7:G10">
      <x:formula1>1</x:formula1>
      <x:formula2>5</x:formula2>
    </x:dataValidation>
  </x:dataValidations>
  <x:pageMargins left="0.7" right="0.7" top="0.75" bottom="0.75" header="0.3" footer="0.3"/>
  <x:tableParts count="1">
    <x:tablePart xmlns:r="http://schemas.openxmlformats.org/officeDocument/2006/relationships" r:id="R0ae59b4d6ca1430c"/>
  </x:tableParts>
</x:worksheet>
</file>

<file path=xl/worksheets/sheet14.xml><?xml version="1.0" encoding="utf-8"?>
<x:worksheet xmlns:x="http://schemas.openxmlformats.org/spreadsheetml/2006/main">
  <x:sheetViews>
    <x:sheetView showGridLines="0" workbookViewId="0"/>
  </x:sheetViews>
  <x:sheetFormatPr defaultRowHeight="15"/>
  <x:cols>
    <x:col min="1" max="1" width="11" hidden="0" customWidth="1"/>
    <x:col min="2" max="2" width="38" hidden="0" customWidth="1"/>
    <x:col min="3" max="3" width="16" hidden="0" customWidth="1"/>
    <x:col min="4" max="4" width="16" hidden="0" customWidth="1"/>
    <x:col min="5" max="5" width="14" hidden="0" customWidth="1"/>
    <x:col min="6" max="6" width="15" hidden="0" customWidth="1"/>
    <x:col min="7" max="7" width="16" hidden="0" customWidth="1"/>
    <x:col min="8" max="8" width="30" hidden="0" customWidth="1"/>
    <x:col min="9" max="9" width="21" hidden="0" customWidth="1"/>
    <x:col min="10" max="10" width="31" hidden="0" customWidth="1"/>
    <x:col min="11" max="11" width="29" hidden="0" customWidth="1"/>
    <x:col min="12" max="12" width="55" hidden="0" customWidth="1"/>
    <x:col min="13" max="13" width="25" hidden="0" customWidth="1"/>
    <x:col min="14" max="14" width="55" hidden="0" customWidth="1"/>
  </x:cols>
  <x:sheetData>
    <x:row r="1" ht="30" customHeight="1">
      <x:c r="A1" s="158" t="str">
        <x:v>Phase 2 — Normalized Peer Facts</x:v>
      </x:c>
      <x:c r="B1" s="158" t="str">
        <x:v>Phase 2 — Normalized Peer Facts</x:v>
      </x:c>
      <x:c r="C1" s="158" t="str">
        <x:v>Phase 2 — Normalized Peer Facts</x:v>
      </x:c>
      <x:c r="D1" s="158" t="str">
        <x:v>Phase 2 — Normalized Peer Facts</x:v>
      </x:c>
      <x:c r="E1" s="158" t="str">
        <x:v>Phase 2 — Normalized Peer Facts</x:v>
      </x:c>
      <x:c r="F1" s="158" t="str">
        <x:v>Phase 2 — Normalized Peer Facts</x:v>
      </x:c>
      <x:c r="G1" s="158" t="str">
        <x:v>Phase 2 — Normalized Peer Facts</x:v>
      </x:c>
      <x:c r="H1" s="158" t="str">
        <x:v>Phase 2 — Normalized Peer Facts</x:v>
      </x:c>
      <x:c r="I1" s="158" t="str">
        <x:v>Phase 2 — Normalized Peer Facts</x:v>
      </x:c>
      <x:c r="J1" s="158" t="str">
        <x:v>Phase 2 — Normalized Peer Facts</x:v>
      </x:c>
      <x:c r="K1" s="158" t="str">
        <x:v>Phase 2 — Normalized Peer Facts</x:v>
      </x:c>
      <x:c r="L1" s="158" t="str">
        <x:v>Phase 2 — Normalized Peer Facts</x:v>
      </x:c>
      <x:c r="M1" s="158" t="str">
        <x:v>Phase 2 — Normalized Peer Facts</x:v>
      </x:c>
      <x:c r="N1" s="158" t="str">
        <x:v>Phase 2 — Normalized Peer Facts</x:v>
      </x:c>
    </x:row>
    <x:row r="2" ht="34" customHeight="1">
      <x:c r="A2" s="162" t="str">
        <x:v>Financial bases are explicitly labelled. GMD/VSC are consolidated groups; PHP uses parent-company financials for a clean audited PBT bridge; DVP is a standalone operator.</x:v>
      </x:c>
      <x:c r="B2" s="162" t="str">
        <x:v>Financial bases are explicitly labelled. GMD/VSC are consolidated groups; PHP uses parent-company financials for a clean audited PBT bridge; DVP is a standalone operator.</x:v>
      </x:c>
      <x:c r="C2" s="162" t="str">
        <x:v>Financial bases are explicitly labelled. GMD/VSC are consolidated groups; PHP uses parent-company financials for a clean audited PBT bridge; DVP is a standalone operator.</x:v>
      </x:c>
      <x:c r="D2" s="162" t="str">
        <x:v>Financial bases are explicitly labelled. GMD/VSC are consolidated groups; PHP uses parent-company financials for a clean audited PBT bridge; DVP is a standalone operator.</x:v>
      </x:c>
      <x:c r="E2" s="162" t="str">
        <x:v>Financial bases are explicitly labelled. GMD/VSC are consolidated groups; PHP uses parent-company financials for a clean audited PBT bridge; DVP is a standalone operator.</x:v>
      </x:c>
      <x:c r="F2" s="162" t="str">
        <x:v>Financial bases are explicitly labelled. GMD/VSC are consolidated groups; PHP uses parent-company financials for a clean audited PBT bridge; DVP is a standalone operator.</x:v>
      </x:c>
      <x:c r="G2" s="162" t="str">
        <x:v>Financial bases are explicitly labelled. GMD/VSC are consolidated groups; PHP uses parent-company financials for a clean audited PBT bridge; DVP is a standalone operator.</x:v>
      </x:c>
      <x:c r="H2" s="162" t="str">
        <x:v>Financial bases are explicitly labelled. GMD/VSC are consolidated groups; PHP uses parent-company financials for a clean audited PBT bridge; DVP is a standalone operator.</x:v>
      </x:c>
      <x:c r="I2" s="162" t="str">
        <x:v>Financial bases are explicitly labelled. GMD/VSC are consolidated groups; PHP uses parent-company financials for a clean audited PBT bridge; DVP is a standalone operator.</x:v>
      </x:c>
      <x:c r="J2" s="162" t="str">
        <x:v>Financial bases are explicitly labelled. GMD/VSC are consolidated groups; PHP uses parent-company financials for a clean audited PBT bridge; DVP is a standalone operator.</x:v>
      </x:c>
      <x:c r="K2" s="162" t="str">
        <x:v>Financial bases are explicitly labelled. GMD/VSC are consolidated groups; PHP uses parent-company financials for a clean audited PBT bridge; DVP is a standalone operator.</x:v>
      </x:c>
      <x:c r="L2" s="162" t="str">
        <x:v>Financial bases are explicitly labelled. GMD/VSC are consolidated groups; PHP uses parent-company financials for a clean audited PBT bridge; DVP is a standalone operator.</x:v>
      </x:c>
      <x:c r="M2" s="162" t="str">
        <x:v>Financial bases are explicitly labelled. GMD/VSC are consolidated groups; PHP uses parent-company financials for a clean audited PBT bridge; DVP is a standalone operator.</x:v>
      </x:c>
      <x:c r="N2" s="162" t="str">
        <x:v>Financial bases are explicitly labelled. GMD/VSC are consolidated groups; PHP uses parent-company financials for a clean audited PBT bridge; DVP is a standalone operator.</x:v>
      </x:c>
    </x:row>
    <x:row r="4" ht="21" customHeight="1">
      <x:c r="A4" s="165" t="str">
        <x:v>Financial facts — FY2024 to FY2025</x:v>
      </x:c>
      <x:c r="B4" s="165" t="str">
        <x:v>Financial facts — FY2024 to FY2025</x:v>
      </x:c>
      <x:c r="C4" s="165" t="str">
        <x:v>Financial facts — FY2024 to FY2025</x:v>
      </x:c>
      <x:c r="D4" s="165" t="str">
        <x:v>Financial facts — FY2024 to FY2025</x:v>
      </x:c>
      <x:c r="E4" s="165" t="str">
        <x:v>Financial facts — FY2024 to FY2025</x:v>
      </x:c>
      <x:c r="F4" s="165" t="str">
        <x:v>Financial facts — FY2024 to FY2025</x:v>
      </x:c>
      <x:c r="G4" s="165" t="str">
        <x:v>Financial facts — FY2024 to FY2025</x:v>
      </x:c>
      <x:c r="H4" s="165" t="str">
        <x:v>Financial facts — FY2024 to FY2025</x:v>
      </x:c>
      <x:c r="I4" s="165" t="str">
        <x:v>Financial facts — FY2024 to FY2025</x:v>
      </x:c>
      <x:c r="J4" s="165" t="str">
        <x:v>Financial facts — FY2024 to FY2025</x:v>
      </x:c>
      <x:c r="K4" s="165" t="str">
        <x:v>Financial facts — FY2024 to FY2025</x:v>
      </x:c>
      <x:c r="L4" s="165" t="str">
        <x:v>Financial facts — FY2024 to FY2025</x:v>
      </x:c>
      <x:c r="M4" s="165" t="str">
        <x:v>Financial facts — FY2024 to FY2025</x:v>
      </x:c>
      <x:c r="N4" s="165" t="str">
        <x:v>Financial facts — FY2024 to FY2025</x:v>
      </x:c>
    </x:row>
    <x:row r="6" ht="32" customHeight="1">
      <x:c r="A6" s="171" t="str">
        <x:v>Ticker</x:v>
      </x:c>
      <x:c r="B6" s="171" t="str">
        <x:v>Financial basis</x:v>
      </x:c>
      <x:c r="C6" s="171" t="str">
        <x:v>Revenue 2024</x:v>
      </x:c>
      <x:c r="D6" s="171" t="str">
        <x:v>Revenue 2025</x:v>
      </x:c>
      <x:c r="E6" s="171" t="str">
        <x:v>Revenue growth</x:v>
      </x:c>
      <x:c r="F6" s="171" t="str">
        <x:v>PBT 2024</x:v>
      </x:c>
      <x:c r="G6" s="171" t="str">
        <x:v>PBT 2025</x:v>
      </x:c>
      <x:c r="H6" s="171" t="str">
        <x:v>PBT growth</x:v>
      </x:c>
      <x:c r="I6" s="171" t="str">
        <x:v>PBT margin 2025</x:v>
      </x:c>
      <x:c r="J6" s="171" t="str">
        <x:v>Assets 2025</x:v>
      </x:c>
      <x:c r="K6" s="171" t="str">
        <x:v>Equity 2025</x:v>
      </x:c>
      <x:c r="L6" s="171" t="str">
        <x:v>Leverage metric</x:v>
      </x:c>
      <x:c r="M6" s="171" t="str">
        <x:v>Source ID</x:v>
      </x:c>
      <x:c r="N6" s="171" t="str">
        <x:v>Audit note</x:v>
      </x:c>
    </x:row>
    <x:row r="7" ht="46" customHeight="1">
      <x:c r="A7" s="85" t="str">
        <x:v>GMD</x:v>
      </x:c>
      <x:c r="B7" s="86" t="str">
        <x:v>Consolidated / core PBT series</x:v>
      </x:c>
      <x:c r="C7" s="210" t="n">
        <x:v>4832</x:v>
      </x:c>
      <x:c r="D7" s="210" t="n">
        <x:v>5956</x:v>
      </x:c>
      <x:c r="E7" s="111" t="n">
        <x:f>D7/C7-1</x:f>
        <x:v>0.23261589403973515</x:v>
      </x:c>
      <x:c r="F7" s="210" t="n">
        <x:v>1781</x:v>
      </x:c>
      <x:c r="G7" s="210" t="n">
        <x:v>2521</x:v>
      </x:c>
      <x:c r="H7" s="111" t="n">
        <x:f>G7/F7-1</x:f>
        <x:v>0.4154969118472769</x:v>
      </x:c>
      <x:c r="I7" s="111" t="n">
        <x:f>G7/D7</x:f>
        <x:v>0.4232706514439221</x:v>
      </x:c>
      <x:c r="J7" s="210" t="n">
        <x:v>19826</x:v>
      </x:c>
      <x:c r="K7" s="210" t="n">
        <x:v>14918</x:v>
      </x:c>
      <x:c r="L7" s="111" t="n">
        <x:v>0.25</x:v>
      </x:c>
      <x:c r="M7" s="86" t="str">
        <x:v>SRC-G01</x:v>
      </x:c>
      <x:c r="N7" s="87" t="str">
        <x:v>2023–2024 PBT uses GMD's core series excluding divestment gains.</x:v>
      </x:c>
    </x:row>
    <x:row r="8" ht="46" customHeight="1">
      <x:c r="A8" s="88" t="str">
        <x:v>VSC</x:v>
      </x:c>
      <x:c r="B8" s="89" t="str">
        <x:v>Consolidated</x:v>
      </x:c>
      <x:c r="C8" s="211" t="n">
        <x:v>2787.913</x:v>
      </x:c>
      <x:c r="D8" s="211" t="n">
        <x:v>3205.512</x:v>
      </x:c>
      <x:c r="E8" s="109" t="n">
        <x:f>D8/C8-1</x:f>
        <x:v>0.1497891074793225</x:v>
      </x:c>
      <x:c r="F8" s="211" t="n">
        <x:v>524.578</x:v>
      </x:c>
      <x:c r="G8" s="211" t="n">
        <x:v>681.831</x:v>
      </x:c>
      <x:c r="H8" s="109" t="n">
        <x:f>G8/F8-1</x:f>
        <x:v>0.2997704821780556</x:v>
      </x:c>
      <x:c r="I8" s="109" t="n">
        <x:f>G8/D8</x:f>
        <x:v>0.21270580175647447</x:v>
      </x:c>
      <x:c r="J8" s="211" t="n">
        <x:v>12962.909</x:v>
      </x:c>
      <x:c r="K8" s="211" t="n">
        <x:v>6386.601</x:v>
      </x:c>
      <x:c r="L8" s="109" t="n">
        <x:v>0.5073</x:v>
      </x:c>
      <x:c r="M8" s="89" t="str">
        <x:v>SRC-P05 / SRC-P06</x:v>
      </x:c>
      <x:c r="N8" s="90" t="str">
        <x:v>Leverage column is liabilities/assets; HAH/VNA investments reduce port-thesis purity.</x:v>
      </x:c>
    </x:row>
    <x:row r="9" ht="46" customHeight="1">
      <x:c r="A9" s="88" t="str">
        <x:v>PHP</x:v>
      </x:c>
      <x:c r="B9" s="89" t="str">
        <x:v>Parent company</x:v>
      </x:c>
      <x:c r="C9" s="211" t="n">
        <x:v>1373.822</x:v>
      </x:c>
      <x:c r="D9" s="211" t="n">
        <x:v>1732.726</x:v>
      </x:c>
      <x:c r="E9" s="109" t="n">
        <x:f>D9/C9-1</x:f>
        <x:v>0.2612449065453897</x:v>
      </x:c>
      <x:c r="F9" s="211" t="n">
        <x:v>738.078</x:v>
      </x:c>
      <x:c r="G9" s="211" t="n">
        <x:v>1173.235</x:v>
      </x:c>
      <x:c r="H9" s="109" t="n">
        <x:f>G9/F9-1</x:f>
        <x:v>0.589581317963684</x:v>
      </x:c>
      <x:c r="I9" s="109" t="n">
        <x:f>G9/D9</x:f>
        <x:v>0.6771035928357974</x:v>
      </x:c>
      <x:c r="J9" s="211" t="n">
        <x:v>8916.642</x:v>
      </x:c>
      <x:c r="K9" s="211" t="n">
        <x:v>6157.732</x:v>
      </x:c>
      <x:c r="L9" s="109" t="n">
        <x:v>0.31</x:v>
      </x:c>
      <x:c r="M9" s="89" t="str">
        <x:v>SRC-P02</x:v>
      </x:c>
      <x:c r="N9" s="90" t="str">
        <x:v>Parent-company basis; consolidated operating table is shown separately below.</x:v>
      </x:c>
    </x:row>
    <x:row r="10" ht="46" customHeight="1">
      <x:c r="A10" s="91" t="str">
        <x:v>DVP</x:v>
      </x:c>
      <x:c r="B10" s="92" t="str">
        <x:v>Standalone</x:v>
      </x:c>
      <x:c r="C10" s="212" t="n">
        <x:f>D10/84.70%</x:f>
        <x:v>848.417945690673</x:v>
      </x:c>
      <x:c r="D10" s="212" t="n">
        <x:v>718.61</x:v>
      </x:c>
      <x:c r="E10" s="110" t="n">
        <x:f>D10/C10-1</x:f>
        <x:v>-0.15300000000000002</x:v>
      </x:c>
      <x:c r="F10" s="212" t="n">
        <x:f>G10/100.58%</x:f>
        <x:v>403.0224696758799</x:v>
      </x:c>
      <x:c r="G10" s="212" t="n">
        <x:v>405.36</x:v>
      </x:c>
      <x:c r="H10" s="110" t="n">
        <x:f>G10/F10-1</x:f>
        <x:v>0.005800000000000027</x:v>
      </x:c>
      <x:c r="I10" s="110" t="n">
        <x:f>G10/D10</x:f>
        <x:v>0.5640890051627447</x:v>
      </x:c>
      <x:c r="J10" s="212"/>
      <x:c r="K10" s="212"/>
      <x:c r="L10" s="110"/>
      <x:c r="M10" s="92" t="str">
        <x:v>SRC-P09 / SRC-P11</x:v>
      </x:c>
      <x:c r="N10" s="93" t="str">
        <x:v>2024 revenue and PBT are formula-derived from official comparison percentages.</x:v>
      </x:c>
    </x:row>
    <x:row r="12" ht="21" customHeight="1">
      <x:c r="A12" s="165" t="str">
        <x:v>Operating facts — keep units and scope separate</x:v>
      </x:c>
      <x:c r="B12" s="165" t="str">
        <x:v>Operating facts — keep units and scope separate</x:v>
      </x:c>
      <x:c r="C12" s="165" t="str">
        <x:v>Operating facts — keep units and scope separate</x:v>
      </x:c>
      <x:c r="D12" s="165" t="str">
        <x:v>Operating facts — keep units and scope separate</x:v>
      </x:c>
      <x:c r="E12" s="165" t="str">
        <x:v>Operating facts — keep units and scope separate</x:v>
      </x:c>
      <x:c r="F12" s="165" t="str">
        <x:v>Operating facts — keep units and scope separate</x:v>
      </x:c>
      <x:c r="G12" s="165" t="str">
        <x:v>Operating facts — keep units and scope separate</x:v>
      </x:c>
      <x:c r="H12" s="165" t="str">
        <x:v>Operating facts — keep units and scope separate</x:v>
      </x:c>
      <x:c r="I12" s="165" t="str">
        <x:v>Operating facts — keep units and scope separate</x:v>
      </x:c>
      <x:c r="J12" s="165" t="str">
        <x:v>Operating facts — keep units and scope separate</x:v>
      </x:c>
      <x:c r="K12" s="165" t="str">
        <x:v>Operating facts — keep units and scope separate</x:v>
      </x:c>
      <x:c r="L12" s="165" t="str">
        <x:v>Operating facts — keep units and scope separate</x:v>
      </x:c>
      <x:c r="M12" s="165" t="str">
        <x:v>Operating facts — keep units and scope separate</x:v>
      </x:c>
      <x:c r="N12" s="165" t="str">
        <x:v>Operating facts — keep units and scope separate</x:v>
      </x:c>
    </x:row>
    <x:row r="14" ht="32" customHeight="1">
      <x:c r="A14" s="171" t="str">
        <x:v>Ticker</x:v>
      </x:c>
      <x:c r="B14" s="171" t="str">
        <x:v>Operating scope</x:v>
      </x:c>
      <x:c r="C14" s="171" t="str">
        <x:v>Period</x:v>
      </x:c>
      <x:c r="D14" s="171" t="str">
        <x:v>Throughput</x:v>
      </x:c>
      <x:c r="E14" s="171" t="str">
        <x:v>Unit</x:v>
      </x:c>
      <x:c r="F14" s="171" t="str">
        <x:v>YoY</x:v>
      </x:c>
      <x:c r="G14" s="171" t="str">
        <x:v>Capacity</x:v>
      </x:c>
      <x:c r="H14" s="171" t="str">
        <x:v>Capacity unit</x:v>
      </x:c>
      <x:c r="I14" s="171" t="str">
        <x:v>Indicative utilization</x:v>
      </x:c>
      <x:c r="J14" s="171" t="str">
        <x:v>Data class</x:v>
      </x:c>
      <x:c r="K14" s="171" t="str">
        <x:v>Source ID</x:v>
      </x:c>
      <x:c r="L14" s="171" t="str">
        <x:v>Audit note</x:v>
      </x:c>
    </x:row>
    <x:row r="15" ht="48" customHeight="1">
      <x:c r="A15" s="85" t="str">
        <x:v>GMD</x:v>
      </x:c>
      <x:c r="B15" s="86" t="str">
        <x:v>Consolidated port system</x:v>
      </x:c>
      <x:c r="C15" s="86" t="str">
        <x:v>FY2025</x:v>
      </x:c>
      <x:c r="D15" s="133" t="n">
        <x:v>5.079</x:v>
      </x:c>
      <x:c r="E15" s="86" t="str">
        <x:v>m TEU</x:v>
      </x:c>
      <x:c r="F15" s="111" t="n">
        <x:v>0.15</x:v>
      </x:c>
      <x:c r="G15" s="133" t="n">
        <x:v>5</x:v>
      </x:c>
      <x:c r="H15" s="86" t="str">
        <x:v>m TEU current disclosed capacity</x:v>
      </x:c>
      <x:c r="I15" s="111"/>
      <x:c r="J15" s="86" t="str">
        <x:v>Issuer actual + capacity disclosure</x:v>
      </x:c>
      <x:c r="K15" s="86" t="str">
        <x:v>SRC-G01 / SRC-G05</x:v>
      </x:c>
      <x:c r="L15" s="87" t="str">
        <x:v>Actual throughput can exceed the marketing-page capacity because scope and capacity vintages differ; utilization is not calculated.</x:v>
      </x:c>
    </x:row>
    <x:row r="16" ht="48" customHeight="1">
      <x:c r="A16" s="88" t="str">
        <x:v>VSC</x:v>
      </x:c>
      <x:c r="B16" s="89" t="str">
        <x:v>Greenport + VIP Greenport + Nam Hai Dinh Vu system</x:v>
      </x:c>
      <x:c r="C16" s="89" t="str">
        <x:v>2024 milestone</x:v>
      </x:c>
      <x:c r="D16" s="134" t="n">
        <x:v>1</x:v>
      </x:c>
      <x:c r="E16" s="89" t="str">
        <x:v>m TEU</x:v>
      </x:c>
      <x:c r="F16" s="109"/>
      <x:c r="G16" s="134" t="n">
        <x:v>1.5</x:v>
      </x:c>
      <x:c r="H16" s="89" t="str">
        <x:v>m TEU secondary estimate</x:v>
      </x:c>
      <x:c r="I16" s="109"/>
      <x:c r="J16" s="89" t="str">
        <x:v>Issuer milestone + secondary capacity</x:v>
      </x:c>
      <x:c r="K16" s="89" t="str">
        <x:v>SRC-P05 / SRC-P07 / SRC-S01</x:v>
      </x:c>
      <x:c r="L16" s="90" t="str">
        <x:v>2025 port-level throughput was not found in an auditable issuer table; capacity remains secondary.</x:v>
      </x:c>
    </x:row>
    <x:row r="17" ht="48" customHeight="1">
      <x:c r="A17" s="88" t="str">
        <x:v>PHP</x:v>
      </x:c>
      <x:c r="B17" s="89" t="str">
        <x:v>Parent-company container throughput</x:v>
      </x:c>
      <x:c r="C17" s="89" t="str">
        <x:v>FY2025</x:v>
      </x:c>
      <x:c r="D17" s="134" t="n">
        <x:v>1.2407</x:v>
      </x:c>
      <x:c r="E17" s="89" t="str">
        <x:v>m TEU</x:v>
      </x:c>
      <x:c r="F17" s="109" t="n">
        <x:v>-0.026</x:v>
      </x:c>
      <x:c r="G17" s="134"/>
      <x:c r="H17" s="89"/>
      <x:c r="I17" s="109"/>
      <x:c r="J17" s="89" t="str">
        <x:v>Issuer actual</x:v>
      </x:c>
      <x:c r="K17" s="89" t="str">
        <x:v>SRC-P02</x:v>
      </x:c>
      <x:c r="L17" s="90" t="str">
        <x:v>Parent throughput; do not combine with consolidated cargo tonnes.</x:v>
      </x:c>
    </x:row>
    <x:row r="18" ht="48" customHeight="1">
      <x:c r="A18" s="88" t="str">
        <x:v>PHP</x:v>
      </x:c>
      <x:c r="B18" s="89" t="str">
        <x:v>Consolidated total cargo</x:v>
      </x:c>
      <x:c r="C18" s="89" t="str">
        <x:v>FY2025</x:v>
      </x:c>
      <x:c r="D18" s="134" t="n">
        <x:v>42.7</x:v>
      </x:c>
      <x:c r="E18" s="89" t="str">
        <x:v>mn tonnes</x:v>
      </x:c>
      <x:c r="F18" s="109" t="n">
        <x:v>0.069</x:v>
      </x:c>
      <x:c r="G18" s="134"/>
      <x:c r="H18" s="89"/>
      <x:c r="I18" s="109"/>
      <x:c r="J18" s="89" t="str">
        <x:v>Issuer actual</x:v>
      </x:c>
      <x:c r="K18" s="89" t="str">
        <x:v>SRC-P02</x:v>
      </x:c>
      <x:c r="L18" s="90" t="str">
        <x:v>Tonnes are not comparable with TEU.</x:v>
      </x:c>
    </x:row>
    <x:row r="19" ht="48" customHeight="1">
      <x:c r="A19" s="91" t="str">
        <x:v>DVP</x:v>
      </x:c>
      <x:c r="B19" s="92" t="str">
        <x:v>Dinh Vu terminal</x:v>
      </x:c>
      <x:c r="C19" s="92" t="str">
        <x:v>FY2025</x:v>
      </x:c>
      <x:c r="D19" s="135" t="n">
        <x:v>0.513942</x:v>
      </x:c>
      <x:c r="E19" s="92" t="str">
        <x:v>m TEU</x:v>
      </x:c>
      <x:c r="F19" s="110" t="n">
        <x:v>-0.1033</x:v>
      </x:c>
      <x:c r="G19" s="135" t="n">
        <x:v>0.6</x:v>
      </x:c>
      <x:c r="H19" s="92" t="str">
        <x:v>m TEU nominal minimum</x:v>
      </x:c>
      <x:c r="I19" s="110" t="n">
        <x:f>D19/G19</x:f>
        <x:v>0.85657</x:v>
      </x:c>
      <x:c r="J19" s="92" t="str">
        <x:v>Issuer actual + website capacity</x:v>
      </x:c>
      <x:c r="K19" s="92" t="str">
        <x:v>SRC-P09 / SRC-P11</x:v>
      </x:c>
      <x:c r="L19" s="93" t="str">
        <x:v>Website states capacity above 600k TEU; indicative utilization is a ceiling, not an exact figure.</x:v>
      </x:c>
    </x:row>
  </x:sheetData>
  <x:mergeCells>
    <x:mergeCell ref="A1:N1"/>
    <x:mergeCell ref="A2:N2"/>
    <x:mergeCell ref="A4:N4"/>
    <x:mergeCell ref="A12:N12"/>
  </x:mergeCells>
  <x:pageMargins left="0.7" right="0.7" top="0.75" bottom="0.75" header="0.3" footer="0.3"/>
  <x:legacyDrawing xmlns:r="http://schemas.openxmlformats.org/officeDocument/2006/relationships" r:id="R2ae3e75c5dc94446"/>
  <x:tableParts count="2">
    <x:tablePart xmlns:r="http://schemas.openxmlformats.org/officeDocument/2006/relationships" r:id="Ref98bae997754e87"/>
    <x:tablePart xmlns:r="http://schemas.openxmlformats.org/officeDocument/2006/relationships" r:id="R5d5b41f422164841"/>
  </x:tableParts>
</x:worksheet>
</file>

<file path=xl/worksheets/sheet15.xml><?xml version="1.0" encoding="utf-8"?>
<x:worksheet xmlns:x="http://schemas.openxmlformats.org/spreadsheetml/2006/main">
  <x:sheetViews>
    <x:sheetView showGridLines="0" workbookViewId="0"/>
  </x:sheetViews>
  <x:sheetFormatPr defaultRowHeight="15"/>
  <x:cols>
    <x:col min="1" max="1" width="40" hidden="0" customWidth="1"/>
    <x:col min="2" max="2" width="42" hidden="0" customWidth="1"/>
    <x:col min="3" max="3" width="42" hidden="0" customWidth="1"/>
    <x:col min="4" max="4" width="42" hidden="0" customWidth="1"/>
    <x:col min="5" max="5" width="42" hidden="0" customWidth="1"/>
    <x:col min="6" max="6" width="38" hidden="0" customWidth="1"/>
    <x:col min="7" max="7" width="4" hidden="0" customWidth="1"/>
    <x:col min="8" max="8" width="16" hidden="0" customWidth="1"/>
    <x:col min="9" max="9" width="18" hidden="0" customWidth="1"/>
    <x:col min="10" max="10" width="14" hidden="0" customWidth="1"/>
    <x:col min="11" max="11" width="14" hidden="0" customWidth="1"/>
    <x:col min="12" max="12" width="14" hidden="0" customWidth="1"/>
    <x:col min="13" max="13" width="14" hidden="0" customWidth="1"/>
    <x:col min="14" max="14" width="14" hidden="0" customWidth="1"/>
    <x:col min="15" max="15" width="14" hidden="0" customWidth="1"/>
  </x:cols>
  <x:sheetData>
    <x:row r="1" ht="30" customHeight="1">
      <x:c r="A1" s="158" t="str">
        <x:v>Phase 2 — Operational Peer Scorecard</x:v>
      </x:c>
      <x:c r="B1" s="158" t="str">
        <x:v>Phase 2 — Operational Peer Scorecard</x:v>
      </x:c>
      <x:c r="C1" s="158" t="str">
        <x:v>Phase 2 — Operational Peer Scorecard</x:v>
      </x:c>
      <x:c r="D1" s="158" t="str">
        <x:v>Phase 2 — Operational Peer Scorecard</x:v>
      </x:c>
      <x:c r="E1" s="158" t="str">
        <x:v>Phase 2 — Operational Peer Scorecard</x:v>
      </x:c>
      <x:c r="F1" s="158" t="str">
        <x:v>Phase 2 — Operational Peer Scorecard</x:v>
      </x:c>
      <x:c r="G1" s="158" t="str">
        <x:v>Phase 2 — Operational Peer Scorecard</x:v>
      </x:c>
      <x:c r="H1" s="158" t="str">
        <x:v>Phase 2 — Operational Peer Scorecard</x:v>
      </x:c>
      <x:c r="I1" s="158" t="str">
        <x:v>Phase 2 — Operational Peer Scorecard</x:v>
      </x:c>
      <x:c r="J1" s="158" t="str">
        <x:v>Phase 2 — Operational Peer Scorecard</x:v>
      </x:c>
      <x:c r="K1" s="158" t="str">
        <x:v>Phase 2 — Operational Peer Scorecard</x:v>
      </x:c>
      <x:c r="L1" s="158" t="str">
        <x:v>Phase 2 — Operational Peer Scorecard</x:v>
      </x:c>
      <x:c r="M1" s="158" t="str">
        <x:v>Phase 2 — Operational Peer Scorecard</x:v>
      </x:c>
      <x:c r="N1" s="158" t="str">
        <x:v>Phase 2 — Operational Peer Scorecard</x:v>
      </x:c>
      <x:c r="O1" s="158" t="str">
        <x:v>Phase 2 — Operational Peer Scorecard</x:v>
      </x:c>
    </x:row>
    <x:row r="2" ht="34" customHeight="1">
      <x:c r="A2" s="162" t="str">
        <x:v>Scores are visible analyst judgments from 1 to 5. Yellow/blue cells are editable assumptions; weights and weighted outputs are formula-driven. Valuation is deliberately excluded.</x:v>
      </x:c>
      <x:c r="B2" s="162" t="str">
        <x:v>Scores are visible analyst judgments from 1 to 5. Yellow/blue cells are editable assumptions; weights and weighted outputs are formula-driven. Valuation is deliberately excluded.</x:v>
      </x:c>
      <x:c r="C2" s="162" t="str">
        <x:v>Scores are visible analyst judgments from 1 to 5. Yellow/blue cells are editable assumptions; weights and weighted outputs are formula-driven. Valuation is deliberately excluded.</x:v>
      </x:c>
      <x:c r="D2" s="162" t="str">
        <x:v>Scores are visible analyst judgments from 1 to 5. Yellow/blue cells are editable assumptions; weights and weighted outputs are formula-driven. Valuation is deliberately excluded.</x:v>
      </x:c>
      <x:c r="E2" s="162" t="str">
        <x:v>Scores are visible analyst judgments from 1 to 5. Yellow/blue cells are editable assumptions; weights and weighted outputs are formula-driven. Valuation is deliberately excluded.</x:v>
      </x:c>
      <x:c r="F2" s="162" t="str">
        <x:v>Scores are visible analyst judgments from 1 to 5. Yellow/blue cells are editable assumptions; weights and weighted outputs are formula-driven. Valuation is deliberately excluded.</x:v>
      </x:c>
      <x:c r="G2" s="162" t="str">
        <x:v>Scores are visible analyst judgments from 1 to 5. Yellow/blue cells are editable assumptions; weights and weighted outputs are formula-driven. Valuation is deliberately excluded.</x:v>
      </x:c>
      <x:c r="H2" s="162" t="str">
        <x:v>Scores are visible analyst judgments from 1 to 5. Yellow/blue cells are editable assumptions; weights and weighted outputs are formula-driven. Valuation is deliberately excluded.</x:v>
      </x:c>
      <x:c r="I2" s="162" t="str">
        <x:v>Scores are visible analyst judgments from 1 to 5. Yellow/blue cells are editable assumptions; weights and weighted outputs are formula-driven. Valuation is deliberately excluded.</x:v>
      </x:c>
      <x:c r="J2" s="162" t="str">
        <x:v>Scores are visible analyst judgments from 1 to 5. Yellow/blue cells are editable assumptions; weights and weighted outputs are formula-driven. Valuation is deliberately excluded.</x:v>
      </x:c>
      <x:c r="K2" s="162" t="str">
        <x:v>Scores are visible analyst judgments from 1 to 5. Yellow/blue cells are editable assumptions; weights and weighted outputs are formula-driven. Valuation is deliberately excluded.</x:v>
      </x:c>
      <x:c r="L2" s="162" t="str">
        <x:v>Scores are visible analyst judgments from 1 to 5. Yellow/blue cells are editable assumptions; weights and weighted outputs are formula-driven. Valuation is deliberately excluded.</x:v>
      </x:c>
      <x:c r="M2" s="162" t="str">
        <x:v>Scores are visible analyst judgments from 1 to 5. Yellow/blue cells are editable assumptions; weights and weighted outputs are formula-driven. Valuation is deliberately excluded.</x:v>
      </x:c>
      <x:c r="N2" s="162" t="str">
        <x:v>Scores are visible analyst judgments from 1 to 5. Yellow/blue cells are editable assumptions; weights and weighted outputs are formula-driven. Valuation is deliberately excluded.</x:v>
      </x:c>
      <x:c r="O2" s="162" t="str">
        <x:v>Scores are visible analyst judgments from 1 to 5. Yellow/blue cells are editable assumptions; weights and weighted outputs are formula-driven. Valuation is deliberately excluded.</x:v>
      </x:c>
    </x:row>
    <x:row r="4" ht="21" customHeight="1">
      <x:c r="A4" s="165" t="str">
        <x:v>Weighted operating screen</x:v>
      </x:c>
      <x:c r="B4" s="165" t="str">
        <x:v>Weighted operating screen</x:v>
      </x:c>
      <x:c r="C4" s="165" t="str">
        <x:v>Weighted operating screen</x:v>
      </x:c>
      <x:c r="D4" s="165" t="str">
        <x:v>Weighted operating screen</x:v>
      </x:c>
      <x:c r="E4" s="165" t="str">
        <x:v>Weighted operating screen</x:v>
      </x:c>
      <x:c r="F4" s="165" t="str">
        <x:v>Weighted operating screen</x:v>
      </x:c>
    </x:row>
    <x:row r="5" ht="32" customHeight="1">
      <x:c r="A5" s="171" t="str">
        <x:v>Criterion</x:v>
      </x:c>
      <x:c r="B5" s="171" t="str">
        <x:v>Weight</x:v>
      </x:c>
      <x:c r="C5" s="171" t="str">
        <x:v>GMD</x:v>
      </x:c>
      <x:c r="D5" s="171" t="str">
        <x:v>VSC</x:v>
      </x:c>
      <x:c r="E5" s="171" t="str">
        <x:v>PHP</x:v>
      </x:c>
      <x:c r="F5" s="171" t="str">
        <x:v>DVP</x:v>
      </x:c>
    </x:row>
    <x:row r="6" ht="34" customHeight="1">
      <x:c r="A6" s="85" t="str">
        <x:v>Asset position &amp; route connectivity</x:v>
      </x:c>
      <x:c r="B6" s="225" t="n">
        <x:v>0.25</x:v>
      </x:c>
      <x:c r="C6" s="226" t="n">
        <x:v>5</x:v>
      </x:c>
      <x:c r="D6" s="226" t="n">
        <x:v>4</x:v>
      </x:c>
      <x:c r="E6" s="226" t="n">
        <x:v>4.5</x:v>
      </x:c>
      <x:c r="F6" s="227" t="n">
        <x:v>2</x:v>
      </x:c>
    </x:row>
    <x:row r="7" ht="34" customHeight="1">
      <x:c r="A7" s="88" t="str">
        <x:v>Growth capacity &amp; expansion runway</x:v>
      </x:c>
      <x:c r="B7" s="228" t="n">
        <x:v>0.2</x:v>
      </x:c>
      <x:c r="C7" s="229" t="n">
        <x:v>5</x:v>
      </x:c>
      <x:c r="D7" s="229" t="n">
        <x:v>3.5</x:v>
      </x:c>
      <x:c r="E7" s="229" t="n">
        <x:v>4.5</x:v>
      </x:c>
      <x:c r="F7" s="230" t="n">
        <x:v>2</x:v>
      </x:c>
    </x:row>
    <x:row r="8" ht="34" customHeight="1">
      <x:c r="A8" s="88" t="str">
        <x:v>2025 volume &amp; earnings momentum</x:v>
      </x:c>
      <x:c r="B8" s="228" t="n">
        <x:v>0.15</x:v>
      </x:c>
      <x:c r="C8" s="229" t="n">
        <x:v>5</x:v>
      </x:c>
      <x:c r="D8" s="229" t="n">
        <x:v>4</x:v>
      </x:c>
      <x:c r="E8" s="229" t="n">
        <x:v>3</x:v>
      </x:c>
      <x:c r="F8" s="230" t="n">
        <x:v>2</x:v>
      </x:c>
    </x:row>
    <x:row r="9" ht="34" customHeight="1">
      <x:c r="A9" s="88" t="str">
        <x:v>Earnings quality &amp; financial resilience</x:v>
      </x:c>
      <x:c r="B9" s="228" t="n">
        <x:v>0.15</x:v>
      </x:c>
      <x:c r="C9" s="229" t="n">
        <x:v>4</x:v>
      </x:c>
      <x:c r="D9" s="229" t="n">
        <x:v>3</x:v>
      </x:c>
      <x:c r="E9" s="229" t="n">
        <x:v>4</x:v>
      </x:c>
      <x:c r="F9" s="230" t="n">
        <x:v>5</x:v>
      </x:c>
    </x:row>
    <x:row r="10" ht="34" customHeight="1">
      <x:c r="A10" s="88" t="str">
        <x:v>Port-thesis purity</x:v>
      </x:c>
      <x:c r="B10" s="228" t="n">
        <x:v>0.1</x:v>
      </x:c>
      <x:c r="C10" s="229" t="n">
        <x:v>4</x:v>
      </x:c>
      <x:c r="D10" s="229" t="n">
        <x:v>2</x:v>
      </x:c>
      <x:c r="E10" s="229" t="n">
        <x:v>5</x:v>
      </x:c>
      <x:c r="F10" s="230" t="n">
        <x:v>5</x:v>
      </x:c>
    </x:row>
    <x:row r="11" ht="34" customHeight="1">
      <x:c r="A11" s="88" t="str">
        <x:v>Disclosure &amp; modelability</x:v>
      </x:c>
      <x:c r="B11" s="228" t="n">
        <x:v>0.1</x:v>
      </x:c>
      <x:c r="C11" s="229" t="n">
        <x:v>5</x:v>
      </x:c>
      <x:c r="D11" s="229" t="n">
        <x:v>3</x:v>
      </x:c>
      <x:c r="E11" s="229" t="n">
        <x:v>4</x:v>
      </x:c>
      <x:c r="F11" s="230" t="n">
        <x:v>4</x:v>
      </x:c>
    </x:row>
    <x:row r="12" ht="34" customHeight="1">
      <x:c r="A12" s="91" t="str">
        <x:v>Risk balance</x:v>
      </x:c>
      <x:c r="B12" s="231" t="n">
        <x:v>0.05</x:v>
      </x:c>
      <x:c r="C12" s="232" t="n">
        <x:v>3.5</x:v>
      </x:c>
      <x:c r="D12" s="232" t="n">
        <x:v>3</x:v>
      </x:c>
      <x:c r="E12" s="232" t="n">
        <x:v>3.5</x:v>
      </x:c>
      <x:c r="F12" s="233" t="n">
        <x:v>2</x:v>
      </x:c>
    </x:row>
    <x:row r="13">
      <x:c r="A13" s="236" t="str">
        <x:v>Weighted score</x:v>
      </x:c>
      <x:c r="B13" s="237" t="n">
        <x:f>SUM(B6:B12)</x:f>
        <x:v>1</x:v>
      </x:c>
      <x:c r="C13" s="238" t="n">
        <x:f>SUMPRODUCT($B$6:$B$12,C6:C12)</x:f>
        <x:v>4.675</x:v>
      </x:c>
      <x:c r="D13" s="238" t="n">
        <x:f>SUMPRODUCT($B$6:$B$12,D6:D12)</x:f>
        <x:v>3.4</x:v>
      </x:c>
      <x:c r="E13" s="238" t="n">
        <x:f>SUMPRODUCT($B$6:$B$12,E6:E12)</x:f>
        <x:v>4.1499999999999995</x:v>
      </x:c>
      <x:c r="F13" s="238" t="n">
        <x:f>SUMPRODUCT($B$6:$B$12,F6:F12)</x:f>
        <x:v>2.95</x:v>
      </x:c>
    </x:row>
    <x:row r="14">
      <x:c r="A14" s="236" t="str">
        <x:v>Rank</x:v>
      </x:c>
      <x:c r="B14" s="236"/>
      <x:c r="C14" s="239" t="n">
        <x:f>RANK(C13,$C$13:$F$13,0)</x:f>
        <x:v>1</x:v>
      </x:c>
      <x:c r="D14" s="239" t="n">
        <x:f>RANK(D13,$C$13:$F$13,0)</x:f>
        <x:v>3</x:v>
      </x:c>
      <x:c r="E14" s="239" t="n">
        <x:f>RANK(E13,$C$13:$F$13,0)</x:f>
        <x:v>2</x:v>
      </x:c>
      <x:c r="F14" s="239" t="n">
        <x:f>RANK(F13,$C$13:$F$13,0)</x:f>
        <x:v>4</x:v>
      </x:c>
    </x:row>
    <x:row r="16" ht="21" customHeight="1">
      <x:c r="A16" s="165" t="str">
        <x:v>Evidence-based rationale</x:v>
      </x:c>
      <x:c r="B16" s="165" t="str">
        <x:v>Evidence-based rationale</x:v>
      </x:c>
      <x:c r="C16" s="165" t="str">
        <x:v>Evidence-based rationale</x:v>
      </x:c>
      <x:c r="D16" s="165" t="str">
        <x:v>Evidence-based rationale</x:v>
      </x:c>
      <x:c r="E16" s="165" t="str">
        <x:v>Evidence-based rationale</x:v>
      </x:c>
      <x:c r="F16" s="165" t="str">
        <x:v>Evidence-based rationale</x:v>
      </x:c>
    </x:row>
    <x:row r="17" ht="32" customHeight="1">
      <x:c r="A17" s="171" t="str">
        <x:v>Criterion</x:v>
      </x:c>
      <x:c r="B17" s="171" t="str">
        <x:v>GMD</x:v>
      </x:c>
      <x:c r="C17" s="171" t="str">
        <x:v>VSC</x:v>
      </x:c>
      <x:c r="D17" s="171" t="str">
        <x:v>PHP</x:v>
      </x:c>
      <x:c r="E17" s="171" t="str">
        <x:v>DVP</x:v>
      </x:c>
      <x:c r="F17" s="171" t="str">
        <x:v>Source ID</x:v>
      </x:c>
    </x:row>
    <x:row r="18" ht="48" customHeight="1">
      <x:c r="A18" s="85" t="str">
        <x:v>Asset position</x:v>
      </x:c>
      <x:c r="B18" s="86" t="str">
        <x:v>Nationwide network; Gemalink and Nam Dinh Vu</x:v>
      </x:c>
      <x:c r="C18" s="86" t="str">
        <x:v>Strong downstream Hai Phong cluster</x:v>
      </x:c>
      <x:c r="D18" s="86" t="str">
        <x:v>Scale plus Lach Huyen transition</x:v>
      </x:c>
      <x:c r="E18" s="86" t="str">
        <x:v>Upstream asset with channel constraint</x:v>
      </x:c>
      <x:c r="F18" s="87" t="str">
        <x:v>SRC-G01 / SRC-G02 / SRC-P02 / SRC-P08 / SRC-P11</x:v>
      </x:c>
    </x:row>
    <x:row r="19" ht="48" customHeight="1">
      <x:c r="A19" s="88" t="str">
        <x:v>Growth runway</x:v>
      </x:c>
      <x:c r="B19" s="89" t="str">
        <x:v>Nam Dinh Vu Phase 3 and Gemalink Phase 2</x:v>
      </x:c>
      <x:c r="C19" s="89" t="str">
        <x:v>Capacity exists but port-level ramp disclosure is limited</x:v>
      </x:c>
      <x:c r="D19" s="89" t="str">
        <x:v>Terminals 3–4 at Lach Huyen create strategic runway</x:v>
      </x:c>
      <x:c r="E19" s="89" t="str">
        <x:v>Limited expansion; 2026 plan mainly restores volume</x:v>
      </x:c>
      <x:c r="F19" s="90" t="str">
        <x:v>SRC-G01 / SRC-G02 / SRC-P02 / SRC-P10</x:v>
      </x:c>
    </x:row>
    <x:row r="20" ht="48" customHeight="1">
      <x:c r="A20" s="88" t="str">
        <x:v>Momentum</x:v>
      </x:c>
      <x:c r="B20" s="89" t="str">
        <x:v>5.079m TEU, +15%; PBT +42%</x:v>
      </x:c>
      <x:c r="C20" s="89" t="str">
        <x:v>Revenue +15%; PBT +30%</x:v>
      </x:c>
      <x:c r="D20" s="89" t="str">
        <x:v>Parent TEU -2.6%; consolidated cargo +6.9%</x:v>
      </x:c>
      <x:c r="E20" s="89" t="str">
        <x:v>TEU -10.3%; revenue -15.3%; PBT +0.6%</x:v>
      </x:c>
      <x:c r="F20" s="90" t="str">
        <x:v>SRC-G01 / SRC-P05 / SRC-P02 / SRC-P09</x:v>
      </x:c>
    </x:row>
    <x:row r="21" ht="48" customHeight="1">
      <x:c r="A21" s="88" t="str">
        <x:v>Earnings quality</x:v>
      </x:c>
      <x:c r="B21" s="89" t="str">
        <x:v>Strong margin and interest cover, but associates matter</x:v>
      </x:c>
      <x:c r="C21" s="89" t="str">
        <x:v>Lower margin and acquisition/associate complexity</x:v>
      </x:c>
      <x:c r="D21" s="89" t="str">
        <x:v>Strong profit and conservative parent balance sheet</x:v>
      </x:c>
      <x:c r="E21" s="89" t="str">
        <x:v>High margin and cost control preserved PBT</x:v>
      </x:c>
      <x:c r="F21" s="90" t="str">
        <x:v>SRC-G01 / SRC-P06 / SRC-P02 / SRC-P11</x:v>
      </x:c>
      <x:c r="H21" s="171" t="str">
        <x:v>Ticker</x:v>
      </x:c>
      <x:c r="I21" s="171" t="str">
        <x:v>Weighted score</x:v>
      </x:c>
    </x:row>
    <x:row r="22" ht="48" customHeight="1">
      <x:c r="A22" s="88" t="str">
        <x:v>Thesis purity</x:v>
      </x:c>
      <x:c r="B22" s="89" t="str">
        <x:v>Primarily ports/logistics</x:v>
      </x:c>
      <x:c r="C22" s="89" t="str">
        <x:v>HAH/VNA stakes introduce shipping exposure</x:v>
      </x:c>
      <x:c r="D22" s="89" t="str">
        <x:v>Predominantly port operator</x:v>
      </x:c>
      <x:c r="E22" s="89" t="str">
        <x:v>Port-pure single-terminal exposure</x:v>
      </x:c>
      <x:c r="F22" s="90" t="str">
        <x:v>SRC-G01 / SRC-P07 / SRC-P02 / SRC-P11</x:v>
      </x:c>
      <x:c r="H22" s="85" t="str">
        <x:v>GMD</x:v>
      </x:c>
      <x:c r="I22" s="240" t="n">
        <x:f>C13</x:f>
        <x:v>4.675</x:v>
      </x:c>
    </x:row>
    <x:row r="23" ht="48" customHeight="1">
      <x:c r="A23" s="88" t="str">
        <x:v>Disclosure</x:v>
      </x:c>
      <x:c r="B23" s="89" t="str">
        <x:v>Best port-level and regional disclosure in peer set</x:v>
      </x:c>
      <x:c r="C23" s="89" t="str">
        <x:v>Audited financials clear; port KPIs limited</x:v>
      </x:c>
      <x:c r="D23" s="89" t="str">
        <x:v>Strong operating table, but parent/consolidated split</x:v>
      </x:c>
      <x:c r="E23" s="89" t="str">
        <x:v>Clear AGM KPIs and causal explanation</x:v>
      </x:c>
      <x:c r="F23" s="90" t="str">
        <x:v>SRC-G01 / SRC-P05 / SRC-P02 / SRC-P11</x:v>
      </x:c>
      <x:c r="H23" s="88" t="str">
        <x:v>PHP</x:v>
      </x:c>
      <x:c r="I23" s="241" t="n">
        <x:f>E13</x:f>
        <x:v>4.1499999999999995</x:v>
      </x:c>
    </x:row>
    <x:row r="24" ht="48" customHeight="1">
      <x:c r="A24" s="91" t="str">
        <x:v>Risk balance</x:v>
      </x:c>
      <x:c r="B24" s="92" t="str">
        <x:v>Capex/ramp and attributable-earnings complexity</x:v>
      </x:c>
      <x:c r="C24" s="92" t="str">
        <x:v>Leverage, acquisitions and mixed exposure</x:v>
      </x:c>
      <x:c r="D24" s="92" t="str">
        <x:v>Ownership and project-normalization complexity</x:v>
      </x:c>
      <x:c r="E24" s="92" t="str">
        <x:v>Structural channel and service-rotation risk</x:v>
      </x:c>
      <x:c r="F24" s="93" t="str">
        <x:v>Source Audit / Gap Log</x:v>
      </x:c>
      <x:c r="H24" s="88" t="str">
        <x:v>VSC</x:v>
      </x:c>
      <x:c r="I24" s="241" t="n">
        <x:f>D13</x:f>
        <x:v>3.4</x:v>
      </x:c>
    </x:row>
    <x:row r="25" ht="26" customHeight="1">
      <x:c r="H25" s="91" t="str">
        <x:v>DVP</x:v>
      </x:c>
      <x:c r="I25" s="242" t="n">
        <x:f>F13</x:f>
        <x:v>2.95</x:v>
      </x:c>
    </x:row>
  </x:sheetData>
  <x:mergeCells>
    <x:mergeCell ref="A1:O1"/>
    <x:mergeCell ref="A2:O2"/>
    <x:mergeCell ref="A4:F4"/>
    <x:mergeCell ref="A16:F16"/>
  </x:mergeCells>
  <x:dataValidations count="2">
    <x:dataValidation type="decimal" operator="between" sqref="B6:B12">
      <x:formula1>0</x:formula1>
      <x:formula2>1</x:formula2>
    </x:dataValidation>
    <x:dataValidation type="decimal" operator="between" sqref="C6:F12">
      <x:formula1>1</x:formula1>
      <x:formula2>5</x:formula2>
    </x:dataValidation>
  </x:dataValidations>
  <x:pageMargins left="0.7" right="0.7" top="0.75" bottom="0.75" header="0.3" footer="0.3"/>
  <x:drawing xmlns:r="http://schemas.openxmlformats.org/officeDocument/2006/relationships" r:id="R175b251827ba4a0e"/>
  <x:tableParts count="2">
    <x:tablePart xmlns:r="http://schemas.openxmlformats.org/officeDocument/2006/relationships" r:id="R6f02009f3e1641b5"/>
    <x:tablePart xmlns:r="http://schemas.openxmlformats.org/officeDocument/2006/relationships" r:id="R6b690a9186864043"/>
  </x:tableParts>
</x:worksheet>
</file>

<file path=xl/worksheets/sheet16.xml><?xml version="1.0" encoding="utf-8"?>
<x:worksheet xmlns:x="http://schemas.openxmlformats.org/spreadsheetml/2006/main">
  <x:sheetViews>
    <x:sheetView showGridLines="0" workbookViewId="0"/>
  </x:sheetViews>
  <x:sheetFormatPr defaultRowHeight="15"/>
  <x:cols>
    <x:col min="1" max="1" width="22" hidden="0" customWidth="1"/>
    <x:col min="2" max="2" width="35" hidden="0" customWidth="1"/>
    <x:col min="3" max="3" width="62" hidden="0" customWidth="1"/>
    <x:col min="4" max="4" width="34" hidden="0" customWidth="1"/>
    <x:col min="5" max="5" width="37" hidden="0" customWidth="1"/>
    <x:col min="6" max="6" width="4" hidden="0" customWidth="1"/>
    <x:col min="7" max="7" width="28" hidden="0" customWidth="1"/>
    <x:col min="8" max="8" width="22" hidden="0" customWidth="1"/>
    <x:col min="9" max="9" width="22" hidden="0" customWidth="1"/>
    <x:col min="10" max="10" width="22" hidden="0" customWidth="1"/>
    <x:col min="11" max="11" width="22" hidden="0" customWidth="1"/>
    <x:col min="12" max="12" width="22" hidden="0" customWidth="1"/>
  </x:cols>
  <x:sheetData>
    <x:row r="1" ht="30" customHeight="1">
      <x:c r="A1" s="158" t="str">
        <x:v>Phase 2 — Screening Conclusion</x:v>
      </x:c>
      <x:c r="B1" s="158" t="str">
        <x:v>Phase 2 — Screening Conclusion</x:v>
      </x:c>
      <x:c r="C1" s="158" t="str">
        <x:v>Phase 2 — Screening Conclusion</x:v>
      </x:c>
      <x:c r="D1" s="158" t="str">
        <x:v>Phase 2 — Screening Conclusion</x:v>
      </x:c>
      <x:c r="E1" s="158" t="str">
        <x:v>Phase 2 — Screening Conclusion</x:v>
      </x:c>
      <x:c r="F1" s="158" t="str">
        <x:v>Phase 2 — Screening Conclusion</x:v>
      </x:c>
      <x:c r="G1" s="158" t="str">
        <x:v>Phase 2 — Screening Conclusion</x:v>
      </x:c>
      <x:c r="H1" s="158" t="str">
        <x:v>Phase 2 — Screening Conclusion</x:v>
      </x:c>
      <x:c r="I1" s="158" t="str">
        <x:v>Phase 2 — Screening Conclusion</x:v>
      </x:c>
      <x:c r="J1" s="158" t="str">
        <x:v>Phase 2 — Screening Conclusion</x:v>
      </x:c>
      <x:c r="K1" s="158" t="str">
        <x:v>Phase 2 — Screening Conclusion</x:v>
      </x:c>
      <x:c r="L1" s="158" t="str">
        <x:v>Phase 2 — Screening Conclusion</x:v>
      </x:c>
    </x:row>
    <x:row r="2" ht="34" customHeight="1">
      <x:c r="A2" s="162" t="str">
        <x:v>Outcome: select the company for full operating modeling, define each peer's role and preserve falsification cases. No valuation or stock recommendation is issued.</x:v>
      </x:c>
      <x:c r="B2" s="162" t="str">
        <x:v>Outcome: select the company for full operating modeling, define each peer's role and preserve falsification cases. No valuation or stock recommendation is issued.</x:v>
      </x:c>
      <x:c r="C2" s="162" t="str">
        <x:v>Outcome: select the company for full operating modeling, define each peer's role and preserve falsification cases. No valuation or stock recommendation is issued.</x:v>
      </x:c>
      <x:c r="D2" s="162" t="str">
        <x:v>Outcome: select the company for full operating modeling, define each peer's role and preserve falsification cases. No valuation or stock recommendation is issued.</x:v>
      </x:c>
      <x:c r="E2" s="162" t="str">
        <x:v>Outcome: select the company for full operating modeling, define each peer's role and preserve falsification cases. No valuation or stock recommendation is issued.</x:v>
      </x:c>
      <x:c r="F2" s="162" t="str">
        <x:v>Outcome: select the company for full operating modeling, define each peer's role and preserve falsification cases. No valuation or stock recommendation is issued.</x:v>
      </x:c>
      <x:c r="G2" s="162" t="str">
        <x:v>Outcome: select the company for full operating modeling, define each peer's role and preserve falsification cases. No valuation or stock recommendation is issued.</x:v>
      </x:c>
      <x:c r="H2" s="162" t="str">
        <x:v>Outcome: select the company for full operating modeling, define each peer's role and preserve falsification cases. No valuation or stock recommendation is issued.</x:v>
      </x:c>
      <x:c r="I2" s="162" t="str">
        <x:v>Outcome: select the company for full operating modeling, define each peer's role and preserve falsification cases. No valuation or stock recommendation is issued.</x:v>
      </x:c>
      <x:c r="J2" s="162" t="str">
        <x:v>Outcome: select the company for full operating modeling, define each peer's role and preserve falsification cases. No valuation or stock recommendation is issued.</x:v>
      </x:c>
      <x:c r="K2" s="162" t="str">
        <x:v>Outcome: select the company for full operating modeling, define each peer's role and preserve falsification cases. No valuation or stock recommendation is issued.</x:v>
      </x:c>
      <x:c r="L2" s="162" t="str">
        <x:v>Outcome: select the company for full operating modeling, define each peer's role and preserve falsification cases. No valuation or stock recommendation is issued.</x:v>
      </x:c>
    </x:row>
    <x:row r="4" ht="21" customHeight="1">
      <x:c r="A4" s="165" t="str">
        <x:v>Decision summary</x:v>
      </x:c>
      <x:c r="B4" s="165" t="str">
        <x:v>Decision summary</x:v>
      </x:c>
      <x:c r="C4" s="165" t="str">
        <x:v>Decision summary</x:v>
      </x:c>
      <x:c r="D4" s="165" t="str">
        <x:v>Decision summary</x:v>
      </x:c>
      <x:c r="E4" s="165" t="str">
        <x:v>Decision summary</x:v>
      </x:c>
      <x:c r="F4" s="165" t="str">
        <x:v>Decision summary</x:v>
      </x:c>
      <x:c r="G4" s="165" t="str">
        <x:v>Decision summary</x:v>
      </x:c>
      <x:c r="H4" s="165" t="str">
        <x:v>Decision summary</x:v>
      </x:c>
      <x:c r="I4" s="165" t="str">
        <x:v>Decision summary</x:v>
      </x:c>
      <x:c r="J4" s="165" t="str">
        <x:v>Decision summary</x:v>
      </x:c>
      <x:c r="K4" s="165" t="str">
        <x:v>Decision summary</x:v>
      </x:c>
      <x:c r="L4" s="165" t="str">
        <x:v>Decision summary</x:v>
      </x:c>
    </x:row>
    <x:row r="5" ht="30" customHeight="1">
      <x:c r="A5" s="245" t="str">
        <x:v>Full-model selection</x:v>
      </x:c>
      <x:c r="B5" s="248" t="str">
        <x:v>GMD</x:v>
      </x:c>
      <x:c r="D5" s="245" t="str">
        <x:v>GMD score</x:v>
      </x:c>
      <x:c r="E5" s="252" t="n">
        <x:f>'P2 Scorecard'!C13</x:f>
        <x:v>4.675</x:v>
      </x:c>
      <x:c r="G5" s="201" t="str">
        <x:v>GMD passes because it combines the strongest asset position, identified capacity catalysts, positive operating momentum and the best disclosure set. This is an operational selection only; a lower valuation could still make another peer the better stock in Phase 4.</x:v>
      </x:c>
      <x:c r="H5" s="202" t="str">
        <x:v>GMD passes because it combines the strongest asset position, identified capacity catalysts, positive operating momentum and the best disclosure set. This is an operational selection only; a lower valuation could still make another peer the better stock in Phase 4.</x:v>
      </x:c>
      <x:c r="I5" s="202" t="str">
        <x:v>GMD passes because it combines the strongest asset position, identified capacity catalysts, positive operating momentum and the best disclosure set. This is an operational selection only; a lower valuation could still make another peer the better stock in Phase 4.</x:v>
      </x:c>
      <x:c r="J5" s="202" t="str">
        <x:v>GMD passes because it combines the strongest asset position, identified capacity catalysts, positive operating momentum and the best disclosure set. This is an operational selection only; a lower valuation could still make another peer the better stock in Phase 4.</x:v>
      </x:c>
      <x:c r="K5" s="202" t="str">
        <x:v>GMD passes because it combines the strongest asset position, identified capacity catalysts, positive operating momentum and the best disclosure set. This is an operational selection only; a lower valuation could still make another peer the better stock in Phase 4.</x:v>
      </x:c>
      <x:c r="L5" s="203" t="str">
        <x:v>GMD passes because it combines the strongest asset position, identified capacity catalysts, positive operating momentum and the best disclosure set. This is an operational selection only; a lower valuation could still make another peer the better stock in Phase 4.</x:v>
      </x:c>
    </x:row>
    <x:row r="6" ht="30" customHeight="1">
      <x:c r="A6" s="245" t="str">
        <x:v>Primary operating comparator</x:v>
      </x:c>
      <x:c r="B6" s="248" t="str">
        <x:v>VSC</x:v>
      </x:c>
      <x:c r="D6" s="245" t="str">
        <x:v>VSC score</x:v>
      </x:c>
      <x:c r="E6" s="252" t="n">
        <x:f>'P2 Scorecard'!D13</x:f>
        <x:v>3.4</x:v>
      </x:c>
      <x:c r="G6" s="204" t="str">
        <x:v>GMD passes because it combines the strongest asset position, identified capacity catalysts, positive operating momentum and the best disclosure set. This is an operational selection only; a lower valuation could still make another peer the better stock in Phase 4.</x:v>
      </x:c>
      <x:c r="H6" s="205" t="str">
        <x:v>GMD passes because it combines the strongest asset position, identified capacity catalysts, positive operating momentum and the best disclosure set. This is an operational selection only; a lower valuation could still make another peer the better stock in Phase 4.</x:v>
      </x:c>
      <x:c r="I6" s="205" t="str">
        <x:v>GMD passes because it combines the strongest asset position, identified capacity catalysts, positive operating momentum and the best disclosure set. This is an operational selection only; a lower valuation could still make another peer the better stock in Phase 4.</x:v>
      </x:c>
      <x:c r="J6" s="205" t="str">
        <x:v>GMD passes because it combines the strongest asset position, identified capacity catalysts, positive operating momentum and the best disclosure set. This is an operational selection only; a lower valuation could still make another peer the better stock in Phase 4.</x:v>
      </x:c>
      <x:c r="K6" s="205" t="str">
        <x:v>GMD passes because it combines the strongest asset position, identified capacity catalysts, positive operating momentum and the best disclosure set. This is an operational selection only; a lower valuation could still make another peer the better stock in Phase 4.</x:v>
      </x:c>
      <x:c r="L6" s="206" t="str">
        <x:v>GMD passes because it combines the strongest asset position, identified capacity catalysts, positive operating momentum and the best disclosure set. This is an operational selection only; a lower valuation could still make another peer the better stock in Phase 4.</x:v>
      </x:c>
    </x:row>
    <x:row r="7" ht="30" customHeight="1">
      <x:c r="A7" s="245" t="str">
        <x:v>Strategic asset benchmark</x:v>
      </x:c>
      <x:c r="B7" s="248" t="str">
        <x:v>PHP</x:v>
      </x:c>
      <x:c r="D7" s="245" t="str">
        <x:v>PHP score</x:v>
      </x:c>
      <x:c r="E7" s="252" t="n">
        <x:f>'P2 Scorecard'!E13</x:f>
        <x:v>4.1499999999999995</x:v>
      </x:c>
      <x:c r="G7" s="204" t="str">
        <x:v>GMD passes because it combines the strongest asset position, identified capacity catalysts, positive operating momentum and the best disclosure set. This is an operational selection only; a lower valuation could still make another peer the better stock in Phase 4.</x:v>
      </x:c>
      <x:c r="H7" s="205" t="str">
        <x:v>GMD passes because it combines the strongest asset position, identified capacity catalysts, positive operating momentum and the best disclosure set. This is an operational selection only; a lower valuation could still make another peer the better stock in Phase 4.</x:v>
      </x:c>
      <x:c r="I7" s="205" t="str">
        <x:v>GMD passes because it combines the strongest asset position, identified capacity catalysts, positive operating momentum and the best disclosure set. This is an operational selection only; a lower valuation could still make another peer the better stock in Phase 4.</x:v>
      </x:c>
      <x:c r="J7" s="205" t="str">
        <x:v>GMD passes because it combines the strongest asset position, identified capacity catalysts, positive operating momentum and the best disclosure set. This is an operational selection only; a lower valuation could still make another peer the better stock in Phase 4.</x:v>
      </x:c>
      <x:c r="K7" s="205" t="str">
        <x:v>GMD passes because it combines the strongest asset position, identified capacity catalysts, positive operating momentum and the best disclosure set. This is an operational selection only; a lower valuation could still make another peer the better stock in Phase 4.</x:v>
      </x:c>
      <x:c r="L7" s="206" t="str">
        <x:v>GMD passes because it combines the strongest asset position, identified capacity catalysts, positive operating momentum and the best disclosure set. This is an operational selection only; a lower valuation could still make another peer the better stock in Phase 4.</x:v>
      </x:c>
    </x:row>
    <x:row r="8" ht="30" customHeight="1">
      <x:c r="A8" s="245" t="str">
        <x:v>Negative-control case</x:v>
      </x:c>
      <x:c r="B8" s="248" t="str">
        <x:v>DVP</x:v>
      </x:c>
      <x:c r="D8" s="245" t="str">
        <x:v>DVP score</x:v>
      </x:c>
      <x:c r="E8" s="252" t="n">
        <x:f>'P2 Scorecard'!F13</x:f>
        <x:v>2.95</x:v>
      </x:c>
      <x:c r="G8" s="207" t="str">
        <x:v>GMD passes because it combines the strongest asset position, identified capacity catalysts, positive operating momentum and the best disclosure set. This is an operational selection only; a lower valuation could still make another peer the better stock in Phase 4.</x:v>
      </x:c>
      <x:c r="H8" s="208" t="str">
        <x:v>GMD passes because it combines the strongest asset position, identified capacity catalysts, positive operating momentum and the best disclosure set. This is an operational selection only; a lower valuation could still make another peer the better stock in Phase 4.</x:v>
      </x:c>
      <x:c r="I8" s="208" t="str">
        <x:v>GMD passes because it combines the strongest asset position, identified capacity catalysts, positive operating momentum and the best disclosure set. This is an operational selection only; a lower valuation could still make another peer the better stock in Phase 4.</x:v>
      </x:c>
      <x:c r="J8" s="208" t="str">
        <x:v>GMD passes because it combines the strongest asset position, identified capacity catalysts, positive operating momentum and the best disclosure set. This is an operational selection only; a lower valuation could still make another peer the better stock in Phase 4.</x:v>
      </x:c>
      <x:c r="K8" s="208" t="str">
        <x:v>GMD passes because it combines the strongest asset position, identified capacity catalysts, positive operating momentum and the best disclosure set. This is an operational selection only; a lower valuation could still make another peer the better stock in Phase 4.</x:v>
      </x:c>
      <x:c r="L8" s="209" t="str">
        <x:v>GMD passes because it combines the strongest asset position, identified capacity catalysts, positive operating momentum and the best disclosure set. This is an operational selection only; a lower valuation could still make another peer the better stock in Phase 4.</x:v>
      </x:c>
    </x:row>
    <x:row r="10" ht="21" customHeight="1">
      <x:c r="A10" s="165" t="str">
        <x:v>Peer roles after Phase 2</x:v>
      </x:c>
      <x:c r="B10" s="165" t="str">
        <x:v>Peer roles after Phase 2</x:v>
      </x:c>
      <x:c r="C10" s="165" t="str">
        <x:v>Peer roles after Phase 2</x:v>
      </x:c>
      <x:c r="D10" s="165" t="str">
        <x:v>Peer roles after Phase 2</x:v>
      </x:c>
      <x:c r="E10" s="165" t="str">
        <x:v>Peer roles after Phase 2</x:v>
      </x:c>
      <x:c r="F10" s="165" t="str">
        <x:v>Peer roles after Phase 2</x:v>
      </x:c>
      <x:c r="G10" s="165" t="str">
        <x:v>Peer roles after Phase 2</x:v>
      </x:c>
      <x:c r="H10" s="165" t="str">
        <x:v>Peer roles after Phase 2</x:v>
      </x:c>
      <x:c r="I10" s="165" t="str">
        <x:v>Peer roles after Phase 2</x:v>
      </x:c>
      <x:c r="J10" s="165" t="str">
        <x:v>Peer roles after Phase 2</x:v>
      </x:c>
      <x:c r="K10" s="165" t="str">
        <x:v>Peer roles after Phase 2</x:v>
      </x:c>
      <x:c r="L10" s="165" t="str">
        <x:v>Peer roles after Phase 2</x:v>
      </x:c>
    </x:row>
    <x:row r="12" ht="32" customHeight="1">
      <x:c r="A12" s="171" t="str">
        <x:v>Ticker</x:v>
      </x:c>
      <x:c r="B12" s="171" t="str">
        <x:v>Phase 2 decision</x:v>
      </x:c>
      <x:c r="C12" s="171" t="str">
        <x:v>Role in Phase 3</x:v>
      </x:c>
      <x:c r="D12" s="171" t="str">
        <x:v>Falsification / warning</x:v>
      </x:c>
      <x:c r="E12" s="171" t="str">
        <x:v>Source ID</x:v>
      </x:c>
    </x:row>
    <x:row r="13" ht="56" customHeight="1">
      <x:c r="A13" s="85" t="str">
        <x:v>GMD</x:v>
      </x:c>
      <x:c r="B13" s="253" t="str">
        <x:v>SELECT — full operating model</x:v>
      </x:c>
      <x:c r="C13" s="86" t="str">
        <x:v>Model North/South port throughput, tariff, associates, capex and attributable earnings.</x:v>
      </x:c>
      <x:c r="D13" s="86" t="str">
        <x:v>Fail if market share falls, new capacity ramps slowly or capex/associate leakage overwhelms EBITDA growth.</x:v>
      </x:c>
      <x:c r="E13" s="87" t="str">
        <x:v>SRC-G01 / SRC-G02</x:v>
      </x:c>
    </x:row>
    <x:row r="14" ht="56" customHeight="1">
      <x:c r="A14" s="88" t="str">
        <x:v>VSC</x:v>
      </x:c>
      <x:c r="B14" s="220" t="str">
        <x:v>KEEP — primary comparator</x:v>
      </x:c>
      <x:c r="C14" s="89" t="str">
        <x:v>Benchmark Hai Phong tariff, port utilization and competitive response.</x:v>
      </x:c>
      <x:c r="D14" s="89" t="str">
        <x:v>Do not mix HAH/VNA shipping exposure into the pure-port thesis.</x:v>
      </x:c>
      <x:c r="E14" s="90" t="str">
        <x:v>SRC-P05 / SRC-P06 / SRC-P07</x:v>
      </x:c>
    </x:row>
    <x:row r="15" ht="56" customHeight="1">
      <x:c r="A15" s="88" t="str">
        <x:v>PHP</x:v>
      </x:c>
      <x:c r="B15" s="220" t="str">
        <x:v>KEEP — strategic asset benchmark</x:v>
      </x:c>
      <x:c r="C15" s="89" t="str">
        <x:v>Benchmark Lach Huyen gateway scale and balance-sheet-backed expansion.</x:v>
      </x:c>
      <x:c r="D15" s="89" t="str">
        <x:v>Normalize parent versus consolidated results before any valuation comparison.</x:v>
      </x:c>
      <x:c r="E15" s="90" t="str">
        <x:v>SRC-P02</x:v>
      </x:c>
    </x:row>
    <x:row r="16" ht="56" customHeight="1">
      <x:c r="A16" s="91" t="str">
        <x:v>DVP</x:v>
      </x:c>
      <x:c r="B16" s="223" t="str">
        <x:v>KEEP — negative control</x:v>
      </x:c>
      <x:c r="C16" s="92" t="str">
        <x:v>Use as downside evidence for channel depth and shipping-line service relocation.</x:v>
      </x:c>
      <x:c r="D16" s="92" t="str">
        <x:v>High margin does not offset a structurally weakening volume base indefinitely.</x:v>
      </x:c>
      <x:c r="E16" s="93" t="str">
        <x:v>SRC-P09 / SRC-P11</x:v>
      </x:c>
    </x:row>
    <x:row r="18" ht="21" customHeight="1">
      <x:c r="A18" s="165" t="str">
        <x:v>Phase 3 build requirements</x:v>
      </x:c>
      <x:c r="B18" s="165" t="str">
        <x:v>Phase 3 build requirements</x:v>
      </x:c>
      <x:c r="C18" s="165" t="str">
        <x:v>Phase 3 build requirements</x:v>
      </x:c>
      <x:c r="D18" s="165" t="str">
        <x:v>Phase 3 build requirements</x:v>
      </x:c>
      <x:c r="E18" s="165" t="str">
        <x:v>Phase 3 build requirements</x:v>
      </x:c>
      <x:c r="F18" s="165" t="str">
        <x:v>Phase 3 build requirements</x:v>
      </x:c>
      <x:c r="G18" s="165" t="str">
        <x:v>Phase 3 build requirements</x:v>
      </x:c>
      <x:c r="H18" s="165" t="str">
        <x:v>Phase 3 build requirements</x:v>
      </x:c>
      <x:c r="I18" s="165" t="str">
        <x:v>Phase 3 build requirements</x:v>
      </x:c>
      <x:c r="J18" s="165" t="str">
        <x:v>Phase 3 build requirements</x:v>
      </x:c>
      <x:c r="K18" s="165" t="str">
        <x:v>Phase 3 build requirements</x:v>
      </x:c>
      <x:c r="L18" s="165" t="str">
        <x:v>Phase 3 build requirements</x:v>
      </x:c>
    </x:row>
    <x:row r="20" ht="32" customHeight="1">
      <x:c r="A20" s="171" t="str">
        <x:v>Step</x:v>
      </x:c>
      <x:c r="B20" s="171" t="str">
        <x:v>Schedule</x:v>
      </x:c>
      <x:c r="C20" s="171" t="str">
        <x:v>Required output</x:v>
      </x:c>
      <x:c r="D20" s="171" t="str">
        <x:v>Evidence class</x:v>
      </x:c>
    </x:row>
    <x:row r="21" ht="39" customHeight="1">
      <x:c r="A21" s="85" t="str">
        <x:v>1</x:v>
      </x:c>
      <x:c r="B21" s="86" t="str">
        <x:v>National / regional demand</x:v>
      </x:c>
      <x:c r="C21" s="86" t="str">
        <x:v>Trade-to-TEU elasticity and North/South volume assumptions</x:v>
      </x:c>
      <x:c r="D21" s="87" t="str">
        <x:v>Historical series + analyst scenarios</x:v>
      </x:c>
    </x:row>
    <x:row r="22" ht="39" customHeight="1">
      <x:c r="A22" s="88" t="str">
        <x:v>2</x:v>
      </x:c>
      <x:c r="B22" s="89" t="str">
        <x:v>Port operations</x:v>
      </x:c>
      <x:c r="C22" s="89" t="str">
        <x:v>Asset-level throughput, capacity, utilization and realized revenue per unit</x:v>
      </x:c>
      <x:c r="D22" s="90" t="str">
        <x:v>GMD filings + regional data</x:v>
      </x:c>
    </x:row>
    <x:row r="23" ht="39" customHeight="1">
      <x:c r="A23" s="88" t="str">
        <x:v>3</x:v>
      </x:c>
      <x:c r="B23" s="89" t="str">
        <x:v>Financial bridge</x:v>
      </x:c>
      <x:c r="C23" s="89" t="str">
        <x:v>Port revenue, logistics revenue, EBITDA, associate income and attributable profit</x:v>
      </x:c>
      <x:c r="D23" s="90" t="str">
        <x:v>Formula-driven operating model</x:v>
      </x:c>
    </x:row>
    <x:row r="24" ht="39" customHeight="1">
      <x:c r="A24" s="88" t="str">
        <x:v>4</x:v>
      </x:c>
      <x:c r="B24" s="89" t="str">
        <x:v>Capex / catalysts</x:v>
      </x:c>
      <x:c r="C24" s="89" t="str">
        <x:v>Nam Dinh Vu Phase 3 and Gemalink Phase 2 timing and ramp</x:v>
      </x:c>
      <x:c r="D24" s="90" t="str">
        <x:v>Base/Bear/Bull cases</x:v>
      </x:c>
    </x:row>
    <x:row r="25" ht="39" customHeight="1">
      <x:c r="A25" s="91" t="str">
        <x:v>5</x:v>
      </x:c>
      <x:c r="B25" s="92" t="str">
        <x:v>Checks</x:v>
      </x:c>
      <x:c r="C25" s="92" t="str">
        <x:v>Unit, ownership, throughput-capacity and earnings-bridge checks</x:v>
      </x:c>
      <x:c r="D25" s="93" t="str">
        <x:v>Visible control sheet</x:v>
      </x:c>
    </x:row>
  </x:sheetData>
  <x:mergeCells>
    <x:mergeCell ref="A1:L1"/>
    <x:mergeCell ref="A2:L2"/>
    <x:mergeCell ref="A4:L4"/>
    <x:mergeCell ref="G5:L8"/>
    <x:mergeCell ref="A10:L10"/>
    <x:mergeCell ref="A18:L18"/>
  </x:mergeCells>
  <x:pageMargins left="0.7" right="0.7" top="0.75" bottom="0.75" header="0.3" footer="0.3"/>
  <x:tableParts count="2">
    <x:tablePart xmlns:r="http://schemas.openxmlformats.org/officeDocument/2006/relationships" r:id="R12cacef5f6354e3f"/>
    <x:tablePart xmlns:r="http://schemas.openxmlformats.org/officeDocument/2006/relationships" r:id="R023dad5d28154836"/>
  </x:tableParts>
</x:worksheet>
</file>

<file path=xl/worksheets/sheet17.xml><?xml version="1.0" encoding="utf-8"?>
<x:worksheet xmlns:x="http://schemas.openxmlformats.org/spreadsheetml/2006/main">
  <x:sheetViews>
    <x:sheetView showGridLines="0" workbookViewId="0"/>
  </x:sheetViews>
  <x:sheetFormatPr defaultRowHeight="15"/>
  <x:cols>
    <x:col min="1" max="1" width="37" hidden="0" customWidth="1"/>
    <x:col min="2" max="2" width="15" hidden="0" customWidth="1"/>
    <x:col min="3" max="3" width="15" hidden="0" customWidth="1"/>
    <x:col min="4" max="4" width="15" hidden="0" customWidth="1"/>
    <x:col min="5" max="5" width="15" hidden="0" customWidth="1"/>
    <x:col min="6" max="6" width="14" hidden="0" customWidth="1"/>
    <x:col min="7" max="7" width="58" hidden="0" customWidth="1"/>
  </x:cols>
  <x:sheetData>
    <x:row r="1" ht="30" customHeight="1">
      <x:c r="A1" s="158" t="str">
        <x:v>Phase 2 — Control Sheet</x:v>
      </x:c>
      <x:c r="B1" s="158" t="str">
        <x:v>Phase 2 — Control Sheet</x:v>
      </x:c>
      <x:c r="C1" s="158" t="str">
        <x:v>Phase 2 — Control Sheet</x:v>
      </x:c>
      <x:c r="D1" s="158" t="str">
        <x:v>Phase 2 — Control Sheet</x:v>
      </x:c>
      <x:c r="E1" s="158" t="str">
        <x:v>Phase 2 — Control Sheet</x:v>
      </x:c>
      <x:c r="F1" s="158" t="str">
        <x:v>Phase 2 — Control Sheet</x:v>
      </x:c>
      <x:c r="G1" s="158" t="str">
        <x:v>Phase 2 — Control Sheet</x:v>
      </x:c>
    </x:row>
    <x:row r="2" ht="34" customHeight="1">
      <x:c r="A2" s="162" t="str">
        <x:v>Controls cover score weights, score bounds, peer coverage, source registration and conclusion linkage. Passing checks validate structure, not investment merit.</x:v>
      </x:c>
      <x:c r="B2" s="162" t="str">
        <x:v>Controls cover score weights, score bounds, peer coverage, source registration and conclusion linkage. Passing checks validate structure, not investment merit.</x:v>
      </x:c>
      <x:c r="C2" s="162" t="str">
        <x:v>Controls cover score weights, score bounds, peer coverage, source registration and conclusion linkage. Passing checks validate structure, not investment merit.</x:v>
      </x:c>
      <x:c r="D2" s="162" t="str">
        <x:v>Controls cover score weights, score bounds, peer coverage, source registration and conclusion linkage. Passing checks validate structure, not investment merit.</x:v>
      </x:c>
      <x:c r="E2" s="162" t="str">
        <x:v>Controls cover score weights, score bounds, peer coverage, source registration and conclusion linkage. Passing checks validate structure, not investment merit.</x:v>
      </x:c>
      <x:c r="F2" s="162" t="str">
        <x:v>Controls cover score weights, score bounds, peer coverage, source registration and conclusion linkage. Passing checks validate structure, not investment merit.</x:v>
      </x:c>
      <x:c r="G2" s="162" t="str">
        <x:v>Controls cover score weights, score bounds, peer coverage, source registration and conclusion linkage. Passing checks validate structure, not investment merit.</x:v>
      </x:c>
    </x:row>
    <x:row r="4" ht="21" customHeight="1">
      <x:c r="A4" s="165" t="str">
        <x:v>Formula-driven checks</x:v>
      </x:c>
      <x:c r="B4" s="165" t="str">
        <x:v>Formula-driven checks</x:v>
      </x:c>
      <x:c r="C4" s="165" t="str">
        <x:v>Formula-driven checks</x:v>
      </x:c>
      <x:c r="D4" s="165" t="str">
        <x:v>Formula-driven checks</x:v>
      </x:c>
      <x:c r="E4" s="165" t="str">
        <x:v>Formula-driven checks</x:v>
      </x:c>
      <x:c r="F4" s="165" t="str">
        <x:v>Formula-driven checks</x:v>
      </x:c>
      <x:c r="G4" s="165" t="str">
        <x:v>Formula-driven checks</x:v>
      </x:c>
    </x:row>
    <x:row r="6" ht="32" customHeight="1">
      <x:c r="A6" s="171" t="str">
        <x:v>Check</x:v>
      </x:c>
      <x:c r="B6" s="171" t="str">
        <x:v>Actual</x:v>
      </x:c>
      <x:c r="C6" s="171" t="str">
        <x:v>Expected</x:v>
      </x:c>
      <x:c r="D6" s="171" t="str">
        <x:v>Difference</x:v>
      </x:c>
      <x:c r="E6" s="171" t="str">
        <x:v>Tolerance</x:v>
      </x:c>
      <x:c r="F6" s="171" t="str">
        <x:v>Status</x:v>
      </x:c>
      <x:c r="G6" s="171" t="str">
        <x:v>Control note</x:v>
      </x:c>
    </x:row>
    <x:row r="7" ht="31" customHeight="1">
      <x:c r="A7" s="85" t="str">
        <x:v>Score weights sum to 100%</x:v>
      </x:c>
      <x:c r="B7" s="254" t="n">
        <x:f>'P2 Scorecard'!B13</x:f>
        <x:v>1</x:v>
      </x:c>
      <x:c r="C7" s="254" t="n">
        <x:v>1</x:v>
      </x:c>
      <x:c r="D7" s="254" t="n">
        <x:f>B7-C7</x:f>
        <x:v>0</x:v>
      </x:c>
      <x:c r="E7" s="254" t="n">
        <x:v>0.0001</x:v>
      </x:c>
      <x:c r="F7" s="86" t="str">
        <x:f>IF(ABS(D7)&lt;=E7,"OK","CHECK")</x:f>
        <x:v>OK</x:v>
      </x:c>
      <x:c r="G7" s="87" t="str">
        <x:v>Methodology integrity</x:v>
      </x:c>
    </x:row>
    <x:row r="8" ht="31" customHeight="1">
      <x:c r="A8" s="88" t="str">
        <x:v>Minimum score is at least 1</x:v>
      </x:c>
      <x:c r="B8" s="255" t="n">
        <x:f>MIN('P2 Scorecard'!C6:F12)</x:f>
        <x:v>2</x:v>
      </x:c>
      <x:c r="C8" s="255" t="n">
        <x:v>1</x:v>
      </x:c>
      <x:c r="D8" s="255" t="n">
        <x:f>B8-C8</x:f>
        <x:v>1</x:v>
      </x:c>
      <x:c r="E8" s="255" t="n">
        <x:v>0.0001</x:v>
      </x:c>
      <x:c r="F8" s="89" t="str">
        <x:f>IF(B8&gt;=C8,"OK","CHECK")</x:f>
        <x:v>OK</x:v>
      </x:c>
      <x:c r="G8" s="90" t="str">
        <x:v>All analyst scores are inside the defined range</x:v>
      </x:c>
    </x:row>
    <x:row r="9" ht="31" customHeight="1">
      <x:c r="A9" s="88" t="str">
        <x:v>Maximum score is at most 5</x:v>
      </x:c>
      <x:c r="B9" s="255" t="n">
        <x:f>MAX('P2 Scorecard'!C6:F12)</x:f>
        <x:v>5</x:v>
      </x:c>
      <x:c r="C9" s="255" t="n">
        <x:v>5</x:v>
      </x:c>
      <x:c r="D9" s="255" t="n">
        <x:f>B9-C9</x:f>
        <x:v>0</x:v>
      </x:c>
      <x:c r="E9" s="255" t="n">
        <x:v>0.0001</x:v>
      </x:c>
      <x:c r="F9" s="89" t="str">
        <x:f>IF(B9&lt;=C9,"OK","CHECK")</x:f>
        <x:v>OK</x:v>
      </x:c>
      <x:c r="G9" s="90" t="str">
        <x:v>All analyst scores are inside the defined range</x:v>
      </x:c>
    </x:row>
    <x:row r="10" ht="31" customHeight="1">
      <x:c r="A10" s="88" t="str">
        <x:v>Peer count</x:v>
      </x:c>
      <x:c r="B10" s="255" t="n">
        <x:f>COUNTA('P2 Peer Raw'!A7:A10)</x:f>
        <x:v>4</x:v>
      </x:c>
      <x:c r="C10" s="255" t="n">
        <x:v>4</x:v>
      </x:c>
      <x:c r="D10" s="255" t="n">
        <x:f>B10-C10</x:f>
        <x:v>0</x:v>
      </x:c>
      <x:c r="E10" s="255" t="n">
        <x:v>0</x:v>
      </x:c>
      <x:c r="F10" s="89" t="str">
        <x:f>IF(ABS(D10)&lt;=E10,"OK","CHECK")</x:f>
        <x:v>OK</x:v>
      </x:c>
      <x:c r="G10" s="90" t="str">
        <x:v>GMD, VSC, PHP and DVP included</x:v>
      </x:c>
    </x:row>
    <x:row r="11" ht="31" customHeight="1">
      <x:c r="A11" s="88" t="str">
        <x:v>Regional cluster count</x:v>
      </x:c>
      <x:c r="B11" s="255" t="n">
        <x:f>COUNTA('P2 Regional Map'!A7:A10)</x:f>
        <x:v>4</x:v>
      </x:c>
      <x:c r="C11" s="255" t="n">
        <x:v>4</x:v>
      </x:c>
      <x:c r="D11" s="255" t="n">
        <x:f>B11-C11</x:f>
        <x:v>0</x:v>
      </x:c>
      <x:c r="E11" s="255" t="n">
        <x:v>0</x:v>
      </x:c>
      <x:c r="F11" s="89" t="str">
        <x:f>IF(ABS(D11)&lt;=E11,"OK","CHECK")</x:f>
        <x:v>OK</x:v>
      </x:c>
      <x:c r="G11" s="90" t="str">
        <x:v>Downstream North, upstream North, South and Central</x:v>
      </x:c>
    </x:row>
    <x:row r="12" ht="31" customHeight="1">
      <x:c r="A12" s="88" t="str">
        <x:v>New Phase 2 source count</x:v>
      </x:c>
      <x:c r="B12" s="255" t="n">
        <x:f>COUNTA('Source Audit'!A33:A39)</x:f>
        <x:v>7</x:v>
      </x:c>
      <x:c r="C12" s="255" t="n">
        <x:v>7</x:v>
      </x:c>
      <x:c r="D12" s="255" t="n">
        <x:f>B12-C12</x:f>
        <x:v>0</x:v>
      </x:c>
      <x:c r="E12" s="255" t="n">
        <x:v>0</x:v>
      </x:c>
      <x:c r="F12" s="89" t="str">
        <x:f>IF(ABS(D12)&lt;=E12,"OK","CHECK")</x:f>
        <x:v>OK</x:v>
      </x:c>
      <x:c r="G12" s="90" t="str">
        <x:v>Official peer sources added</x:v>
      </x:c>
    </x:row>
    <x:row r="13" ht="31" customHeight="1">
      <x:c r="A13" s="88" t="str">
        <x:v>GMD remains rank 1</x:v>
      </x:c>
      <x:c r="B13" s="255" t="n">
        <x:f>'P2 Scorecard'!C14</x:f>
        <x:v>1</x:v>
      </x:c>
      <x:c r="C13" s="255" t="n">
        <x:v>1</x:v>
      </x:c>
      <x:c r="D13" s="255" t="n">
        <x:f>B13-C13</x:f>
        <x:v>0</x:v>
      </x:c>
      <x:c r="E13" s="255" t="n">
        <x:v>0</x:v>
      </x:c>
      <x:c r="F13" s="89" t="str">
        <x:f>IF(ABS(D13)&lt;=E13,"OK","CHECK")</x:f>
        <x:v>OK</x:v>
      </x:c>
      <x:c r="G13" s="90" t="str">
        <x:v>Full-model selection must match scorecard</x:v>
      </x:c>
    </x:row>
    <x:row r="14" ht="31" customHeight="1">
      <x:c r="A14" s="88" t="str">
        <x:v>Conclusion links to GMD score</x:v>
      </x:c>
      <x:c r="B14" s="255" t="n">
        <x:f>'P2 Conclusion'!E5-'P2 Scorecard'!C13</x:f>
        <x:v>0</x:v>
      </x:c>
      <x:c r="C14" s="255" t="n">
        <x:v>0</x:v>
      </x:c>
      <x:c r="D14" s="255" t="n">
        <x:f>B14-C14</x:f>
        <x:v>0</x:v>
      </x:c>
      <x:c r="E14" s="255" t="n">
        <x:v>0.0001</x:v>
      </x:c>
      <x:c r="F14" s="89" t="str">
        <x:f>IF(ABS(D14)&lt;=E14,"OK","CHECK")</x:f>
        <x:v>OK</x:v>
      </x:c>
      <x:c r="G14" s="90" t="str">
        <x:v>No hardcoded conclusion score</x:v>
      </x:c>
    </x:row>
    <x:row r="15" ht="31" customHeight="1">
      <x:c r="A15" s="91" t="str">
        <x:v>No valuation score included</x:v>
      </x:c>
      <x:c r="B15" s="256" t="n">
        <x:v>0</x:v>
      </x:c>
      <x:c r="C15" s="256" t="n">
        <x:v>0</x:v>
      </x:c>
      <x:c r="D15" s="256" t="n">
        <x:f>B15-C15</x:f>
        <x:v>0</x:v>
      </x:c>
      <x:c r="E15" s="256" t="n">
        <x:v>0</x:v>
      </x:c>
      <x:c r="F15" s="92" t="str">
        <x:f>IF(ABS(D15)&lt;=E15,"OK","CHECK")</x:f>
        <x:v>OK</x:v>
      </x:c>
      <x:c r="G15" s="93" t="str">
        <x:v>Phase 2 is operational only</x:v>
      </x:c>
    </x:row>
    <x:row r="17" ht="21" customHeight="1">
      <x:c r="A17" s="165" t="str">
        <x:v>Overall Phase 2 status</x:v>
      </x:c>
      <x:c r="B17" s="165" t="str">
        <x:v>Overall Phase 2 status</x:v>
      </x:c>
      <x:c r="C17" s="165" t="str">
        <x:v>Overall Phase 2 status</x:v>
      </x:c>
      <x:c r="D17" s="165" t="str">
        <x:v>Overall Phase 2 status</x:v>
      </x:c>
      <x:c r="E17" s="165" t="str">
        <x:v>Overall Phase 2 status</x:v>
      </x:c>
      <x:c r="F17" s="165" t="str">
        <x:v>Overall Phase 2 status</x:v>
      </x:c>
      <x:c r="G17" s="165" t="str">
        <x:v>Overall Phase 2 status</x:v>
      </x:c>
    </x:row>
    <x:row r="18" ht="28" customHeight="1">
      <x:c r="A18" s="245" t="str">
        <x:v>Phase 2 control status</x:v>
      </x:c>
      <x:c r="B18" s="258" t="str">
        <x:f>IF(COUNTIF(F7:F15,"CHECK")=0,"OK — GMD selected for Phase 3; no rating issued","CHECK — resolve Phase 2 controls")</x:f>
        <x:v>OK — GMD selected for Phase 3; no rating issued</x:v>
      </x:c>
      <x:c r="C18" s="258"/>
      <x:c r="D18" s="258"/>
      <x:c r="E18" s="258"/>
      <x:c r="F18" s="258"/>
      <x:c r="G18" s="258"/>
    </x:row>
  </x:sheetData>
  <x:mergeCells>
    <x:mergeCell ref="A1:G1"/>
    <x:mergeCell ref="A2:G2"/>
    <x:mergeCell ref="A4:G4"/>
    <x:mergeCell ref="A17:G17"/>
    <x:mergeCell ref="B18:G18"/>
  </x:mergeCells>
  <x:conditionalFormatting sqref="F7:F15">
    <x:cfRule type="cellIs" dxfId="3" priority="1" operator="equal">
      <x:formula>"OK"</x:formula>
    </x:cfRule>
    <x:cfRule type="cellIs" dxfId="4" priority="2" operator="equal">
      <x:formula>"CHECK"</x:formula>
    </x:cfRule>
  </x:conditionalFormatting>
  <x:pageMargins left="0.7" right="0.7" top="0.75" bottom="0.75" header="0.3" footer="0.3"/>
  <x:tableParts count="1">
    <x:tablePart xmlns:r="http://schemas.openxmlformats.org/officeDocument/2006/relationships" r:id="R2846b735bebb421f"/>
  </x:tableParts>
</x:worksheet>
</file>

<file path=xl/worksheets/sheet18.xml><?xml version="1.0" encoding="utf-8"?>
<x:worksheet xmlns:x="http://schemas.openxmlformats.org/spreadsheetml/2006/main">
  <x:sheetViews>
    <x:sheetView showGridLines="0" workbookViewId="0"/>
  </x:sheetViews>
  <x:sheetFormatPr defaultRowHeight="15"/>
  <x:cols>
    <x:col min="1" max="1" width="22" hidden="0" customWidth="1"/>
    <x:col min="2" max="2" width="48" hidden="0" customWidth="1"/>
    <x:col min="3" max="3" width="58" hidden="0" customWidth="1"/>
    <x:col min="4" max="4" width="48" hidden="0" customWidth="1"/>
    <x:col min="5" max="5" width="18" hidden="0" customWidth="1"/>
    <x:col min="6" max="6" width="18" hidden="0" customWidth="1"/>
    <x:col min="7" max="7" width="18" hidden="0" customWidth="1"/>
    <x:col min="8" max="8" width="18" hidden="0" customWidth="1"/>
    <x:col min="9" max="9" width="18" hidden="0" customWidth="1"/>
    <x:col min="10" max="10" width="11" hidden="0" customWidth="1"/>
    <x:col min="11" max="11" width="14" hidden="0" customWidth="1"/>
    <x:col min="12" max="12" width="64" hidden="0" customWidth="1"/>
    <x:col min="13" max="13" width="28" hidden="0" customWidth="1"/>
  </x:cols>
  <x:sheetData>
    <x:row r="1" ht="30" customHeight="1">
      <x:c r="A1" s="264" t="str">
        <x:v>Raw GMD VNStock Financial Statements — 2021 to 2025</x:v>
      </x:c>
      <x:c r="B1" s="264" t="str">
        <x:v>Raw GMD VNStock Financial Statements — 2021 to 2025</x:v>
      </x:c>
      <x:c r="C1" s="264" t="str">
        <x:v>Raw GMD VNStock Financial Statements — 2021 to 2025</x:v>
      </x:c>
      <x:c r="D1" s="264" t="str">
        <x:v>Raw GMD VNStock Financial Statements — 2021 to 2025</x:v>
      </x:c>
      <x:c r="E1" s="264" t="str">
        <x:v>Raw GMD VNStock Financial Statements — 2021 to 2025</x:v>
      </x:c>
      <x:c r="F1" s="264" t="str">
        <x:v>Raw GMD VNStock Financial Statements — 2021 to 2025</x:v>
      </x:c>
      <x:c r="G1" s="264" t="str">
        <x:v>Raw GMD VNStock Financial Statements — 2021 to 2025</x:v>
      </x:c>
      <x:c r="H1" s="264" t="str">
        <x:v>Raw GMD VNStock Financial Statements — 2021 to 2025</x:v>
      </x:c>
      <x:c r="I1" s="264" t="str">
        <x:v>Raw GMD VNStock Financial Statements — 2021 to 2025</x:v>
      </x:c>
      <x:c r="J1" s="264" t="str">
        <x:v>Raw GMD VNStock Financial Statements — 2021 to 2025</x:v>
      </x:c>
      <x:c r="K1" s="264" t="str">
        <x:v>Raw GMD VNStock Financial Statements — 2021 to 2025</x:v>
      </x:c>
      <x:c r="L1" s="264" t="str">
        <x:v>Raw GMD VNStock Financial Statements — 2021 to 2025</x:v>
      </x:c>
      <x:c r="M1" s="264" t="str">
        <x:v>Raw GMD VNStock Financial Statements — 2021 to 2025</x:v>
      </x:c>
    </x:row>
    <x:row r="2" ht="34" customHeight="1">
      <x:c r="A2" s="268" t="str">
        <x:v>Values are preserved in VND from the VNStock Finance API, underlying source VCI. Downstream financial-statement rows link here and divide by the visible VND-to-billion unit divisor.</x:v>
      </x:c>
      <x:c r="B2" s="268" t="str">
        <x:v>Values are preserved in VND from the VNStock Finance API, underlying source VCI. Downstream financial-statement rows link here and divide by the visible VND-to-billion unit divisor.</x:v>
      </x:c>
      <x:c r="C2" s="268" t="str">
        <x:v>Values are preserved in VND from the VNStock Finance API, underlying source VCI. Downstream financial-statement rows link here and divide by the visible VND-to-billion unit divisor.</x:v>
      </x:c>
      <x:c r="D2" s="268" t="str">
        <x:v>Values are preserved in VND from the VNStock Finance API, underlying source VCI. Downstream financial-statement rows link here and divide by the visible VND-to-billion unit divisor.</x:v>
      </x:c>
      <x:c r="E2" s="268" t="str">
        <x:v>Values are preserved in VND from the VNStock Finance API, underlying source VCI. Downstream financial-statement rows link here and divide by the visible VND-to-billion unit divisor.</x:v>
      </x:c>
      <x:c r="F2" s="268" t="str">
        <x:v>Values are preserved in VND from the VNStock Finance API, underlying source VCI. Downstream financial-statement rows link here and divide by the visible VND-to-billion unit divisor.</x:v>
      </x:c>
      <x:c r="G2" s="268" t="str">
        <x:v>Values are preserved in VND from the VNStock Finance API, underlying source VCI. Downstream financial-statement rows link here and divide by the visible VND-to-billion unit divisor.</x:v>
      </x:c>
      <x:c r="H2" s="268" t="str">
        <x:v>Values are preserved in VND from the VNStock Finance API, underlying source VCI. Downstream financial-statement rows link here and divide by the visible VND-to-billion unit divisor.</x:v>
      </x:c>
      <x:c r="I2" s="268" t="str">
        <x:v>Values are preserved in VND from the VNStock Finance API, underlying source VCI. Downstream financial-statement rows link here and divide by the visible VND-to-billion unit divisor.</x:v>
      </x:c>
      <x:c r="J2" s="268" t="str">
        <x:v>Values are preserved in VND from the VNStock Finance API, underlying source VCI. Downstream financial-statement rows link here and divide by the visible VND-to-billion unit divisor.</x:v>
      </x:c>
      <x:c r="K2" s="268" t="str">
        <x:v>Values are preserved in VND from the VNStock Finance API, underlying source VCI. Downstream financial-statement rows link here and divide by the visible VND-to-billion unit divisor.</x:v>
      </x:c>
      <x:c r="L2" s="268" t="str">
        <x:v>Values are preserved in VND from the VNStock Finance API, underlying source VCI. Downstream financial-statement rows link here and divide by the visible VND-to-billion unit divisor.</x:v>
      </x:c>
      <x:c r="M2" s="268" t="str">
        <x:v>Values are preserved in VND from the VNStock Finance API, underlying source VCI. Downstream financial-statement rows link here and divide by the visible VND-to-billion unit divisor.</x:v>
      </x:c>
    </x:row>
    <x:row r="3">
      <x:c r="A3" s="270" t="str">
        <x:v>VND to VND bn divisor</x:v>
      </x:c>
      <x:c r="B3" s="271" t="n">
        <x:v>1000000000</x:v>
      </x:c>
      <x:c r="C3" s="270" t="str">
        <x:v>Fetched at</x:v>
      </x:c>
      <x:c r="D3" s="272" t="n">
        <x:v>46228.58256944444</x:v>
      </x:c>
      <x:c r="E3" s="270" t="str">
        <x:v>API</x:v>
      </x:c>
      <x:c r="F3" s="270" t="str">
        <x:v>VNStock 4.0.5 / VCI</x:v>
      </x:c>
    </x:row>
    <x:row r="5" ht="32" customHeight="1">
      <x:c r="A5" s="278" t="str">
        <x:v>Statement</x:v>
      </x:c>
      <x:c r="B5" s="278" t="str">
        <x:v>Item ID</x:v>
      </x:c>
      <x:c r="C5" s="278" t="str">
        <x:v>Item (Vietnamese)</x:v>
      </x:c>
      <x:c r="D5" s="278" t="str">
        <x:v>Item (English)</x:v>
      </x:c>
      <x:c r="E5" s="280" t="n">
        <x:v>44561</x:v>
      </x:c>
      <x:c r="F5" s="280" t="n">
        <x:v>44926</x:v>
      </x:c>
      <x:c r="G5" s="280" t="n">
        <x:v>45291</x:v>
      </x:c>
      <x:c r="H5" s="280" t="n">
        <x:v>45657</x:v>
      </x:c>
      <x:c r="I5" s="280" t="n">
        <x:v>46022</x:v>
      </x:c>
      <x:c r="J5" s="278" t="str">
        <x:v>Unit</x:v>
      </x:c>
      <x:c r="K5" s="278" t="str">
        <x:v>Source ID</x:v>
      </x:c>
      <x:c r="L5" s="278" t="str">
        <x:v>Source URL</x:v>
      </x:c>
      <x:c r="M5" s="278" t="str">
        <x:v>Fetched at</x:v>
      </x:c>
    </x:row>
    <x:row r="6" ht="22" customHeight="1">
      <x:c r="A6" s="85" t="str">
        <x:v>income_statement</x:v>
      </x:c>
      <x:c r="B6" s="86" t="str">
        <x:v>sales</x:v>
      </x:c>
      <x:c r="C6" s="86" t="str">
        <x:v>Doanh thu bán hàng và cung cấp dịch vụ</x:v>
      </x:c>
      <x:c r="D6" s="86" t="str">
        <x:v>Sales</x:v>
      </x:c>
      <x:c r="E6" s="130" t="n">
        <x:v>3206290165333</x:v>
      </x:c>
      <x:c r="F6" s="130" t="n">
        <x:v>3898243608570</x:v>
      </x:c>
      <x:c r="G6" s="130" t="n">
        <x:v>3845826296568</x:v>
      </x:c>
      <x:c r="H6" s="130" t="n">
        <x:v>4832024798961</x:v>
      </x:c>
      <x:c r="I6" s="130" t="n">
        <x:v>5956025297015</x:v>
      </x:c>
      <x:c r="J6" s="86" t="str">
        <x:v>VND</x:v>
      </x:c>
      <x:c r="K6" s="86" t="str">
        <x:v>SRC-API01</x:v>
      </x:c>
      <x:c r="L6" s="97" t="str">
        <x:v>https://vnstocks.com/docs/vnstock/phan-tich-co-ban-fundamental</x:v>
      </x:c>
      <x:c r="M6" s="281" t="n">
        <x:v>46228.58256944444</x:v>
      </x:c>
    </x:row>
    <x:row r="7" ht="22" customHeight="1">
      <x:c r="A7" s="88" t="str">
        <x:v>income_statement</x:v>
      </x:c>
      <x:c r="B7" s="89" t="str">
        <x:v>sales_deductions</x:v>
      </x:c>
      <x:c r="C7" s="89" t="str">
        <x:v>Các khoản giảm trừ doanh thu</x:v>
      </x:c>
      <x:c r="D7" s="89" t="str">
        <x:v>Sales deductions</x:v>
      </x:c>
      <x:c r="E7" s="131" t="n">
        <x:v>0</x:v>
      </x:c>
      <x:c r="F7" s="131" t="n">
        <x:v>0</x:v>
      </x:c>
      <x:c r="G7" s="131" t="n">
        <x:v>0</x:v>
      </x:c>
      <x:c r="H7" s="131" t="n">
        <x:v>0</x:v>
      </x:c>
      <x:c r="I7" s="131" t="n">
        <x:v>0</x:v>
      </x:c>
      <x:c r="J7" s="89" t="str">
        <x:v>VND</x:v>
      </x:c>
      <x:c r="K7" s="89" t="str">
        <x:v>SRC-API01</x:v>
      </x:c>
      <x:c r="L7" s="98" t="str">
        <x:v>https://vnstocks.com/docs/vnstock/phan-tich-co-ban-fundamental</x:v>
      </x:c>
      <x:c r="M7" s="282" t="n">
        <x:v>46228.58256944444</x:v>
      </x:c>
    </x:row>
    <x:row r="8" ht="22" customHeight="1">
      <x:c r="A8" s="88" t="str">
        <x:v>income_statement</x:v>
      </x:c>
      <x:c r="B8" s="89" t="str">
        <x:v>net_sales</x:v>
      </x:c>
      <x:c r="C8" s="89" t="str">
        <x:v>Doanh thu thuần</x:v>
      </x:c>
      <x:c r="D8" s="89" t="str">
        <x:v>Net sales</x:v>
      </x:c>
      <x:c r="E8" s="131" t="n">
        <x:v>3206290165333</x:v>
      </x:c>
      <x:c r="F8" s="131" t="n">
        <x:v>3898243608570</x:v>
      </x:c>
      <x:c r="G8" s="131" t="n">
        <x:v>3845826296568</x:v>
      </x:c>
      <x:c r="H8" s="131" t="n">
        <x:v>4832024798961</x:v>
      </x:c>
      <x:c r="I8" s="131" t="n">
        <x:v>5956025297015</x:v>
      </x:c>
      <x:c r="J8" s="89" t="str">
        <x:v>VND</x:v>
      </x:c>
      <x:c r="K8" s="89" t="str">
        <x:v>SRC-API01</x:v>
      </x:c>
      <x:c r="L8" s="98" t="str">
        <x:v>https://vnstocks.com/docs/vnstock/phan-tich-co-ban-fundamental</x:v>
      </x:c>
      <x:c r="M8" s="282" t="n">
        <x:v>46228.58256944444</x:v>
      </x:c>
    </x:row>
    <x:row r="9" ht="22" customHeight="1">
      <x:c r="A9" s="88" t="str">
        <x:v>income_statement</x:v>
      </x:c>
      <x:c r="B9" s="89" t="str">
        <x:v>cost_of_sales</x:v>
      </x:c>
      <x:c r="C9" s="89" t="str">
        <x:v>Giá vốn hàng bán</x:v>
      </x:c>
      <x:c r="D9" s="89" t="str">
        <x:v>Cost of sales</x:v>
      </x:c>
      <x:c r="E9" s="131" t="n">
        <x:v>-2064489230639</x:v>
      </x:c>
      <x:c r="F9" s="131" t="n">
        <x:v>-2180183031483</x:v>
      </x:c>
      <x:c r="G9" s="131" t="n">
        <x:v>-2067811109265</x:v>
      </x:c>
      <x:c r="H9" s="131" t="n">
        <x:v>-2696544401941</x:v>
      </x:c>
      <x:c r="I9" s="131" t="n">
        <x:v>-3216552758085</x:v>
      </x:c>
      <x:c r="J9" s="89" t="str">
        <x:v>VND</x:v>
      </x:c>
      <x:c r="K9" s="89" t="str">
        <x:v>SRC-API01</x:v>
      </x:c>
      <x:c r="L9" s="98" t="str">
        <x:v>https://vnstocks.com/docs/vnstock/phan-tich-co-ban-fundamental</x:v>
      </x:c>
      <x:c r="M9" s="282" t="n">
        <x:v>46228.58256944444</x:v>
      </x:c>
    </x:row>
    <x:row r="10" ht="22" customHeight="1">
      <x:c r="A10" s="88" t="str">
        <x:v>income_statement</x:v>
      </x:c>
      <x:c r="B10" s="89" t="str">
        <x:v>gross_profit</x:v>
      </x:c>
      <x:c r="C10" s="89" t="str">
        <x:v>Lợi nhuận gộp</x:v>
      </x:c>
      <x:c r="D10" s="89" t="str">
        <x:v>Gross Profit</x:v>
      </x:c>
      <x:c r="E10" s="131" t="n">
        <x:v>1141800934694</x:v>
      </x:c>
      <x:c r="F10" s="131" t="n">
        <x:v>1718060577087</x:v>
      </x:c>
      <x:c r="G10" s="131" t="n">
        <x:v>1778015187303</x:v>
      </x:c>
      <x:c r="H10" s="131" t="n">
        <x:v>2135480397020</x:v>
      </x:c>
      <x:c r="I10" s="131" t="n">
        <x:v>2739472538930</x:v>
      </x:c>
      <x:c r="J10" s="89" t="str">
        <x:v>VND</x:v>
      </x:c>
      <x:c r="K10" s="89" t="str">
        <x:v>SRC-API01</x:v>
      </x:c>
      <x:c r="L10" s="98" t="str">
        <x:v>https://vnstocks.com/docs/vnstock/phan-tich-co-ban-fundamental</x:v>
      </x:c>
      <x:c r="M10" s="282" t="n">
        <x:v>46228.58256944444</x:v>
      </x:c>
    </x:row>
    <x:row r="11" ht="22" customHeight="1">
      <x:c r="A11" s="88" t="str">
        <x:v>income_statement</x:v>
      </x:c>
      <x:c r="B11" s="89" t="str">
        <x:v>financial_income</x:v>
      </x:c>
      <x:c r="C11" s="89" t="str">
        <x:v>Doanh thu hoạt động tài chính</x:v>
      </x:c>
      <x:c r="D11" s="89" t="str">
        <x:v>Financial income</x:v>
      </x:c>
      <x:c r="E11" s="131" t="n">
        <x:v>39669204911</x:v>
      </x:c>
      <x:c r="F11" s="131" t="n">
        <x:v>23947233662</x:v>
      </x:c>
      <x:c r="G11" s="131" t="n">
        <x:v>1940961393455</x:v>
      </x:c>
      <x:c r="H11" s="131" t="n">
        <x:v>426126464636</x:v>
      </x:c>
      <x:c r="I11" s="131" t="n">
        <x:v>228485206429</x:v>
      </x:c>
      <x:c r="J11" s="89" t="str">
        <x:v>VND</x:v>
      </x:c>
      <x:c r="K11" s="89" t="str">
        <x:v>SRC-API01</x:v>
      </x:c>
      <x:c r="L11" s="98" t="str">
        <x:v>https://vnstocks.com/docs/vnstock/phan-tich-co-ban-fundamental</x:v>
      </x:c>
      <x:c r="M11" s="282" t="n">
        <x:v>46228.58256944444</x:v>
      </x:c>
    </x:row>
    <x:row r="12" ht="22" customHeight="1">
      <x:c r="A12" s="88" t="str">
        <x:v>income_statement</x:v>
      </x:c>
      <x:c r="B12" s="89" t="str">
        <x:v>financial_expenses</x:v>
      </x:c>
      <x:c r="C12" s="89" t="str">
        <x:v>Chi phí tài chính</x:v>
      </x:c>
      <x:c r="D12" s="89" t="str">
        <x:v>Financial expenses</x:v>
      </x:c>
      <x:c r="E12" s="131" t="n">
        <x:v>-107985849517</x:v>
      </x:c>
      <x:c r="F12" s="131" t="n">
        <x:v>-165690839670</x:v>
      </x:c>
      <x:c r="G12" s="131" t="n">
        <x:v>-154695013336</x:v>
      </x:c>
      <x:c r="H12" s="131" t="n">
        <x:v>-150292456722</x:v>
      </x:c>
      <x:c r="I12" s="131" t="n">
        <x:v>-118711817693</x:v>
      </x:c>
      <x:c r="J12" s="89" t="str">
        <x:v>VND</x:v>
      </x:c>
      <x:c r="K12" s="89" t="str">
        <x:v>SRC-API01</x:v>
      </x:c>
      <x:c r="L12" s="98" t="str">
        <x:v>https://vnstocks.com/docs/vnstock/phan-tich-co-ban-fundamental</x:v>
      </x:c>
      <x:c r="M12" s="282" t="n">
        <x:v>46228.58256944444</x:v>
      </x:c>
    </x:row>
    <x:row r="13" ht="22" customHeight="1">
      <x:c r="A13" s="88" t="str">
        <x:v>income_statement</x:v>
      </x:c>
      <x:c r="B13" s="89" t="str">
        <x:v>interest_expenses</x:v>
      </x:c>
      <x:c r="C13" s="89" t="str">
        <x:v>Chi phí lãi vay</x:v>
      </x:c>
      <x:c r="D13" s="89" t="str">
        <x:v>Interest expenses</x:v>
      </x:c>
      <x:c r="E13" s="131" t="n">
        <x:v>-119252955378</x:v>
      </x:c>
      <x:c r="F13" s="131" t="n">
        <x:v>-130756997659</x:v>
      </x:c>
      <x:c r="G13" s="131" t="n">
        <x:v>-134993138662</x:v>
      </x:c>
      <x:c r="H13" s="131" t="n">
        <x:v>-139487501839</x:v>
      </x:c>
      <x:c r="I13" s="131" t="n">
        <x:v>-112580748513</x:v>
      </x:c>
      <x:c r="J13" s="89" t="str">
        <x:v>VND</x:v>
      </x:c>
      <x:c r="K13" s="89" t="str">
        <x:v>SRC-API01</x:v>
      </x:c>
      <x:c r="L13" s="98" t="str">
        <x:v>https://vnstocks.com/docs/vnstock/phan-tich-co-ban-fundamental</x:v>
      </x:c>
      <x:c r="M13" s="282" t="n">
        <x:v>46228.58256944444</x:v>
      </x:c>
    </x:row>
    <x:row r="14" ht="22" customHeight="1">
      <x:c r="A14" s="88" t="str">
        <x:v>income_statement</x:v>
      </x:c>
      <x:c r="B14" s="89" t="str">
        <x:v>selling_expenses</x:v>
      </x:c>
      <x:c r="C14" s="89" t="str">
        <x:v>Chi phí bán hàng</x:v>
      </x:c>
      <x:c r="D14" s="89" t="str">
        <x:v>Selling expenses</x:v>
      </x:c>
      <x:c r="E14" s="131" t="n">
        <x:v>-154146091638</x:v>
      </x:c>
      <x:c r="F14" s="131" t="n">
        <x:v>-142172449496</x:v>
      </x:c>
      <x:c r="G14" s="131" t="n">
        <x:v>-109543154417</x:v>
      </x:c>
      <x:c r="H14" s="131" t="n">
        <x:v>-247200313981</x:v>
      </x:c>
      <x:c r="I14" s="131" t="n">
        <x:v>-481965603944</x:v>
      </x:c>
      <x:c r="J14" s="89" t="str">
        <x:v>VND</x:v>
      </x:c>
      <x:c r="K14" s="89" t="str">
        <x:v>SRC-API01</x:v>
      </x:c>
      <x:c r="L14" s="98" t="str">
        <x:v>https://vnstocks.com/docs/vnstock/phan-tich-co-ban-fundamental</x:v>
      </x:c>
      <x:c r="M14" s="282" t="n">
        <x:v>46228.58256944444</x:v>
      </x:c>
    </x:row>
    <x:row r="15" ht="22" customHeight="1">
      <x:c r="A15" s="88" t="str">
        <x:v>income_statement</x:v>
      </x:c>
      <x:c r="B15" s="89" t="str">
        <x:v>general_and_admin_expenses</x:v>
      </x:c>
      <x:c r="C15" s="89" t="str">
        <x:v>Chi phí quản lý doanh nghiệp</x:v>
      </x:c>
      <x:c r="D15" s="89" t="str">
        <x:v>General and admin expenses</x:v>
      </x:c>
      <x:c r="E15" s="131" t="n">
        <x:v>-294784653891</x:v>
      </x:c>
      <x:c r="F15" s="131" t="n">
        <x:v>-524441250459</x:v>
      </x:c>
      <x:c r="G15" s="131" t="n">
        <x:v>-551943343263</x:v>
      </x:c>
      <x:c r="H15" s="131" t="n">
        <x:v>-574838485710</x:v>
      </x:c>
      <x:c r="I15" s="131" t="n">
        <x:v>-610544456639</x:v>
      </x:c>
      <x:c r="J15" s="89" t="str">
        <x:v>VND</x:v>
      </x:c>
      <x:c r="K15" s="89" t="str">
        <x:v>SRC-API01</x:v>
      </x:c>
      <x:c r="L15" s="98" t="str">
        <x:v>https://vnstocks.com/docs/vnstock/phan-tich-co-ban-fundamental</x:v>
      </x:c>
      <x:c r="M15" s="282" t="n">
        <x:v>46228.58256944444</x:v>
      </x:c>
    </x:row>
    <x:row r="16" ht="22" customHeight="1">
      <x:c r="A16" s="88" t="str">
        <x:v>income_statement</x:v>
      </x:c>
      <x:c r="B16" s="89" t="str">
        <x:v>operating_profit_loss</x:v>
      </x:c>
      <x:c r="C16" s="89" t="str">
        <x:v>Lãi/(lỗ) từ hoạt động kinh doanh</x:v>
      </x:c>
      <x:c r="D16" s="89" t="str">
        <x:v>Operating profit/(loss)</x:v>
      </x:c>
      <x:c r="E16" s="131" t="n">
        <x:v>861467218736</x:v>
      </x:c>
      <x:c r="F16" s="131" t="n">
        <x:v>1308851596298</x:v>
      </x:c>
      <x:c r="G16" s="131" t="n">
        <x:v>3177029885915</x:v>
      </x:c>
      <x:c r="H16" s="131" t="n">
        <x:v>2418584028235</x:v>
      </x:c>
      <x:c r="I16" s="131" t="n">
        <x:v>2914395245030</x:v>
      </x:c>
      <x:c r="J16" s="89" t="str">
        <x:v>VND</x:v>
      </x:c>
      <x:c r="K16" s="89" t="str">
        <x:v>SRC-API01</x:v>
      </x:c>
      <x:c r="L16" s="98" t="str">
        <x:v>https://vnstocks.com/docs/vnstock/phan-tich-co-ban-fundamental</x:v>
      </x:c>
      <x:c r="M16" s="282" t="n">
        <x:v>46228.58256944444</x:v>
      </x:c>
    </x:row>
    <x:row r="17" ht="22" customHeight="1">
      <x:c r="A17" s="88" t="str">
        <x:v>income_statement</x:v>
      </x:c>
      <x:c r="B17" s="89" t="str">
        <x:v>other_incomes</x:v>
      </x:c>
      <x:c r="C17" s="89" t="str">
        <x:v>Thu nhập khác</x:v>
      </x:c>
      <x:c r="D17" s="89" t="str">
        <x:v>Other incomes</x:v>
      </x:c>
      <x:c r="E17" s="131" t="n">
        <x:v>50081321224</x:v>
      </x:c>
      <x:c r="F17" s="131" t="n">
        <x:v>30265470135</x:v>
      </x:c>
      <x:c r="G17" s="131" t="n">
        <x:v>54937761605</x:v>
      </x:c>
      <x:c r="H17" s="131" t="n">
        <x:v>262198327915</x:v>
      </x:c>
      <x:c r="I17" s="131" t="n">
        <x:v>44918432856</x:v>
      </x:c>
      <x:c r="J17" s="89" t="str">
        <x:v>VND</x:v>
      </x:c>
      <x:c r="K17" s="89" t="str">
        <x:v>SRC-API01</x:v>
      </x:c>
      <x:c r="L17" s="98" t="str">
        <x:v>https://vnstocks.com/docs/vnstock/phan-tich-co-ban-fundamental</x:v>
      </x:c>
      <x:c r="M17" s="282" t="n">
        <x:v>46228.58256944444</x:v>
      </x:c>
    </x:row>
    <x:row r="18" ht="22" customHeight="1">
      <x:c r="A18" s="88" t="str">
        <x:v>income_statement</x:v>
      </x:c>
      <x:c r="B18" s="89" t="str">
        <x:v>other_expenses</x:v>
      </x:c>
      <x:c r="C18" s="89" t="str">
        <x:v>Chi phí khác</x:v>
      </x:c>
      <x:c r="D18" s="89" t="str">
        <x:v>Other expenses</x:v>
      </x:c>
      <x:c r="E18" s="131" t="n">
        <x:v>-105336384944</x:v>
      </x:c>
      <x:c r="F18" s="131" t="n">
        <x:v>-30639116628</x:v>
      </x:c>
      <x:c r="G18" s="131" t="n">
        <x:v>-84480434577</x:v>
      </x:c>
      <x:c r="H18" s="131" t="n">
        <x:v>-582192046534</x:v>
      </x:c>
      <x:c r="I18" s="131" t="n">
        <x:v>-438486531296</x:v>
      </x:c>
      <x:c r="J18" s="89" t="str">
        <x:v>VND</x:v>
      </x:c>
      <x:c r="K18" s="89" t="str">
        <x:v>SRC-API01</x:v>
      </x:c>
      <x:c r="L18" s="98" t="str">
        <x:v>https://vnstocks.com/docs/vnstock/phan-tich-co-ban-fundamental</x:v>
      </x:c>
      <x:c r="M18" s="282" t="n">
        <x:v>46228.58256944444</x:v>
      </x:c>
    </x:row>
    <x:row r="19" ht="22" customHeight="1">
      <x:c r="A19" s="88" t="str">
        <x:v>income_statement</x:v>
      </x:c>
      <x:c r="B19" s="89" t="str">
        <x:v>net_other_income_expenses</x:v>
      </x:c>
      <x:c r="C19" s="89" t="str">
        <x:v>Thu nhập khác, ròng</x:v>
      </x:c>
      <x:c r="D19" s="89" t="str">
        <x:v>Net other income/(expenses)</x:v>
      </x:c>
      <x:c r="E19" s="131" t="n">
        <x:v>-55255063720</x:v>
      </x:c>
      <x:c r="F19" s="131" t="n">
        <x:v>-373646493</x:v>
      </x:c>
      <x:c r="G19" s="131" t="n">
        <x:v>-29542672972</x:v>
      </x:c>
      <x:c r="H19" s="131" t="n">
        <x:v>-319993718619</x:v>
      </x:c>
      <x:c r="I19" s="131" t="n">
        <x:v>-393568098440</x:v>
      </x:c>
      <x:c r="J19" s="89" t="str">
        <x:v>VND</x:v>
      </x:c>
      <x:c r="K19" s="89" t="str">
        <x:v>SRC-API01</x:v>
      </x:c>
      <x:c r="L19" s="98" t="str">
        <x:v>https://vnstocks.com/docs/vnstock/phan-tich-co-ban-fundamental</x:v>
      </x:c>
      <x:c r="M19" s="282" t="n">
        <x:v>46228.58256944444</x:v>
      </x:c>
    </x:row>
    <x:row r="20" ht="22" customHeight="1">
      <x:c r="A20" s="88" t="str">
        <x:v>income_statement</x:v>
      </x:c>
      <x:c r="B20" s="89" t="str">
        <x:v>income_from_investments_in_other_entities</x:v>
      </x:c>
      <x:c r="C20" s="89" t="str">
        <x:v>Lãi/(lỗ) từ công ty liên doanh</x:v>
      </x:c>
      <x:c r="D20" s="89" t="str">
        <x:v>Income from investments in other entities</x:v>
      </x:c>
      <x:c r="E20" s="131" t="n">
        <x:v>0</x:v>
      </x:c>
      <x:c r="F20" s="131" t="n">
        <x:v>0</x:v>
      </x:c>
      <x:c r="G20" s="131" t="n">
        <x:v>0</x:v>
      </x:c>
      <x:c r="H20" s="131" t="n">
        <x:v>0</x:v>
      </x:c>
      <x:c r="I20" s="131" t="n">
        <x:v>0</x:v>
      </x:c>
      <x:c r="J20" s="89" t="str">
        <x:v>VND</x:v>
      </x:c>
      <x:c r="K20" s="89" t="str">
        <x:v>SRC-API01</x:v>
      </x:c>
      <x:c r="L20" s="98" t="str">
        <x:v>https://vnstocks.com/docs/vnstock/phan-tich-co-ban-fundamental</x:v>
      </x:c>
      <x:c r="M20" s="282" t="n">
        <x:v>46228.58256944444</x:v>
      </x:c>
    </x:row>
    <x:row r="21" ht="22" customHeight="1">
      <x:c r="A21" s="88" t="str">
        <x:v>income_statement</x:v>
      </x:c>
      <x:c r="B21" s="89" t="str">
        <x:v>net_accounting_profit_loss_before_tax</x:v>
      </x:c>
      <x:c r="C21" s="89" t="str">
        <x:v>Lãi/(lỗ) trước thuế</x:v>
      </x:c>
      <x:c r="D21" s="89" t="str">
        <x:v>Net accounting profit/(loss) before tax</x:v>
      </x:c>
      <x:c r="E21" s="131" t="n">
        <x:v>806212155016</x:v>
      </x:c>
      <x:c r="F21" s="131" t="n">
        <x:v>1308477949805</x:v>
      </x:c>
      <x:c r="G21" s="131" t="n">
        <x:v>3147487212943</x:v>
      </x:c>
      <x:c r="H21" s="131" t="n">
        <x:v>2098590309616</x:v>
      </x:c>
      <x:c r="I21" s="131" t="n">
        <x:v>2520827146590</x:v>
      </x:c>
      <x:c r="J21" s="89" t="str">
        <x:v>VND</x:v>
      </x:c>
      <x:c r="K21" s="89" t="str">
        <x:v>SRC-API01</x:v>
      </x:c>
      <x:c r="L21" s="98" t="str">
        <x:v>https://vnstocks.com/docs/vnstock/phan-tich-co-ban-fundamental</x:v>
      </x:c>
      <x:c r="M21" s="282" t="n">
        <x:v>46228.58256944444</x:v>
      </x:c>
    </x:row>
    <x:row r="22" ht="22" customHeight="1">
      <x:c r="A22" s="88" t="str">
        <x:v>income_statement</x:v>
      </x:c>
      <x:c r="B22" s="89" t="str">
        <x:v>business_income_tax_current</x:v>
      </x:c>
      <x:c r="C22" s="89" t="str">
        <x:v>Thuế thu nhập doanh nghiệp - hiện thời</x:v>
      </x:c>
      <x:c r="D22" s="89" t="str">
        <x:v>Business income tax - current</x:v>
      </x:c>
      <x:c r="E22" s="131" t="n">
        <x:v>-107478849502</x:v>
      </x:c>
      <x:c r="F22" s="131" t="n">
        <x:v>-165958294398</x:v>
      </x:c>
      <x:c r="G22" s="131" t="n">
        <x:v>-651638842548</x:v>
      </x:c>
      <x:c r="H22" s="131" t="n">
        <x:v>-236733263089</x:v>
      </x:c>
      <x:c r="I22" s="131" t="n">
        <x:v>-329165841663</x:v>
      </x:c>
      <x:c r="J22" s="89" t="str">
        <x:v>VND</x:v>
      </x:c>
      <x:c r="K22" s="89" t="str">
        <x:v>SRC-API01</x:v>
      </x:c>
      <x:c r="L22" s="98" t="str">
        <x:v>https://vnstocks.com/docs/vnstock/phan-tich-co-ban-fundamental</x:v>
      </x:c>
      <x:c r="M22" s="282" t="n">
        <x:v>46228.58256944444</x:v>
      </x:c>
    </x:row>
    <x:row r="23" ht="22" customHeight="1">
      <x:c r="A23" s="88" t="str">
        <x:v>income_statement</x:v>
      </x:c>
      <x:c r="B23" s="89" t="str">
        <x:v>business_income_tax_deferred</x:v>
      </x:c>
      <x:c r="C23" s="89" t="str">
        <x:v>Thuế thu nhập doanh nghiệp - hoãn lại</x:v>
      </x:c>
      <x:c r="D23" s="89" t="str">
        <x:v>Business income tax - deferred</x:v>
      </x:c>
      <x:c r="E23" s="131" t="n">
        <x:v>21828510661</x:v>
      </x:c>
      <x:c r="F23" s="131" t="n">
        <x:v>18774141617</x:v>
      </x:c>
      <x:c r="G23" s="131" t="n">
        <x:v>38085876028</x:v>
      </x:c>
      <x:c r="H23" s="131" t="n">
        <x:v>61726436884</x:v>
      </x:c>
      <x:c r="I23" s="131" t="n">
        <x:v>110861876425</x:v>
      </x:c>
      <x:c r="J23" s="89" t="str">
        <x:v>VND</x:v>
      </x:c>
      <x:c r="K23" s="89" t="str">
        <x:v>SRC-API01</x:v>
      </x:c>
      <x:c r="L23" s="98" t="str">
        <x:v>https://vnstocks.com/docs/vnstock/phan-tich-co-ban-fundamental</x:v>
      </x:c>
      <x:c r="M23" s="282" t="n">
        <x:v>46228.58256944444</x:v>
      </x:c>
    </x:row>
    <x:row r="24" ht="22" customHeight="1">
      <x:c r="A24" s="88" t="str">
        <x:v>income_statement</x:v>
      </x:c>
      <x:c r="B24" s="89" t="str">
        <x:v>corporate_income_tax_expenses</x:v>
      </x:c>
      <x:c r="C24" s="89" t="str">
        <x:v>Chi phí thuế thu nhập doanh nghiệp</x:v>
      </x:c>
      <x:c r="D24" s="89" t="str">
        <x:v>Corporate income tax expenses</x:v>
      </x:c>
      <x:c r="E24" s="131" t="n">
        <x:v>-85650338841</x:v>
      </x:c>
      <x:c r="F24" s="131" t="n">
        <x:v>-147184152781</x:v>
      </x:c>
      <x:c r="G24" s="131" t="n">
        <x:v>-613552966520</x:v>
      </x:c>
      <x:c r="H24" s="131" t="n">
        <x:v>-175006826205</x:v>
      </x:c>
      <x:c r="I24" s="131" t="n">
        <x:v>-218303965238</x:v>
      </x:c>
      <x:c r="J24" s="89" t="str">
        <x:v>VND</x:v>
      </x:c>
      <x:c r="K24" s="89" t="str">
        <x:v>SRC-API01</x:v>
      </x:c>
      <x:c r="L24" s="98" t="str">
        <x:v>https://vnstocks.com/docs/vnstock/phan-tich-co-ban-fundamental</x:v>
      </x:c>
      <x:c r="M24" s="282" t="n">
        <x:v>46228.58256944444</x:v>
      </x:c>
    </x:row>
    <x:row r="25" ht="22" customHeight="1">
      <x:c r="A25" s="88" t="str">
        <x:v>income_statement</x:v>
      </x:c>
      <x:c r="B25" s="89" t="str">
        <x:v>net_profit_loss_after_tax</x:v>
      </x:c>
      <x:c r="C25" s="89" t="str">
        <x:v>Lãi/(lỗ) thuần sau thuế</x:v>
      </x:c>
      <x:c r="D25" s="89" t="str">
        <x:v>Net profit/(loss) after tax</x:v>
      </x:c>
      <x:c r="E25" s="131" t="n">
        <x:v>720561816175</x:v>
      </x:c>
      <x:c r="F25" s="131" t="n">
        <x:v>1161293797024</x:v>
      </x:c>
      <x:c r="G25" s="131" t="n">
        <x:v>2533934246423</x:v>
      </x:c>
      <x:c r="H25" s="131" t="n">
        <x:v>1923583483411</x:v>
      </x:c>
      <x:c r="I25" s="131" t="n">
        <x:v>2302523181352</x:v>
      </x:c>
      <x:c r="J25" s="89" t="str">
        <x:v>VND</x:v>
      </x:c>
      <x:c r="K25" s="89" t="str">
        <x:v>SRC-API01</x:v>
      </x:c>
      <x:c r="L25" s="98" t="str">
        <x:v>https://vnstocks.com/docs/vnstock/phan-tich-co-ban-fundamental</x:v>
      </x:c>
      <x:c r="M25" s="282" t="n">
        <x:v>46228.58256944444</x:v>
      </x:c>
    </x:row>
    <x:row r="26" ht="22" customHeight="1">
      <x:c r="A26" s="88" t="str">
        <x:v>income_statement</x:v>
      </x:c>
      <x:c r="B26" s="89" t="str">
        <x:v>minority_interests</x:v>
      </x:c>
      <x:c r="C26" s="89" t="str">
        <x:v>Lợi ích của cổ đông thiểu số</x:v>
      </x:c>
      <x:c r="D26" s="89" t="str">
        <x:v>Minority interests</x:v>
      </x:c>
      <x:c r="E26" s="131" t="n">
        <x:v>108379742778</x:v>
      </x:c>
      <x:c r="F26" s="131" t="n">
        <x:v>167378232291</x:v>
      </x:c>
      <x:c r="G26" s="131" t="n">
        <x:v>283356906503</x:v>
      </x:c>
      <x:c r="H26" s="131" t="n">
        <x:v>468103887809</x:v>
      </x:c>
      <x:c r="I26" s="131" t="n">
        <x:v>546893356056</x:v>
      </x:c>
      <x:c r="J26" s="89" t="str">
        <x:v>VND</x:v>
      </x:c>
      <x:c r="K26" s="89" t="str">
        <x:v>SRC-API01</x:v>
      </x:c>
      <x:c r="L26" s="98" t="str">
        <x:v>https://vnstocks.com/docs/vnstock/phan-tich-co-ban-fundamental</x:v>
      </x:c>
      <x:c r="M26" s="282" t="n">
        <x:v>46228.58256944444</x:v>
      </x:c>
    </x:row>
    <x:row r="27" ht="22" customHeight="1">
      <x:c r="A27" s="88" t="str">
        <x:v>income_statement</x:v>
      </x:c>
      <x:c r="B27" s="89" t="str">
        <x:v>attributable_to_parent_company</x:v>
      </x:c>
      <x:c r="C27" s="89" t="str">
        <x:v>Lợi nhuận của Cổ đông của Công ty mẹ</x:v>
      </x:c>
      <x:c r="D27" s="89" t="str">
        <x:v>Attributable to parent company</x:v>
      </x:c>
      <x:c r="E27" s="131" t="n">
        <x:v>612182073397</x:v>
      </x:c>
      <x:c r="F27" s="131" t="n">
        <x:v>993915564733</x:v>
      </x:c>
      <x:c r="G27" s="131" t="n">
        <x:v>2250577339920</x:v>
      </x:c>
      <x:c r="H27" s="131" t="n">
        <x:v>1455479595602</x:v>
      </x:c>
      <x:c r="I27" s="131" t="n">
        <x:v>1755629825296</x:v>
      </x:c>
      <x:c r="J27" s="89" t="str">
        <x:v>VND</x:v>
      </x:c>
      <x:c r="K27" s="89" t="str">
        <x:v>SRC-API01</x:v>
      </x:c>
      <x:c r="L27" s="98" t="str">
        <x:v>https://vnstocks.com/docs/vnstock/phan-tich-co-ban-fundamental</x:v>
      </x:c>
      <x:c r="M27" s="282" t="n">
        <x:v>46228.58256944444</x:v>
      </x:c>
    </x:row>
    <x:row r="28" ht="22" customHeight="1">
      <x:c r="A28" s="88" t="str">
        <x:v>income_statement</x:v>
      </x:c>
      <x:c r="B28" s="89" t="str">
        <x:v>eps_basic_vnd</x:v>
      </x:c>
      <x:c r="C28" s="89" t="str">
        <x:v>Lãi cơ bản trên cổ phiếu (VND)</x:v>
      </x:c>
      <x:c r="D28" s="89" t="str">
        <x:v>EPS basic (VND)</x:v>
      </x:c>
      <x:c r="E28" s="131" t="n">
        <x:v>1869</x:v>
      </x:c>
      <x:c r="F28" s="131" t="n">
        <x:v>3034</x:v>
      </x:c>
      <x:c r="G28" s="131" t="n">
        <x:v>7207</x:v>
      </x:c>
      <x:c r="H28" s="131" t="n">
        <x:v>4276</x:v>
      </x:c>
      <x:c r="I28" s="131" t="n">
        <x:v>3839</x:v>
      </x:c>
      <x:c r="J28" s="89" t="str">
        <x:v>VND</x:v>
      </x:c>
      <x:c r="K28" s="89" t="str">
        <x:v>SRC-API01</x:v>
      </x:c>
      <x:c r="L28" s="98" t="str">
        <x:v>https://vnstocks.com/docs/vnstock/phan-tich-co-ban-fundamental</x:v>
      </x:c>
      <x:c r="M28" s="282" t="n">
        <x:v>46228.58256944444</x:v>
      </x:c>
    </x:row>
    <x:row r="29" ht="22" customHeight="1">
      <x:c r="A29" s="88" t="str">
        <x:v>income_statement</x:v>
      </x:c>
      <x:c r="B29" s="89" t="str">
        <x:v>eps_diluted_vnd</x:v>
      </x:c>
      <x:c r="C29" s="89" t="str">
        <x:v>Lãi trên cổ phiếu pha loãng (VND)</x:v>
      </x:c>
      <x:c r="D29" s="89" t="str">
        <x:v>EPS diluted (VND)</x:v>
      </x:c>
      <x:c r="E29" s="131" t="n">
        <x:v>1869</x:v>
      </x:c>
      <x:c r="F29" s="131" t="n">
        <x:v>3034</x:v>
      </x:c>
      <x:c r="G29" s="131" t="n">
        <x:v>7207</x:v>
      </x:c>
      <x:c r="H29" s="131" t="n">
        <x:v>4276</x:v>
      </x:c>
      <x:c r="I29" s="131" t="n">
        <x:v>3839</x:v>
      </x:c>
      <x:c r="J29" s="89" t="str">
        <x:v>VND</x:v>
      </x:c>
      <x:c r="K29" s="89" t="str">
        <x:v>SRC-API01</x:v>
      </x:c>
      <x:c r="L29" s="98" t="str">
        <x:v>https://vnstocks.com/docs/vnstock/phan-tich-co-ban-fundamental</x:v>
      </x:c>
      <x:c r="M29" s="282" t="n">
        <x:v>46228.58256944444</x:v>
      </x:c>
    </x:row>
    <x:row r="30" ht="22" customHeight="1">
      <x:c r="A30" s="88" t="str">
        <x:v>income_statement</x:v>
      </x:c>
      <x:c r="B30" s="89" t="str">
        <x:v>gain_loss_from_joint_ventures_from_2015</x:v>
      </x:c>
      <x:c r="C30" s="89" t="str">
        <x:v>Lãi/(lỗ) từ công ty liên doanh (từ năm 2015)</x:v>
      </x:c>
      <x:c r="D30" s="89" t="str">
        <x:v>Gain/(loss) from joint ventures (from 2015)</x:v>
      </x:c>
      <x:c r="E30" s="131" t="n">
        <x:v>236913674177</x:v>
      </x:c>
      <x:c r="F30" s="131" t="n">
        <x:v>399148325174</x:v>
      </x:c>
      <x:c r="G30" s="131" t="n">
        <x:v>274234816173</x:v>
      </x:c>
      <x:c r="H30" s="131" t="n">
        <x:v>829308422992</x:v>
      </x:c>
      <x:c r="I30" s="131" t="n">
        <x:v>1157659377947</x:v>
      </x:c>
      <x:c r="J30" s="89" t="str">
        <x:v>VND</x:v>
      </x:c>
      <x:c r="K30" s="89" t="str">
        <x:v>SRC-API01</x:v>
      </x:c>
      <x:c r="L30" s="98" t="str">
        <x:v>https://vnstocks.com/docs/vnstock/phan-tich-co-ban-fundamental</x:v>
      </x:c>
      <x:c r="M30" s="282" t="n">
        <x:v>46228.58256944444</x:v>
      </x:c>
    </x:row>
    <x:row r="31" ht="22" customHeight="1">
      <x:c r="A31" s="88" t="str">
        <x:v>balance_sheet</x:v>
      </x:c>
      <x:c r="B31" s="89" t="str">
        <x:v>current_assets</x:v>
      </x:c>
      <x:c r="C31" s="89" t="str">
        <x:v>TÀI SẢN NGẮN HẠN</x:v>
      </x:c>
      <x:c r="D31" s="89" t="str">
        <x:v>CURRENT ASSETS</x:v>
      </x:c>
      <x:c r="E31" s="131" t="n">
        <x:v>1689479334239</x:v>
      </x:c>
      <x:c r="F31" s="131" t="n">
        <x:v>2618727023263</x:v>
      </x:c>
      <x:c r="G31" s="131" t="n">
        <x:v>3380201263412</x:v>
      </x:c>
      <x:c r="H31" s="131" t="n">
        <x:v>6673567765409</x:v>
      </x:c>
      <x:c r="I31" s="131" t="n">
        <x:v>6206216188548</x:v>
      </x:c>
      <x:c r="J31" s="89" t="str">
        <x:v>VND</x:v>
      </x:c>
      <x:c r="K31" s="89" t="str">
        <x:v>SRC-API01</x:v>
      </x:c>
      <x:c r="L31" s="98" t="str">
        <x:v>https://vnstocks.com/docs/vnstock/phan-tich-co-ban-fundamental</x:v>
      </x:c>
      <x:c r="M31" s="282" t="n">
        <x:v>46228.58256944444</x:v>
      </x:c>
    </x:row>
    <x:row r="32" ht="22" customHeight="1">
      <x:c r="A32" s="88" t="str">
        <x:v>balance_sheet</x:v>
      </x:c>
      <x:c r="B32" s="89" t="str">
        <x:v>cash_and_cash_equivalents</x:v>
      </x:c>
      <x:c r="C32" s="89" t="str">
        <x:v>Tiền và tương đương tiền</x:v>
      </x:c>
      <x:c r="D32" s="89" t="str">
        <x:v>Cash and cash equivalents</x:v>
      </x:c>
      <x:c r="E32" s="131" t="n">
        <x:v>637348731809</x:v>
      </x:c>
      <x:c r="F32" s="131" t="n">
        <x:v>1364349572162</x:v>
      </x:c>
      <x:c r="G32" s="131" t="n">
        <x:v>1471676297950</x:v>
      </x:c>
      <x:c r="H32" s="131" t="n">
        <x:v>3964316764607</x:v>
      </x:c>
      <x:c r="I32" s="131" t="n">
        <x:v>1622294838770</x:v>
      </x:c>
      <x:c r="J32" s="89" t="str">
        <x:v>VND</x:v>
      </x:c>
      <x:c r="K32" s="89" t="str">
        <x:v>SRC-API01</x:v>
      </x:c>
      <x:c r="L32" s="98" t="str">
        <x:v>https://vnstocks.com/docs/vnstock/phan-tich-co-ban-fundamental</x:v>
      </x:c>
      <x:c r="M32" s="282" t="n">
        <x:v>46228.58256944444</x:v>
      </x:c>
    </x:row>
    <x:row r="33" ht="22" customHeight="1">
      <x:c r="A33" s="88" t="str">
        <x:v>balance_sheet</x:v>
      </x:c>
      <x:c r="B33" s="89" t="str">
        <x:v>cash</x:v>
      </x:c>
      <x:c r="C33" s="89" t="str">
        <x:v>Tiền</x:v>
      </x:c>
      <x:c r="D33" s="89" t="str">
        <x:v>Cash</x:v>
      </x:c>
      <x:c r="E33" s="131" t="n">
        <x:v>430773871957</x:v>
      </x:c>
      <x:c r="F33" s="131" t="n">
        <x:v>733408572162</x:v>
      </x:c>
      <x:c r="G33" s="131" t="n">
        <x:v>762008256853</x:v>
      </x:c>
      <x:c r="H33" s="131" t="n">
        <x:v>3198224475079</x:v>
      </x:c>
      <x:c r="I33" s="131" t="n">
        <x:v>390617985338</x:v>
      </x:c>
      <x:c r="J33" s="89" t="str">
        <x:v>VND</x:v>
      </x:c>
      <x:c r="K33" s="89" t="str">
        <x:v>SRC-API01</x:v>
      </x:c>
      <x:c r="L33" s="98" t="str">
        <x:v>https://vnstocks.com/docs/vnstock/phan-tich-co-ban-fundamental</x:v>
      </x:c>
      <x:c r="M33" s="282" t="n">
        <x:v>46228.58256944444</x:v>
      </x:c>
    </x:row>
    <x:row r="34" ht="22" customHeight="1">
      <x:c r="A34" s="88" t="str">
        <x:v>balance_sheet</x:v>
      </x:c>
      <x:c r="B34" s="89" t="str">
        <x:v>cash_equivalents</x:v>
      </x:c>
      <x:c r="C34" s="89" t="str">
        <x:v>Các khoản tương đương tiền</x:v>
      </x:c>
      <x:c r="D34" s="89" t="str">
        <x:v>Cash equivalents</x:v>
      </x:c>
      <x:c r="E34" s="131" t="n">
        <x:v>206574859852</x:v>
      </x:c>
      <x:c r="F34" s="131" t="n">
        <x:v>630941000000</x:v>
      </x:c>
      <x:c r="G34" s="131" t="n">
        <x:v>709668041097</x:v>
      </x:c>
      <x:c r="H34" s="131" t="n">
        <x:v>766092289528</x:v>
      </x:c>
      <x:c r="I34" s="131" t="n">
        <x:v>1231676853432</x:v>
      </x:c>
      <x:c r="J34" s="89" t="str">
        <x:v>VND</x:v>
      </x:c>
      <x:c r="K34" s="89" t="str">
        <x:v>SRC-API01</x:v>
      </x:c>
      <x:c r="L34" s="98" t="str">
        <x:v>https://vnstocks.com/docs/vnstock/phan-tich-co-ban-fundamental</x:v>
      </x:c>
      <x:c r="M34" s="282" t="n">
        <x:v>46228.58256944444</x:v>
      </x:c>
    </x:row>
    <x:row r="35" ht="22" customHeight="1">
      <x:c r="A35" s="88" t="str">
        <x:v>balance_sheet</x:v>
      </x:c>
      <x:c r="B35" s="89" t="str">
        <x:v>short_term_investments</x:v>
      </x:c>
      <x:c r="C35" s="89" t="str">
        <x:v>Đầu tư ngắn hạn</x:v>
      </x:c>
      <x:c r="D35" s="89" t="str">
        <x:v>Short-term investments</x:v>
      </x:c>
      <x:c r="E35" s="131" t="n">
        <x:v>51831843090</x:v>
      </x:c>
      <x:c r="F35" s="131" t="n">
        <x:v>82230394409</x:v>
      </x:c>
      <x:c r="G35" s="131" t="n">
        <x:v>358867040371</x:v>
      </x:c>
      <x:c r="H35" s="131" t="n">
        <x:v>1021206010000</x:v>
      </x:c>
      <x:c r="I35" s="131" t="n">
        <x:v>2738596210765</x:v>
      </x:c>
      <x:c r="J35" s="89" t="str">
        <x:v>VND</x:v>
      </x:c>
      <x:c r="K35" s="89" t="str">
        <x:v>SRC-API01</x:v>
      </x:c>
      <x:c r="L35" s="98" t="str">
        <x:v>https://vnstocks.com/docs/vnstock/phan-tich-co-ban-fundamental</x:v>
      </x:c>
      <x:c r="M35" s="282" t="n">
        <x:v>46228.58256944444</x:v>
      </x:c>
    </x:row>
    <x:row r="36" ht="22" customHeight="1">
      <x:c r="A36" s="88" t="str">
        <x:v>balance_sheet</x:v>
      </x:c>
      <x:c r="B36" s="89" t="str">
        <x:v>short_term_investments</x:v>
      </x:c>
      <x:c r="C36" s="89" t="str">
        <x:v>Đầu tư ngắn hạn</x:v>
      </x:c>
      <x:c r="D36" s="89" t="str">
        <x:v>Short-term investments</x:v>
      </x:c>
      <x:c r="E36" s="131" t="n">
        <x:v>45723235680</x:v>
      </x:c>
      <x:c r="F36" s="131" t="n">
        <x:v>45723235680</x:v>
      </x:c>
      <x:c r="G36" s="131" t="n">
        <x:v>45723235680</x:v>
      </x:c>
      <x:c r="H36" s="131" t="n">
        <x:v>34301944940</x:v>
      </x:c>
      <x:c r="I36" s="131" t="n">
        <x:v>0</x:v>
      </x:c>
      <x:c r="J36" s="89" t="str">
        <x:v>VND</x:v>
      </x:c>
      <x:c r="K36" s="89" t="str">
        <x:v>SRC-API01</x:v>
      </x:c>
      <x:c r="L36" s="98" t="str">
        <x:v>https://vnstocks.com/docs/vnstock/phan-tich-co-ban-fundamental</x:v>
      </x:c>
      <x:c r="M36" s="282" t="n">
        <x:v>46228.58256944444</x:v>
      </x:c>
    </x:row>
    <x:row r="37" ht="22" customHeight="1">
      <x:c r="A37" s="88" t="str">
        <x:v>balance_sheet</x:v>
      </x:c>
      <x:c r="B37" s="89" t="str">
        <x:v>provision_for_diminution</x:v>
      </x:c>
      <x:c r="C37" s="89" t="str">
        <x:v>Dự phòng giảm giá</x:v>
      </x:c>
      <x:c r="D37" s="89" t="str">
        <x:v>Provision for diminution</x:v>
      </x:c>
      <x:c r="E37" s="131" t="n">
        <x:v>-15881750652</x:v>
      </x:c>
      <x:c r="F37" s="131" t="n">
        <x:v>-27787639695</x:v>
      </x:c>
      <x:c r="G37" s="131" t="n">
        <x:v>-32575500775</x:v>
      </x:c>
      <x:c r="H37" s="131" t="n">
        <x:v>-25395934940</x:v>
      </x:c>
      <x:c r="I37" s="131" t="n">
        <x:v>0</x:v>
      </x:c>
      <x:c r="J37" s="89" t="str">
        <x:v>VND</x:v>
      </x:c>
      <x:c r="K37" s="89" t="str">
        <x:v>SRC-API01</x:v>
      </x:c>
      <x:c r="L37" s="98" t="str">
        <x:v>https://vnstocks.com/docs/vnstock/phan-tich-co-ban-fundamental</x:v>
      </x:c>
      <x:c r="M37" s="282" t="n">
        <x:v>46228.58256944444</x:v>
      </x:c>
    </x:row>
    <x:row r="38" ht="22" customHeight="1">
      <x:c r="A38" s="88" t="str">
        <x:v>balance_sheet</x:v>
      </x:c>
      <x:c r="B38" s="89" t="str">
        <x:v>accounts_receivable</x:v>
      </x:c>
      <x:c r="C38" s="89" t="str">
        <x:v>Các khoản phải thu</x:v>
      </x:c>
      <x:c r="D38" s="89" t="str">
        <x:v>Accounts receivable</x:v>
      </x:c>
      <x:c r="E38" s="131" t="n">
        <x:v>841900282381</x:v>
      </x:c>
      <x:c r="F38" s="131" t="n">
        <x:v>867649206297</x:v>
      </x:c>
      <x:c r="G38" s="131" t="n">
        <x:v>1193181492780</x:v>
      </x:c>
      <x:c r="H38" s="131" t="n">
        <x:v>1235608050191</x:v>
      </x:c>
      <x:c r="I38" s="131" t="n">
        <x:v>1398735264841</x:v>
      </x:c>
      <x:c r="J38" s="89" t="str">
        <x:v>VND</x:v>
      </x:c>
      <x:c r="K38" s="89" t="str">
        <x:v>SRC-API01</x:v>
      </x:c>
      <x:c r="L38" s="98" t="str">
        <x:v>https://vnstocks.com/docs/vnstock/phan-tich-co-ban-fundamental</x:v>
      </x:c>
      <x:c r="M38" s="282" t="n">
        <x:v>46228.58256944444</x:v>
      </x:c>
    </x:row>
    <x:row r="39" ht="22" customHeight="1">
      <x:c r="A39" s="88" t="str">
        <x:v>balance_sheet</x:v>
      </x:c>
      <x:c r="B39" s="89" t="str">
        <x:v>trade_accounts_receivable</x:v>
      </x:c>
      <x:c r="C39" s="89" t="str">
        <x:v>Phải thu khách hàng</x:v>
      </x:c>
      <x:c r="D39" s="89" t="str">
        <x:v>Trade accounts receivable</x:v>
      </x:c>
      <x:c r="E39" s="131" t="n">
        <x:v>436724968918</x:v>
      </x:c>
      <x:c r="F39" s="131" t="n">
        <x:v>541809634569</x:v>
      </x:c>
      <x:c r="G39" s="131" t="n">
        <x:v>584659664426</x:v>
      </x:c>
      <x:c r="H39" s="131" t="n">
        <x:v>598531863691</x:v>
      </x:c>
      <x:c r="I39" s="131" t="n">
        <x:v>673784889294</x:v>
      </x:c>
      <x:c r="J39" s="89" t="str">
        <x:v>VND</x:v>
      </x:c>
      <x:c r="K39" s="89" t="str">
        <x:v>SRC-API01</x:v>
      </x:c>
      <x:c r="L39" s="98" t="str">
        <x:v>https://vnstocks.com/docs/vnstock/phan-tich-co-ban-fundamental</x:v>
      </x:c>
      <x:c r="M39" s="282" t="n">
        <x:v>46228.58256944444</x:v>
      </x:c>
    </x:row>
    <x:row r="40" ht="22" customHeight="1">
      <x:c r="A40" s="88" t="str">
        <x:v>balance_sheet</x:v>
      </x:c>
      <x:c r="B40" s="89" t="str">
        <x:v>prepayments_to_suppliers</x:v>
      </x:c>
      <x:c r="C40" s="89" t="str">
        <x:v>Trả trước người bán</x:v>
      </x:c>
      <x:c r="D40" s="89" t="str">
        <x:v>Prepayments to suppliers</x:v>
      </x:c>
      <x:c r="E40" s="131" t="n">
        <x:v>165321785923</x:v>
      </x:c>
      <x:c r="F40" s="131" t="n">
        <x:v>137910734284</x:v>
      </x:c>
      <x:c r="G40" s="131" t="n">
        <x:v>91860358118</x:v>
      </x:c>
      <x:c r="H40" s="131" t="n">
        <x:v>280469711694</x:v>
      </x:c>
      <x:c r="I40" s="131" t="n">
        <x:v>196842503241</x:v>
      </x:c>
      <x:c r="J40" s="89" t="str">
        <x:v>VND</x:v>
      </x:c>
      <x:c r="K40" s="89" t="str">
        <x:v>SRC-API01</x:v>
      </x:c>
      <x:c r="L40" s="98" t="str">
        <x:v>https://vnstocks.com/docs/vnstock/phan-tich-co-ban-fundamental</x:v>
      </x:c>
      <x:c r="M40" s="282" t="n">
        <x:v>46228.58256944444</x:v>
      </x:c>
    </x:row>
    <x:row r="41" ht="22" customHeight="1">
      <x:c r="A41" s="88" t="str">
        <x:v>balance_sheet</x:v>
      </x:c>
      <x:c r="B41" s="89" t="str">
        <x:v>intercompany_receivables</x:v>
      </x:c>
      <x:c r="C41" s="89" t="str">
        <x:v>Phải thu nội bộ</x:v>
      </x:c>
      <x:c r="D41" s="89" t="str">
        <x:v>Intercompany receivables</x:v>
      </x:c>
      <x:c r="E41" s="131" t="n">
        <x:v>0</x:v>
      </x:c>
      <x:c r="F41" s="131" t="n">
        <x:v>0</x:v>
      </x:c>
      <x:c r="G41" s="131" t="n">
        <x:v>0</x:v>
      </x:c>
      <x:c r="H41" s="131" t="n">
        <x:v>0</x:v>
      </x:c>
      <x:c r="I41" s="131" t="n">
        <x:v>0</x:v>
      </x:c>
      <x:c r="J41" s="89" t="str">
        <x:v>VND</x:v>
      </x:c>
      <x:c r="K41" s="89" t="str">
        <x:v>SRC-API01</x:v>
      </x:c>
      <x:c r="L41" s="98" t="str">
        <x:v>https://vnstocks.com/docs/vnstock/phan-tich-co-ban-fundamental</x:v>
      </x:c>
      <x:c r="M41" s="282" t="n">
        <x:v>46228.58256944444</x:v>
      </x:c>
    </x:row>
    <x:row r="42" ht="22" customHeight="1">
      <x:c r="A42" s="88" t="str">
        <x:v>balance_sheet</x:v>
      </x:c>
      <x:c r="B42" s="89" t="str">
        <x:v>construction_contract_in_progress_receivables</x:v>
      </x:c>
      <x:c r="C42" s="89" t="str">
        <x:v>Phải thu hợp đồng xây dựng đang thực hiện</x:v>
      </x:c>
      <x:c r="D42" s="89" t="str">
        <x:v>Construction contract in progress receivables</x:v>
      </x:c>
      <x:c r="E42" s="131" t="n">
        <x:v>0</x:v>
      </x:c>
      <x:c r="F42" s="131" t="n">
        <x:v>0</x:v>
      </x:c>
      <x:c r="G42" s="131" t="n">
        <x:v>0</x:v>
      </x:c>
      <x:c r="H42" s="131" t="n">
        <x:v>0</x:v>
      </x:c>
      <x:c r="I42" s="131" t="n">
        <x:v>0</x:v>
      </x:c>
      <x:c r="J42" s="89" t="str">
        <x:v>VND</x:v>
      </x:c>
      <x:c r="K42" s="89" t="str">
        <x:v>SRC-API01</x:v>
      </x:c>
      <x:c r="L42" s="98" t="str">
        <x:v>https://vnstocks.com/docs/vnstock/phan-tich-co-ban-fundamental</x:v>
      </x:c>
      <x:c r="M42" s="282" t="n">
        <x:v>46228.58256944444</x:v>
      </x:c>
    </x:row>
    <x:row r="43" ht="22" customHeight="1">
      <x:c r="A43" s="88" t="str">
        <x:v>balance_sheet</x:v>
      </x:c>
      <x:c r="B43" s="89" t="str">
        <x:v>other_receivables</x:v>
      </x:c>
      <x:c r="C43" s="89" t="str">
        <x:v>Phải thu khác</x:v>
      </x:c>
      <x:c r="D43" s="89" t="str">
        <x:v>Other receivables</x:v>
      </x:c>
      <x:c r="E43" s="131" t="n">
        <x:v>230626742533</x:v>
      </x:c>
      <x:c r="F43" s="131" t="n">
        <x:v>174477642655</x:v>
      </x:c>
      <x:c r="G43" s="131" t="n">
        <x:v>253518004021</x:v>
      </x:c>
      <x:c r="H43" s="131" t="n">
        <x:v>373778192874</x:v>
      </x:c>
      <x:c r="I43" s="131" t="n">
        <x:v>520651632469</x:v>
      </x:c>
      <x:c r="J43" s="89" t="str">
        <x:v>VND</x:v>
      </x:c>
      <x:c r="K43" s="89" t="str">
        <x:v>SRC-API01</x:v>
      </x:c>
      <x:c r="L43" s="98" t="str">
        <x:v>https://vnstocks.com/docs/vnstock/phan-tich-co-ban-fundamental</x:v>
      </x:c>
      <x:c r="M43" s="282" t="n">
        <x:v>46228.58256944444</x:v>
      </x:c>
    </x:row>
    <x:row r="44" ht="22" customHeight="1">
      <x:c r="A44" s="88" t="str">
        <x:v>balance_sheet</x:v>
      </x:c>
      <x:c r="B44" s="89" t="str">
        <x:v>provision_for_doubtful_debts</x:v>
      </x:c>
      <x:c r="C44" s="89" t="str">
        <x:v>Dự phòng nợ khó đòi</x:v>
      </x:c>
      <x:c r="D44" s="89" t="str">
        <x:v>Provision for doubtful debts</x:v>
      </x:c>
      <x:c r="E44" s="131" t="n">
        <x:v>-10396714993</x:v>
      </x:c>
      <x:c r="F44" s="131" t="n">
        <x:v>-11172305211</x:v>
      </x:c>
      <x:c r="G44" s="131" t="n">
        <x:v>-34864521586</x:v>
      </x:c>
      <x:c r="H44" s="131" t="n">
        <x:v>-48095218068</x:v>
      </x:c>
      <x:c r="I44" s="131" t="n">
        <x:v>-53474018563</x:v>
      </x:c>
      <x:c r="J44" s="89" t="str">
        <x:v>VND</x:v>
      </x:c>
      <x:c r="K44" s="89" t="str">
        <x:v>SRC-API01</x:v>
      </x:c>
      <x:c r="L44" s="98" t="str">
        <x:v>https://vnstocks.com/docs/vnstock/phan-tich-co-ban-fundamental</x:v>
      </x:c>
      <x:c r="M44" s="282" t="n">
        <x:v>46228.58256944444</x:v>
      </x:c>
    </x:row>
    <x:row r="45" ht="22" customHeight="1">
      <x:c r="A45" s="88" t="str">
        <x:v>balance_sheet</x:v>
      </x:c>
      <x:c r="B45" s="89" t="str">
        <x:v>inventories_net</x:v>
      </x:c>
      <x:c r="C45" s="89" t="str">
        <x:v>Hàng tồn kho, ròng</x:v>
      </x:c>
      <x:c r="D45" s="89" t="str">
        <x:v>Inventories, Net</x:v>
      </x:c>
      <x:c r="E45" s="131" t="n">
        <x:v>68712818949</x:v>
      </x:c>
      <x:c r="F45" s="131" t="n">
        <x:v>82532452635</x:v>
      </x:c>
      <x:c r="G45" s="131" t="n">
        <x:v>68169766561</x:v>
      </x:c>
      <x:c r="H45" s="131" t="n">
        <x:v>83419825055</x:v>
      </x:c>
      <x:c r="I45" s="131" t="n">
        <x:v>92477952063</x:v>
      </x:c>
      <x:c r="J45" s="89" t="str">
        <x:v>VND</x:v>
      </x:c>
      <x:c r="K45" s="89" t="str">
        <x:v>SRC-API01</x:v>
      </x:c>
      <x:c r="L45" s="98" t="str">
        <x:v>https://vnstocks.com/docs/vnstock/phan-tich-co-ban-fundamental</x:v>
      </x:c>
      <x:c r="M45" s="282" t="n">
        <x:v>46228.58256944444</x:v>
      </x:c>
    </x:row>
    <x:row r="46" ht="22" customHeight="1">
      <x:c r="A46" s="88" t="str">
        <x:v>balance_sheet</x:v>
      </x:c>
      <x:c r="B46" s="89" t="str">
        <x:v>inventories</x:v>
      </x:c>
      <x:c r="C46" s="89" t="str">
        <x:v>Hàng tồn kho</x:v>
      </x:c>
      <x:c r="D46" s="89" t="str">
        <x:v>Inventories</x:v>
      </x:c>
      <x:c r="E46" s="131" t="n">
        <x:v>68712818949</x:v>
      </x:c>
      <x:c r="F46" s="131" t="n">
        <x:v>82532452635</x:v>
      </x:c>
      <x:c r="G46" s="131" t="n">
        <x:v>68169766561</x:v>
      </x:c>
      <x:c r="H46" s="131" t="n">
        <x:v>83419825055</x:v>
      </x:c>
      <x:c r="I46" s="131" t="n">
        <x:v>92477952063</x:v>
      </x:c>
      <x:c r="J46" s="89" t="str">
        <x:v>VND</x:v>
      </x:c>
      <x:c r="K46" s="89" t="str">
        <x:v>SRC-API01</x:v>
      </x:c>
      <x:c r="L46" s="98" t="str">
        <x:v>https://vnstocks.com/docs/vnstock/phan-tich-co-ban-fundamental</x:v>
      </x:c>
      <x:c r="M46" s="282" t="n">
        <x:v>46228.58256944444</x:v>
      </x:c>
    </x:row>
    <x:row r="47" ht="22" customHeight="1">
      <x:c r="A47" s="88" t="str">
        <x:v>balance_sheet</x:v>
      </x:c>
      <x:c r="B47" s="89" t="str">
        <x:v>provision_for_decline_in_inventories</x:v>
      </x:c>
      <x:c r="C47" s="89" t="str">
        <x:v>Dự phòng giảm giá hàng tồn kho</x:v>
      </x:c>
      <x:c r="D47" s="89" t="str">
        <x:v>Provision for decline in inventories</x:v>
      </x:c>
      <x:c r="E47" s="131" t="n">
        <x:v>0</x:v>
      </x:c>
      <x:c r="F47" s="131" t="n">
        <x:v>0</x:v>
      </x:c>
      <x:c r="G47" s="131" t="n">
        <x:v>0</x:v>
      </x:c>
      <x:c r="H47" s="131" t="n">
        <x:v>0</x:v>
      </x:c>
      <x:c r="I47" s="131" t="n">
        <x:v>0</x:v>
      </x:c>
      <x:c r="J47" s="89" t="str">
        <x:v>VND</x:v>
      </x:c>
      <x:c r="K47" s="89" t="str">
        <x:v>SRC-API01</x:v>
      </x:c>
      <x:c r="L47" s="98" t="str">
        <x:v>https://vnstocks.com/docs/vnstock/phan-tich-co-ban-fundamental</x:v>
      </x:c>
      <x:c r="M47" s="282" t="n">
        <x:v>46228.58256944444</x:v>
      </x:c>
    </x:row>
    <x:row r="48" ht="22" customHeight="1">
      <x:c r="A48" s="88" t="str">
        <x:v>balance_sheet</x:v>
      </x:c>
      <x:c r="B48" s="89" t="str">
        <x:v>other_current_assets</x:v>
      </x:c>
      <x:c r="C48" s="89" t="str">
        <x:v>Tài sản lưu động khác</x:v>
      </x:c>
      <x:c r="D48" s="89" t="str">
        <x:v>Other current assets</x:v>
      </x:c>
      <x:c r="E48" s="131" t="n">
        <x:v>89685658010</x:v>
      </x:c>
      <x:c r="F48" s="131" t="n">
        <x:v>221965397760</x:v>
      </x:c>
      <x:c r="G48" s="131" t="n">
        <x:v>288306665750</x:v>
      </x:c>
      <x:c r="H48" s="131" t="n">
        <x:v>369017115556</x:v>
      </x:c>
      <x:c r="I48" s="131" t="n">
        <x:v>354111922109</x:v>
      </x:c>
      <x:c r="J48" s="89" t="str">
        <x:v>VND</x:v>
      </x:c>
      <x:c r="K48" s="89" t="str">
        <x:v>SRC-API01</x:v>
      </x:c>
      <x:c r="L48" s="98" t="str">
        <x:v>https://vnstocks.com/docs/vnstock/phan-tich-co-ban-fundamental</x:v>
      </x:c>
      <x:c r="M48" s="282" t="n">
        <x:v>46228.58256944444</x:v>
      </x:c>
    </x:row>
    <x:row r="49" ht="22" customHeight="1">
      <x:c r="A49" s="88" t="str">
        <x:v>balance_sheet</x:v>
      </x:c>
      <x:c r="B49" s="89" t="str">
        <x:v>short_term_prepayments</x:v>
      </x:c>
      <x:c r="C49" s="89" t="str">
        <x:v>Chi phí trả trước ngắn hạn</x:v>
      </x:c>
      <x:c r="D49" s="89" t="str">
        <x:v>Short-term prepayments</x:v>
      </x:c>
      <x:c r="E49" s="131" t="n">
        <x:v>13618725732</x:v>
      </x:c>
      <x:c r="F49" s="131" t="n">
        <x:v>12708057001</x:v>
      </x:c>
      <x:c r="G49" s="131" t="n">
        <x:v>7949598183</x:v>
      </x:c>
      <x:c r="H49" s="131" t="n">
        <x:v>20331034493</x:v>
      </x:c>
      <x:c r="I49" s="131" t="n">
        <x:v>49422321164</x:v>
      </x:c>
      <x:c r="J49" s="89" t="str">
        <x:v>VND</x:v>
      </x:c>
      <x:c r="K49" s="89" t="str">
        <x:v>SRC-API01</x:v>
      </x:c>
      <x:c r="L49" s="98" t="str">
        <x:v>https://vnstocks.com/docs/vnstock/phan-tich-co-ban-fundamental</x:v>
      </x:c>
      <x:c r="M49" s="282" t="n">
        <x:v>46228.58256944444</x:v>
      </x:c>
    </x:row>
    <x:row r="50" ht="22" customHeight="1">
      <x:c r="A50" s="88" t="str">
        <x:v>balance_sheet</x:v>
      </x:c>
      <x:c r="B50" s="89" t="str">
        <x:v>vat_to_be_claimed</x:v>
      </x:c>
      <x:c r="C50" s="89" t="str">
        <x:v>Thuế GTGT được khấu trừ</x:v>
      </x:c>
      <x:c r="D50" s="89" t="str">
        <x:v>VAT to be claimed</x:v>
      </x:c>
      <x:c r="E50" s="131" t="n">
        <x:v>58408265354</x:v>
      </x:c>
      <x:c r="F50" s="131" t="n">
        <x:v>186384655503</x:v>
      </x:c>
      <x:c r="G50" s="131" t="n">
        <x:v>268633238575</x:v>
      </x:c>
      <x:c r="H50" s="131" t="n">
        <x:v>334621126828</x:v>
      </x:c>
      <x:c r="I50" s="131" t="n">
        <x:v>301287529386</x:v>
      </x:c>
      <x:c r="J50" s="89" t="str">
        <x:v>VND</x:v>
      </x:c>
      <x:c r="K50" s="89" t="str">
        <x:v>SRC-API01</x:v>
      </x:c>
      <x:c r="L50" s="98" t="str">
        <x:v>https://vnstocks.com/docs/vnstock/phan-tich-co-ban-fundamental</x:v>
      </x:c>
      <x:c r="M50" s="282" t="n">
        <x:v>46228.58256944444</x:v>
      </x:c>
    </x:row>
    <x:row r="51" ht="22" customHeight="1">
      <x:c r="A51" s="88" t="str">
        <x:v>balance_sheet</x:v>
      </x:c>
      <x:c r="B51" s="89" t="str">
        <x:v>other_taxes_receivable</x:v>
      </x:c>
      <x:c r="C51" s="89" t="str">
        <x:v>Phải thu thuế khác</x:v>
      </x:c>
      <x:c r="D51" s="89" t="str">
        <x:v>Other taxes receivable</x:v>
      </x:c>
      <x:c r="E51" s="131" t="n">
        <x:v>17658666924</x:v>
      </x:c>
      <x:c r="F51" s="131" t="n">
        <x:v>22872685256</x:v>
      </x:c>
      <x:c r="G51" s="131" t="n">
        <x:v>11723828992</x:v>
      </x:c>
      <x:c r="H51" s="131" t="n">
        <x:v>14064954235</x:v>
      </x:c>
      <x:c r="I51" s="131" t="n">
        <x:v>3402071559</x:v>
      </x:c>
      <x:c r="J51" s="89" t="str">
        <x:v>VND</x:v>
      </x:c>
      <x:c r="K51" s="89" t="str">
        <x:v>SRC-API01</x:v>
      </x:c>
      <x:c r="L51" s="98" t="str">
        <x:v>https://vnstocks.com/docs/vnstock/phan-tich-co-ban-fundamental</x:v>
      </x:c>
      <x:c r="M51" s="282" t="n">
        <x:v>46228.58256944444</x:v>
      </x:c>
    </x:row>
    <x:row r="52" ht="22" customHeight="1">
      <x:c r="A52" s="88" t="str">
        <x:v>balance_sheet</x:v>
      </x:c>
      <x:c r="B52" s="89" t="str">
        <x:v>other_current_assets</x:v>
      </x:c>
      <x:c r="C52" s="89" t="str">
        <x:v>Tài sản lưu động khác</x:v>
      </x:c>
      <x:c r="D52" s="89" t="str">
        <x:v>Other current assets</x:v>
      </x:c>
      <x:c r="E52" s="131" t="n">
        <x:v>0</x:v>
      </x:c>
      <x:c r="F52" s="131" t="n">
        <x:v>0</x:v>
      </x:c>
      <x:c r="G52" s="131" t="n">
        <x:v>0</x:v>
      </x:c>
      <x:c r="H52" s="131" t="n">
        <x:v>0</x:v>
      </x:c>
      <x:c r="I52" s="131" t="n">
        <x:v>0</x:v>
      </x:c>
      <x:c r="J52" s="89" t="str">
        <x:v>VND</x:v>
      </x:c>
      <x:c r="K52" s="89" t="str">
        <x:v>SRC-API01</x:v>
      </x:c>
      <x:c r="L52" s="98" t="str">
        <x:v>https://vnstocks.com/docs/vnstock/phan-tich-co-ban-fundamental</x:v>
      </x:c>
      <x:c r="M52" s="282" t="n">
        <x:v>46228.58256944444</x:v>
      </x:c>
    </x:row>
    <x:row r="53" ht="22" customHeight="1">
      <x:c r="A53" s="88" t="str">
        <x:v>balance_sheet</x:v>
      </x:c>
      <x:c r="B53" s="89" t="str">
        <x:v>long_term_assets</x:v>
      </x:c>
      <x:c r="C53" s="89" t="str">
        <x:v>TÀI SẢN DÀI HẠN</x:v>
      </x:c>
      <x:c r="D53" s="89" t="str">
        <x:v>LONG-TERM ASSETS</x:v>
      </x:c>
      <x:c r="E53" s="131" t="n">
        <x:v>9041731729045</x:v>
      </x:c>
      <x:c r="F53" s="131" t="n">
        <x:v>10411925986309</x:v>
      </x:c>
      <x:c r="G53" s="131" t="n">
        <x:v>10165823905016</x:v>
      </x:c>
      <x:c r="H53" s="131" t="n">
        <x:v>11324285547308</x:v>
      </x:c>
      <x:c r="I53" s="131" t="n">
        <x:v>13620185187029</x:v>
      </x:c>
      <x:c r="J53" s="89" t="str">
        <x:v>VND</x:v>
      </x:c>
      <x:c r="K53" s="89" t="str">
        <x:v>SRC-API01</x:v>
      </x:c>
      <x:c r="L53" s="98" t="str">
        <x:v>https://vnstocks.com/docs/vnstock/phan-tich-co-ban-fundamental</x:v>
      </x:c>
      <x:c r="M53" s="282" t="n">
        <x:v>46228.58256944444</x:v>
      </x:c>
    </x:row>
    <x:row r="54" ht="22" customHeight="1">
      <x:c r="A54" s="88" t="str">
        <x:v>balance_sheet</x:v>
      </x:c>
      <x:c r="B54" s="89" t="str">
        <x:v>long_term_trade_receivables</x:v>
      </x:c>
      <x:c r="C54" s="89" t="str">
        <x:v>Phải thu dài hạn</x:v>
      </x:c>
      <x:c r="D54" s="89" t="str">
        <x:v>Long-term trade receivables</x:v>
      </x:c>
      <x:c r="E54" s="131" t="n">
        <x:v>43838714303</x:v>
      </x:c>
      <x:c r="F54" s="131" t="n">
        <x:v>44605881337</x:v>
      </x:c>
      <x:c r="G54" s="131" t="n">
        <x:v>39754955799</x:v>
      </x:c>
      <x:c r="H54" s="131" t="n">
        <x:v>44670549888</x:v>
      </x:c>
      <x:c r="I54" s="131" t="n">
        <x:v>46839995138</x:v>
      </x:c>
      <x:c r="J54" s="89" t="str">
        <x:v>VND</x:v>
      </x:c>
      <x:c r="K54" s="89" t="str">
        <x:v>SRC-API01</x:v>
      </x:c>
      <x:c r="L54" s="98" t="str">
        <x:v>https://vnstocks.com/docs/vnstock/phan-tich-co-ban-fundamental</x:v>
      </x:c>
      <x:c r="M54" s="282" t="n">
        <x:v>46228.58256944444</x:v>
      </x:c>
    </x:row>
    <x:row r="55" ht="22" customHeight="1">
      <x:c r="A55" s="88" t="str">
        <x:v>balance_sheet</x:v>
      </x:c>
      <x:c r="B55" s="89" t="str">
        <x:v>long_term_trade_receivables_from_customers</x:v>
      </x:c>
      <x:c r="C55" s="89" t="str">
        <x:v>Phải thu khách hàng dài hạn</x:v>
      </x:c>
      <x:c r="D55" s="89" t="str">
        <x:v>Long-term trade receivables from customers</x:v>
      </x:c>
      <x:c r="E55" s="131" t="n">
        <x:v>0</x:v>
      </x:c>
      <x:c r="F55" s="131" t="n">
        <x:v>0</x:v>
      </x:c>
      <x:c r="G55" s="131" t="n">
        <x:v>0</x:v>
      </x:c>
      <x:c r="H55" s="131" t="n">
        <x:v>0</x:v>
      </x:c>
      <x:c r="I55" s="131" t="n">
        <x:v>0</x:v>
      </x:c>
      <x:c r="J55" s="89" t="str">
        <x:v>VND</x:v>
      </x:c>
      <x:c r="K55" s="89" t="str">
        <x:v>SRC-API01</x:v>
      </x:c>
      <x:c r="L55" s="98" t="str">
        <x:v>https://vnstocks.com/docs/vnstock/phan-tich-co-ban-fundamental</x:v>
      </x:c>
      <x:c r="M55" s="282" t="n">
        <x:v>46228.58256944444</x:v>
      </x:c>
    </x:row>
    <x:row r="56" ht="22" customHeight="1">
      <x:c r="A56" s="88" t="str">
        <x:v>balance_sheet</x:v>
      </x:c>
      <x:c r="B56" s="89" t="str">
        <x:v>long_term_intercompany_receivables</x:v>
      </x:c>
      <x:c r="C56" s="89" t="str">
        <x:v>Phải thu nội bộ dài hạn</x:v>
      </x:c>
      <x:c r="D56" s="89" t="str">
        <x:v>Long-term intercompany receivables</x:v>
      </x:c>
      <x:c r="E56" s="131" t="n">
        <x:v>0</x:v>
      </x:c>
      <x:c r="F56" s="131" t="n">
        <x:v>0</x:v>
      </x:c>
      <x:c r="G56" s="131" t="n">
        <x:v>0</x:v>
      </x:c>
      <x:c r="H56" s="131" t="n">
        <x:v>0</x:v>
      </x:c>
      <x:c r="I56" s="131" t="n">
        <x:v>0</x:v>
      </x:c>
      <x:c r="J56" s="89" t="str">
        <x:v>VND</x:v>
      </x:c>
      <x:c r="K56" s="89" t="str">
        <x:v>SRC-API01</x:v>
      </x:c>
      <x:c r="L56" s="98" t="str">
        <x:v>https://vnstocks.com/docs/vnstock/phan-tich-co-ban-fundamental</x:v>
      </x:c>
      <x:c r="M56" s="282" t="n">
        <x:v>46228.58256944444</x:v>
      </x:c>
    </x:row>
    <x:row r="57" ht="22" customHeight="1">
      <x:c r="A57" s="88" t="str">
        <x:v>balance_sheet</x:v>
      </x:c>
      <x:c r="B57" s="89" t="str">
        <x:v>other_long_term_receivables</x:v>
      </x:c>
      <x:c r="C57" s="89" t="str">
        <x:v>Phải thu dài hạn khác</x:v>
      </x:c>
      <x:c r="D57" s="89" t="str">
        <x:v>Other long-term receivables</x:v>
      </x:c>
      <x:c r="E57" s="131" t="n">
        <x:v>35380714303</x:v>
      </x:c>
      <x:c r="F57" s="131" t="n">
        <x:v>36505881337</x:v>
      </x:c>
      <x:c r="G57" s="131" t="n">
        <x:v>31654955799</x:v>
      </x:c>
      <x:c r="H57" s="131" t="n">
        <x:v>36570549888</x:v>
      </x:c>
      <x:c r="I57" s="131" t="n">
        <x:v>38739995138</x:v>
      </x:c>
      <x:c r="J57" s="89" t="str">
        <x:v>VND</x:v>
      </x:c>
      <x:c r="K57" s="89" t="str">
        <x:v>SRC-API01</x:v>
      </x:c>
      <x:c r="L57" s="98" t="str">
        <x:v>https://vnstocks.com/docs/vnstock/phan-tich-co-ban-fundamental</x:v>
      </x:c>
      <x:c r="M57" s="282" t="n">
        <x:v>46228.58256944444</x:v>
      </x:c>
    </x:row>
    <x:row r="58" ht="22" customHeight="1">
      <x:c r="A58" s="88" t="str">
        <x:v>balance_sheet</x:v>
      </x:c>
      <x:c r="B58" s="89" t="str">
        <x:v>provision_for_doubtful_lt_receivable</x:v>
      </x:c>
      <x:c r="C58" s="89" t="str">
        <x:v>Dự phòng phải thu dài hạn</x:v>
      </x:c>
      <x:c r="D58" s="89" t="str">
        <x:v>Provision for doubtful LT receivable</x:v>
      </x:c>
      <x:c r="E58" s="131" t="n">
        <x:v>0</x:v>
      </x:c>
      <x:c r="F58" s="131" t="n">
        <x:v>0</x:v>
      </x:c>
      <x:c r="G58" s="131" t="n">
        <x:v>0</x:v>
      </x:c>
      <x:c r="H58" s="131" t="n">
        <x:v>0</x:v>
      </x:c>
      <x:c r="I58" s="131" t="n">
        <x:v>0</x:v>
      </x:c>
      <x:c r="J58" s="89" t="str">
        <x:v>VND</x:v>
      </x:c>
      <x:c r="K58" s="89" t="str">
        <x:v>SRC-API01</x:v>
      </x:c>
      <x:c r="L58" s="98" t="str">
        <x:v>https://vnstocks.com/docs/vnstock/phan-tich-co-ban-fundamental</x:v>
      </x:c>
      <x:c r="M58" s="282" t="n">
        <x:v>46228.58256944444</x:v>
      </x:c>
    </x:row>
    <x:row r="59" ht="22" customHeight="1">
      <x:c r="A59" s="88" t="str">
        <x:v>balance_sheet</x:v>
      </x:c>
      <x:c r="B59" s="89" t="str">
        <x:v>fixed_assets</x:v>
      </x:c>
      <x:c r="C59" s="89" t="str">
        <x:v>Tài sản cố định</x:v>
      </x:c>
      <x:c r="D59" s="89" t="str">
        <x:v>Fixed assets</x:v>
      </x:c>
      <x:c r="E59" s="131" t="n">
        <x:v>3145986823900</x:v>
      </x:c>
      <x:c r="F59" s="131" t="n">
        <x:v>3262248898450</x:v>
      </x:c>
      <x:c r="G59" s="131" t="n">
        <x:v>4166026323789</x:v>
      </x:c>
      <x:c r="H59" s="131" t="n">
        <x:v>4033163455484</x:v>
      </x:c>
      <x:c r="I59" s="131" t="n">
        <x:v>5584162628010</x:v>
      </x:c>
      <x:c r="J59" s="89" t="str">
        <x:v>VND</x:v>
      </x:c>
      <x:c r="K59" s="89" t="str">
        <x:v>SRC-API01</x:v>
      </x:c>
      <x:c r="L59" s="98" t="str">
        <x:v>https://vnstocks.com/docs/vnstock/phan-tich-co-ban-fundamental</x:v>
      </x:c>
      <x:c r="M59" s="282" t="n">
        <x:v>46228.58256944444</x:v>
      </x:c>
    </x:row>
    <x:row r="60" ht="22" customHeight="1">
      <x:c r="A60" s="88" t="str">
        <x:v>balance_sheet</x:v>
      </x:c>
      <x:c r="B60" s="89" t="str">
        <x:v>tangible_fixed_assets</x:v>
      </x:c>
      <x:c r="C60" s="89" t="str">
        <x:v>GTCL TSCĐ hữu hình</x:v>
      </x:c>
      <x:c r="D60" s="89" t="str">
        <x:v>Tangible fixed assets</x:v>
      </x:c>
      <x:c r="E60" s="131" t="n">
        <x:v>2805698233139</x:v>
      </x:c>
      <x:c r="F60" s="131" t="n">
        <x:v>2956017737527</x:v>
      </x:c>
      <x:c r="G60" s="131" t="n">
        <x:v>3891229902798</x:v>
      </x:c>
      <x:c r="H60" s="131" t="n">
        <x:v>3786073252479</x:v>
      </x:c>
      <x:c r="I60" s="131" t="n">
        <x:v>5338735383830</x:v>
      </x:c>
      <x:c r="J60" s="89" t="str">
        <x:v>VND</x:v>
      </x:c>
      <x:c r="K60" s="89" t="str">
        <x:v>SRC-API01</x:v>
      </x:c>
      <x:c r="L60" s="98" t="str">
        <x:v>https://vnstocks.com/docs/vnstock/phan-tich-co-ban-fundamental</x:v>
      </x:c>
      <x:c r="M60" s="282" t="n">
        <x:v>46228.58256944444</x:v>
      </x:c>
    </x:row>
    <x:row r="61" ht="22" customHeight="1">
      <x:c r="A61" s="88" t="str">
        <x:v>balance_sheet</x:v>
      </x:c>
      <x:c r="B61" s="89" t="str">
        <x:v>cost</x:v>
      </x:c>
      <x:c r="C61" s="89" t="str">
        <x:v>Nguyên giá TSCĐ hữu hình</x:v>
      </x:c>
      <x:c r="D61" s="89" t="str">
        <x:v>Cost</x:v>
      </x:c>
      <x:c r="E61" s="131" t="n">
        <x:v>5224968556258</x:v>
      </x:c>
      <x:c r="F61" s="131" t="n">
        <x:v>5691418188210</x:v>
      </x:c>
      <x:c r="G61" s="131" t="n">
        <x:v>6234828104966</x:v>
      </x:c>
      <x:c r="H61" s="131" t="n">
        <x:v>6271975962063</x:v>
      </x:c>
      <x:c r="I61" s="131" t="n">
        <x:v>8164569860451</x:v>
      </x:c>
      <x:c r="J61" s="89" t="str">
        <x:v>VND</x:v>
      </x:c>
      <x:c r="K61" s="89" t="str">
        <x:v>SRC-API01</x:v>
      </x:c>
      <x:c r="L61" s="98" t="str">
        <x:v>https://vnstocks.com/docs/vnstock/phan-tich-co-ban-fundamental</x:v>
      </x:c>
      <x:c r="M61" s="282" t="n">
        <x:v>46228.58256944444</x:v>
      </x:c>
    </x:row>
    <x:row r="62" ht="22" customHeight="1">
      <x:c r="A62" s="88" t="str">
        <x:v>balance_sheet</x:v>
      </x:c>
      <x:c r="B62" s="89" t="str">
        <x:v>accumulated_depreciation</x:v>
      </x:c>
      <x:c r="C62" s="89" t="str">
        <x:v>Khấu hao lũy kế TSCĐ hữu hình</x:v>
      </x:c>
      <x:c r="D62" s="89" t="str">
        <x:v>Accumulated depreciation</x:v>
      </x:c>
      <x:c r="E62" s="131" t="n">
        <x:v>-2419270323119</x:v>
      </x:c>
      <x:c r="F62" s="131" t="n">
        <x:v>-2735400450683</x:v>
      </x:c>
      <x:c r="G62" s="131" t="n">
        <x:v>-2343598202168</x:v>
      </x:c>
      <x:c r="H62" s="131" t="n">
        <x:v>-2485902709584</x:v>
      </x:c>
      <x:c r="I62" s="131" t="n">
        <x:v>-2825834476621</x:v>
      </x:c>
      <x:c r="J62" s="89" t="str">
        <x:v>VND</x:v>
      </x:c>
      <x:c r="K62" s="89" t="str">
        <x:v>SRC-API01</x:v>
      </x:c>
      <x:c r="L62" s="98" t="str">
        <x:v>https://vnstocks.com/docs/vnstock/phan-tich-co-ban-fundamental</x:v>
      </x:c>
      <x:c r="M62" s="282" t="n">
        <x:v>46228.58256944444</x:v>
      </x:c>
    </x:row>
    <x:row r="63" ht="22" customHeight="1">
      <x:c r="A63" s="88" t="str">
        <x:v>balance_sheet</x:v>
      </x:c>
      <x:c r="B63" s="89" t="str">
        <x:v>finance_lease_assets</x:v>
      </x:c>
      <x:c r="C63" s="89" t="str">
        <x:v>GTCL tài sản thuê tài chính</x:v>
      </x:c>
      <x:c r="D63" s="89" t="str">
        <x:v>Finance lease assets</x:v>
      </x:c>
      <x:c r="E63" s="131" t="n">
        <x:v>78555811617</x:v>
      </x:c>
      <x:c r="F63" s="131" t="n">
        <x:v>44630763406</x:v>
      </x:c>
      <x:c r="G63" s="131" t="n">
        <x:v>16406414089</x:v>
      </x:c>
      <x:c r="H63" s="131" t="n">
        <x:v>9387685</x:v>
      </x:c>
      <x:c r="I63" s="131" t="n">
        <x:v>0</x:v>
      </x:c>
      <x:c r="J63" s="89" t="str">
        <x:v>VND</x:v>
      </x:c>
      <x:c r="K63" s="89" t="str">
        <x:v>SRC-API01</x:v>
      </x:c>
      <x:c r="L63" s="98" t="str">
        <x:v>https://vnstocks.com/docs/vnstock/phan-tich-co-ban-fundamental</x:v>
      </x:c>
      <x:c r="M63" s="282" t="n">
        <x:v>46228.58256944444</x:v>
      </x:c>
    </x:row>
    <x:row r="64" ht="22" customHeight="1">
      <x:c r="A64" s="88" t="str">
        <x:v>balance_sheet</x:v>
      </x:c>
      <x:c r="B64" s="89" t="str">
        <x:v>cost</x:v>
      </x:c>
      <x:c r="C64" s="89" t="str">
        <x:v>Nguyên giá tài sản thuê tài chính</x:v>
      </x:c>
      <x:c r="D64" s="89" t="str">
        <x:v>Cost</x:v>
      </x:c>
      <x:c r="E64" s="131" t="n">
        <x:v>235315786602</x:v>
      </x:c>
      <x:c r="F64" s="131" t="n">
        <x:v>235413682251</x:v>
      </x:c>
      <x:c r="G64" s="131" t="n">
        <x:v>235413682251</x:v>
      </x:c>
      <x:c r="H64" s="131" t="n">
        <x:v>235413682251</x:v>
      </x:c>
      <x:c r="I64" s="131" t="n">
        <x:v>259912568266</x:v>
      </x:c>
      <x:c r="J64" s="89" t="str">
        <x:v>VND</x:v>
      </x:c>
      <x:c r="K64" s="89" t="str">
        <x:v>SRC-API01</x:v>
      </x:c>
      <x:c r="L64" s="98" t="str">
        <x:v>https://vnstocks.com/docs/vnstock/phan-tich-co-ban-fundamental</x:v>
      </x:c>
      <x:c r="M64" s="282" t="n">
        <x:v>46228.58256944444</x:v>
      </x:c>
    </x:row>
    <x:row r="65" ht="22" customHeight="1">
      <x:c r="A65" s="88" t="str">
        <x:v>balance_sheet</x:v>
      </x:c>
      <x:c r="B65" s="89" t="str">
        <x:v>accumulated_depreciation</x:v>
      </x:c>
      <x:c r="C65" s="89" t="str">
        <x:v>Khấu hao lũy kế tài sản thuê tài chính</x:v>
      </x:c>
      <x:c r="D65" s="89" t="str">
        <x:v>Accumulated depreciation</x:v>
      </x:c>
      <x:c r="E65" s="131" t="n">
        <x:v>-156759974985</x:v>
      </x:c>
      <x:c r="F65" s="131" t="n">
        <x:v>-190782918845</x:v>
      </x:c>
      <x:c r="G65" s="131" t="n">
        <x:v>-219007268162</x:v>
      </x:c>
      <x:c r="H65" s="131" t="n">
        <x:v>-235404294566</x:v>
      </x:c>
      <x:c r="I65" s="131" t="n">
        <x:v>-259912568266</x:v>
      </x:c>
      <x:c r="J65" s="89" t="str">
        <x:v>VND</x:v>
      </x:c>
      <x:c r="K65" s="89" t="str">
        <x:v>SRC-API01</x:v>
      </x:c>
      <x:c r="L65" s="98" t="str">
        <x:v>https://vnstocks.com/docs/vnstock/phan-tich-co-ban-fundamental</x:v>
      </x:c>
      <x:c r="M65" s="282" t="n">
        <x:v>46228.58256944444</x:v>
      </x:c>
    </x:row>
    <x:row r="66" ht="22" customHeight="1">
      <x:c r="A66" s="88" t="str">
        <x:v>balance_sheet</x:v>
      </x:c>
      <x:c r="B66" s="89" t="str">
        <x:v>intangible_fixed_assets</x:v>
      </x:c>
      <x:c r="C66" s="89" t="str">
        <x:v>GTCL tài sản cố định vô hình</x:v>
      </x:c>
      <x:c r="D66" s="89" t="str">
        <x:v>Intangible fixed assets</x:v>
      </x:c>
      <x:c r="E66" s="131" t="n">
        <x:v>261732779144</x:v>
      </x:c>
      <x:c r="F66" s="131" t="n">
        <x:v>261600397517</x:v>
      </x:c>
      <x:c r="G66" s="131" t="n">
        <x:v>258390006902</x:v>
      </x:c>
      <x:c r="H66" s="131" t="n">
        <x:v>247080815320</x:v>
      </x:c>
      <x:c r="I66" s="131" t="n">
        <x:v>245427244180</x:v>
      </x:c>
      <x:c r="J66" s="89" t="str">
        <x:v>VND</x:v>
      </x:c>
      <x:c r="K66" s="89" t="str">
        <x:v>SRC-API01</x:v>
      </x:c>
      <x:c r="L66" s="98" t="str">
        <x:v>https://vnstocks.com/docs/vnstock/phan-tich-co-ban-fundamental</x:v>
      </x:c>
      <x:c r="M66" s="282" t="n">
        <x:v>46228.58256944444</x:v>
      </x:c>
    </x:row>
    <x:row r="67" ht="22" customHeight="1">
      <x:c r="A67" s="88" t="str">
        <x:v>balance_sheet</x:v>
      </x:c>
      <x:c r="B67" s="89" t="str">
        <x:v>cost</x:v>
      </x:c>
      <x:c r="C67" s="89" t="str">
        <x:v>Nguyên giá TSCĐ vô hình</x:v>
      </x:c>
      <x:c r="D67" s="89" t="str">
        <x:v>Cost</x:v>
      </x:c>
      <x:c r="E67" s="131" t="n">
        <x:v>364246908493</x:v>
      </x:c>
      <x:c r="F67" s="131" t="n">
        <x:v>377419689331</x:v>
      </x:c>
      <x:c r="G67" s="131" t="n">
        <x:v>382206554971</x:v>
      </x:c>
      <x:c r="H67" s="131" t="n">
        <x:v>377654306291</x:v>
      </x:c>
      <x:c r="I67" s="131" t="n">
        <x:v>390579655076</x:v>
      </x:c>
      <x:c r="J67" s="89" t="str">
        <x:v>VND</x:v>
      </x:c>
      <x:c r="K67" s="89" t="str">
        <x:v>SRC-API01</x:v>
      </x:c>
      <x:c r="L67" s="98" t="str">
        <x:v>https://vnstocks.com/docs/vnstock/phan-tich-co-ban-fundamental</x:v>
      </x:c>
      <x:c r="M67" s="282" t="n">
        <x:v>46228.58256944444</x:v>
      </x:c>
    </x:row>
    <x:row r="68" ht="22" customHeight="1">
      <x:c r="A68" s="88" t="str">
        <x:v>balance_sheet</x:v>
      </x:c>
      <x:c r="B68" s="89" t="str">
        <x:v>accumulated_depreciation</x:v>
      </x:c>
      <x:c r="C68" s="89" t="str">
        <x:v>Khấu hao lũy kế TSCĐ vô hình</x:v>
      </x:c>
      <x:c r="D68" s="89" t="str">
        <x:v>Accumulated depreciation</x:v>
      </x:c>
      <x:c r="E68" s="131" t="n">
        <x:v>-102514129349</x:v>
      </x:c>
      <x:c r="F68" s="131" t="n">
        <x:v>-115819291814</x:v>
      </x:c>
      <x:c r="G68" s="131" t="n">
        <x:v>-123816548069</x:v>
      </x:c>
      <x:c r="H68" s="131" t="n">
        <x:v>-130573490971</x:v>
      </x:c>
      <x:c r="I68" s="131" t="n">
        <x:v>-145152410896</x:v>
      </x:c>
      <x:c r="J68" s="89" t="str">
        <x:v>VND</x:v>
      </x:c>
      <x:c r="K68" s="89" t="str">
        <x:v>SRC-API01</x:v>
      </x:c>
      <x:c r="L68" s="98" t="str">
        <x:v>https://vnstocks.com/docs/vnstock/phan-tich-co-ban-fundamental</x:v>
      </x:c>
      <x:c r="M68" s="282" t="n">
        <x:v>46228.58256944444</x:v>
      </x:c>
    </x:row>
    <x:row r="69" ht="22" customHeight="1">
      <x:c r="A69" s="88" t="str">
        <x:v>balance_sheet</x:v>
      </x:c>
      <x:c r="B69" s="89" t="str">
        <x:v>construction_in_progress_before_2015</x:v>
      </x:c>
      <x:c r="C69" s="89" t="str">
        <x:v>Xây dựng cơ bản đang dang dở (trước 2015)</x:v>
      </x:c>
      <x:c r="D69" s="89" t="str">
        <x:v>Construction in progress (before 2015)</x:v>
      </x:c>
      <x:c r="E69" s="131" t="n">
        <x:v>0</x:v>
      </x:c>
      <x:c r="F69" s="131" t="n">
        <x:v>0</x:v>
      </x:c>
      <x:c r="G69" s="131" t="n">
        <x:v>0</x:v>
      </x:c>
      <x:c r="H69" s="131" t="n">
        <x:v>0</x:v>
      </x:c>
      <x:c r="I69" s="131" t="n">
        <x:v>0</x:v>
      </x:c>
      <x:c r="J69" s="89" t="str">
        <x:v>VND</x:v>
      </x:c>
      <x:c r="K69" s="89" t="str">
        <x:v>SRC-API01</x:v>
      </x:c>
      <x:c r="L69" s="98" t="str">
        <x:v>https://vnstocks.com/docs/vnstock/phan-tich-co-ban-fundamental</x:v>
      </x:c>
      <x:c r="M69" s="282" t="n">
        <x:v>46228.58256944444</x:v>
      </x:c>
    </x:row>
    <x:row r="70" ht="22" customHeight="1">
      <x:c r="A70" s="88" t="str">
        <x:v>balance_sheet</x:v>
      </x:c>
      <x:c r="B70" s="89" t="str">
        <x:v>investment_properties</x:v>
      </x:c>
      <x:c r="C70" s="89" t="str">
        <x:v>Giá trị ròng tài sản đầu tư</x:v>
      </x:c>
      <x:c r="D70" s="89" t="str">
        <x:v>Investment properties</x:v>
      </x:c>
      <x:c r="E70" s="131" t="n">
        <x:v>0</x:v>
      </x:c>
      <x:c r="F70" s="131" t="n">
        <x:v>0</x:v>
      </x:c>
      <x:c r="G70" s="131" t="n">
        <x:v>0</x:v>
      </x:c>
      <x:c r="H70" s="131" t="n">
        <x:v>0</x:v>
      </x:c>
      <x:c r="I70" s="131" t="n">
        <x:v>0</x:v>
      </x:c>
      <x:c r="J70" s="89" t="str">
        <x:v>VND</x:v>
      </x:c>
      <x:c r="K70" s="89" t="str">
        <x:v>SRC-API01</x:v>
      </x:c>
      <x:c r="L70" s="98" t="str">
        <x:v>https://vnstocks.com/docs/vnstock/phan-tich-co-ban-fundamental</x:v>
      </x:c>
      <x:c r="M70" s="282" t="n">
        <x:v>46228.58256944444</x:v>
      </x:c>
    </x:row>
    <x:row r="71" ht="22" customHeight="1">
      <x:c r="A71" s="88" t="str">
        <x:v>balance_sheet</x:v>
      </x:c>
      <x:c r="B71" s="89" t="str">
        <x:v>cost</x:v>
      </x:c>
      <x:c r="C71" s="89" t="str">
        <x:v>Nguyên giá tài sản đầu tư</x:v>
      </x:c>
      <x:c r="D71" s="89" t="str">
        <x:v>Cost</x:v>
      </x:c>
      <x:c r="E71" s="131" t="n">
        <x:v>0</x:v>
      </x:c>
      <x:c r="F71" s="131" t="n">
        <x:v>0</x:v>
      </x:c>
      <x:c r="G71" s="131" t="n">
        <x:v>0</x:v>
      </x:c>
      <x:c r="H71" s="131" t="n">
        <x:v>0</x:v>
      </x:c>
      <x:c r="I71" s="131" t="n">
        <x:v>0</x:v>
      </x:c>
      <x:c r="J71" s="89" t="str">
        <x:v>VND</x:v>
      </x:c>
      <x:c r="K71" s="89" t="str">
        <x:v>SRC-API01</x:v>
      </x:c>
      <x:c r="L71" s="98" t="str">
        <x:v>https://vnstocks.com/docs/vnstock/phan-tich-co-ban-fundamental</x:v>
      </x:c>
      <x:c r="M71" s="282" t="n">
        <x:v>46228.58256944444</x:v>
      </x:c>
    </x:row>
    <x:row r="72" ht="22" customHeight="1">
      <x:c r="A72" s="88" t="str">
        <x:v>balance_sheet</x:v>
      </x:c>
      <x:c r="B72" s="89" t="str">
        <x:v>accumulated_depreciation</x:v>
      </x:c>
      <x:c r="C72" s="89" t="str">
        <x:v>Khấu hao lũy kế tài sản đầu tư</x:v>
      </x:c>
      <x:c r="D72" s="89" t="str">
        <x:v>Accumulated depreciation</x:v>
      </x:c>
      <x:c r="E72" s="131" t="n">
        <x:v>0</x:v>
      </x:c>
      <x:c r="F72" s="131" t="n">
        <x:v>0</x:v>
      </x:c>
      <x:c r="G72" s="131" t="n">
        <x:v>0</x:v>
      </x:c>
      <x:c r="H72" s="131" t="n">
        <x:v>0</x:v>
      </x:c>
      <x:c r="I72" s="131" t="n">
        <x:v>0</x:v>
      </x:c>
      <x:c r="J72" s="89" t="str">
        <x:v>VND</x:v>
      </x:c>
      <x:c r="K72" s="89" t="str">
        <x:v>SRC-API01</x:v>
      </x:c>
      <x:c r="L72" s="98" t="str">
        <x:v>https://vnstocks.com/docs/vnstock/phan-tich-co-ban-fundamental</x:v>
      </x:c>
      <x:c r="M72" s="282" t="n">
        <x:v>46228.58256944444</x:v>
      </x:c>
    </x:row>
    <x:row r="73" ht="22" customHeight="1">
      <x:c r="A73" s="88" t="str">
        <x:v>balance_sheet</x:v>
      </x:c>
      <x:c r="B73" s="89" t="str">
        <x:v>long_term_investments</x:v>
      </x:c>
      <x:c r="C73" s="89" t="str">
        <x:v>Đầu tư dài hạn</x:v>
      </x:c>
      <x:c r="D73" s="89" t="str">
        <x:v>Long-term investments</x:v>
      </x:c>
      <x:c r="E73" s="131" t="n">
        <x:v>2830079468766</x:v>
      </x:c>
      <x:c r="F73" s="131" t="n">
        <x:v>3065414642104</x:v>
      </x:c>
      <x:c r="G73" s="131" t="n">
        <x:v>3124650970762</x:v>
      </x:c>
      <x:c r="H73" s="131" t="n">
        <x:v>3854379152187</x:v>
      </x:c>
      <x:c r="I73" s="131" t="n">
        <x:v>4867354146720</x:v>
      </x:c>
      <x:c r="J73" s="89" t="str">
        <x:v>VND</x:v>
      </x:c>
      <x:c r="K73" s="89" t="str">
        <x:v>SRC-API01</x:v>
      </x:c>
      <x:c r="L73" s="98" t="str">
        <x:v>https://vnstocks.com/docs/vnstock/phan-tich-co-ban-fundamental</x:v>
      </x:c>
      <x:c r="M73" s="282" t="n">
        <x:v>46228.58256944444</x:v>
      </x:c>
    </x:row>
    <x:row r="74" ht="22" customHeight="1">
      <x:c r="A74" s="88" t="str">
        <x:v>balance_sheet</x:v>
      </x:c>
      <x:c r="B74" s="89" t="str">
        <x:v>investments_in_subsidiaries</x:v>
      </x:c>
      <x:c r="C74" s="89" t="str">
        <x:v>Đầu tư vào các công ty con</x:v>
      </x:c>
      <x:c r="D74" s="89" t="str">
        <x:v>Investments in subsidiaries</x:v>
      </x:c>
      <x:c r="E74" s="131" t="n">
        <x:v>0</x:v>
      </x:c>
      <x:c r="F74" s="131" t="n">
        <x:v>0</x:v>
      </x:c>
      <x:c r="G74" s="131" t="n">
        <x:v>0</x:v>
      </x:c>
      <x:c r="H74" s="131" t="n">
        <x:v>0</x:v>
      </x:c>
      <x:c r="I74" s="131" t="n">
        <x:v>0</x:v>
      </x:c>
      <x:c r="J74" s="89" t="str">
        <x:v>VND</x:v>
      </x:c>
      <x:c r="K74" s="89" t="str">
        <x:v>SRC-API01</x:v>
      </x:c>
      <x:c r="L74" s="98" t="str">
        <x:v>https://vnstocks.com/docs/vnstock/phan-tich-co-ban-fundamental</x:v>
      </x:c>
      <x:c r="M74" s="282" t="n">
        <x:v>46228.58256944444</x:v>
      </x:c>
    </x:row>
    <x:row r="75" ht="22" customHeight="1">
      <x:c r="A75" s="88" t="str">
        <x:v>balance_sheet</x:v>
      </x:c>
      <x:c r="B75" s="89" t="str">
        <x:v>investments_in_associates</x:v>
      </x:c>
      <x:c r="C75" s="89" t="str">
        <x:v>Đầu tư vào các công ty liên kết</x:v>
      </x:c>
      <x:c r="D75" s="89" t="str">
        <x:v>Investments in associates</x:v>
      </x:c>
      <x:c r="E75" s="131" t="n">
        <x:v>2791754446590</x:v>
      </x:c>
      <x:c r="F75" s="131" t="n">
        <x:v>3025947265961</x:v>
      </x:c>
      <x:c r="G75" s="131" t="n">
        <x:v>3085037407601</x:v>
      </x:c>
      <x:c r="H75" s="131" t="n">
        <x:v>3805207996433</x:v>
      </x:c>
      <x:c r="I75" s="131" t="n">
        <x:v>4828102997796</x:v>
      </x:c>
      <x:c r="J75" s="89" t="str">
        <x:v>VND</x:v>
      </x:c>
      <x:c r="K75" s="89" t="str">
        <x:v>SRC-API01</x:v>
      </x:c>
      <x:c r="L75" s="98" t="str">
        <x:v>https://vnstocks.com/docs/vnstock/phan-tich-co-ban-fundamental</x:v>
      </x:c>
      <x:c r="M75" s="282" t="n">
        <x:v>46228.58256944444</x:v>
      </x:c>
    </x:row>
    <x:row r="76" ht="22" customHeight="1">
      <x:c r="A76" s="88" t="str">
        <x:v>balance_sheet</x:v>
      </x:c>
      <x:c r="B76" s="89" t="str">
        <x:v>other_long_term_investments</x:v>
      </x:c>
      <x:c r="C76" s="89" t="str">
        <x:v>Đầu tư dài hạn khác</x:v>
      </x:c>
      <x:c r="D76" s="89" t="str">
        <x:v>Other long-term investments</x:v>
      </x:c>
      <x:c r="E76" s="131" t="n">
        <x:v>41021599762</x:v>
      </x:c>
      <x:c r="F76" s="131" t="n">
        <x:v>41021599762</x:v>
      </x:c>
      <x:c r="G76" s="131" t="n">
        <x:v>41914287262</x:v>
      </x:c>
      <x:c r="H76" s="131" t="n">
        <x:v>41913687500</x:v>
      </x:c>
      <x:c r="I76" s="131" t="n">
        <x:v>41913687500</x:v>
      </x:c>
      <x:c r="J76" s="89" t="str">
        <x:v>VND</x:v>
      </x:c>
      <x:c r="K76" s="89" t="str">
        <x:v>SRC-API01</x:v>
      </x:c>
      <x:c r="L76" s="98" t="str">
        <x:v>https://vnstocks.com/docs/vnstock/phan-tich-co-ban-fundamental</x:v>
      </x:c>
      <x:c r="M76" s="282" t="n">
        <x:v>46228.58256944444</x:v>
      </x:c>
    </x:row>
    <x:row r="77" ht="22" customHeight="1">
      <x:c r="A77" s="88" t="str">
        <x:v>balance_sheet</x:v>
      </x:c>
      <x:c r="B77" s="89" t="str">
        <x:v>provision_for_long_term_investments</x:v>
      </x:c>
      <x:c r="C77" s="89" t="str">
        <x:v>Dự phòng giảm giá đầu tư dài hạn</x:v>
      </x:c>
      <x:c r="D77" s="89" t="str">
        <x:v>Provision for long-term investments</x:v>
      </x:c>
      <x:c r="E77" s="131" t="n">
        <x:v>-2696577586</x:v>
      </x:c>
      <x:c r="F77" s="131" t="n">
        <x:v>-1554223619</x:v>
      </x:c>
      <x:c r="G77" s="131" t="n">
        <x:v>-2300724101</x:v>
      </x:c>
      <x:c r="H77" s="131" t="n">
        <x:v>-2742531746</x:v>
      </x:c>
      <x:c r="I77" s="131" t="n">
        <x:v>-2662538576</x:v>
      </x:c>
      <x:c r="J77" s="89" t="str">
        <x:v>VND</x:v>
      </x:c>
      <x:c r="K77" s="89" t="str">
        <x:v>SRC-API01</x:v>
      </x:c>
      <x:c r="L77" s="98" t="str">
        <x:v>https://vnstocks.com/docs/vnstock/phan-tich-co-ban-fundamental</x:v>
      </x:c>
      <x:c r="M77" s="282" t="n">
        <x:v>46228.58256944444</x:v>
      </x:c>
    </x:row>
    <x:row r="78" ht="22" customHeight="1">
      <x:c r="A78" s="88" t="str">
        <x:v>balance_sheet</x:v>
      </x:c>
      <x:c r="B78" s="89" t="str">
        <x:v>goodwill_before_2015</x:v>
      </x:c>
      <x:c r="C78" s="89" t="str">
        <x:v>Lợi thế thương mại (trước 2015)</x:v>
      </x:c>
      <x:c r="D78" s="89" t="str">
        <x:v>Goodwill (before 2015)</x:v>
      </x:c>
      <x:c r="E78" s="131" t="n">
        <x:v>0</x:v>
      </x:c>
      <x:c r="F78" s="131" t="n">
        <x:v>0</x:v>
      </x:c>
      <x:c r="G78" s="131" t="n">
        <x:v>0</x:v>
      </x:c>
      <x:c r="H78" s="131" t="n">
        <x:v>0</x:v>
      </x:c>
      <x:c r="I78" s="131" t="n">
        <x:v>0</x:v>
      </x:c>
      <x:c r="J78" s="89" t="str">
        <x:v>VND</x:v>
      </x:c>
      <x:c r="K78" s="89" t="str">
        <x:v>SRC-API01</x:v>
      </x:c>
      <x:c r="L78" s="98" t="str">
        <x:v>https://vnstocks.com/docs/vnstock/phan-tich-co-ban-fundamental</x:v>
      </x:c>
      <x:c r="M78" s="282" t="n">
        <x:v>46228.58256944444</x:v>
      </x:c>
    </x:row>
    <x:row r="79" ht="22" customHeight="1">
      <x:c r="A79" s="88" t="str">
        <x:v>balance_sheet</x:v>
      </x:c>
      <x:c r="B79" s="89" t="str">
        <x:v>other_long_term_assets</x:v>
      </x:c>
      <x:c r="C79" s="89" t="str">
        <x:v>Tài sản dài hạn khác</x:v>
      </x:c>
      <x:c r="D79" s="89" t="str">
        <x:v>Other long-term assets</x:v>
      </x:c>
      <x:c r="E79" s="131" t="n">
        <x:v>1275188845217</x:v>
      </x:c>
      <x:c r="F79" s="131" t="n">
        <x:v>1249463624667</x:v>
      </x:c>
      <x:c r="G79" s="131" t="n">
        <x:v>1076047183844</x:v>
      </x:c>
      <x:c r="H79" s="131" t="n">
        <x:v>1673939611589</x:v>
      </x:c>
      <x:c r="I79" s="131" t="n">
        <x:v>1851899227133</x:v>
      </x:c>
      <x:c r="J79" s="89" t="str">
        <x:v>VND</x:v>
      </x:c>
      <x:c r="K79" s="89" t="str">
        <x:v>SRC-API01</x:v>
      </x:c>
      <x:c r="L79" s="98" t="str">
        <x:v>https://vnstocks.com/docs/vnstock/phan-tich-co-ban-fundamental</x:v>
      </x:c>
      <x:c r="M79" s="282" t="n">
        <x:v>46228.58256944444</x:v>
      </x:c>
    </x:row>
    <x:row r="80" ht="22" customHeight="1">
      <x:c r="A80" s="88" t="str">
        <x:v>balance_sheet</x:v>
      </x:c>
      <x:c r="B80" s="89" t="str">
        <x:v>long_term_prepayments</x:v>
      </x:c>
      <x:c r="C80" s="89" t="str">
        <x:v>Trả trước dài hạn</x:v>
      </x:c>
      <x:c r="D80" s="89" t="str">
        <x:v>Long-term prepayments</x:v>
      </x:c>
      <x:c r="E80" s="131" t="n">
        <x:v>928738640013</x:v>
      </x:c>
      <x:c r="F80" s="131" t="n">
        <x:v>911842875259</x:v>
      </x:c>
      <x:c r="G80" s="131" t="n">
        <x:v>732373580412</x:v>
      </x:c>
      <x:c r="H80" s="131" t="n">
        <x:v>1296472457506</x:v>
      </x:c>
      <x:c r="I80" s="131" t="n">
        <x:v>1361363395288</x:v>
      </x:c>
      <x:c r="J80" s="89" t="str">
        <x:v>VND</x:v>
      </x:c>
      <x:c r="K80" s="89" t="str">
        <x:v>SRC-API01</x:v>
      </x:c>
      <x:c r="L80" s="98" t="str">
        <x:v>https://vnstocks.com/docs/vnstock/phan-tich-co-ban-fundamental</x:v>
      </x:c>
      <x:c r="M80" s="282" t="n">
        <x:v>46228.58256944444</x:v>
      </x:c>
    </x:row>
    <x:row r="81" ht="22" customHeight="1">
      <x:c r="A81" s="88" t="str">
        <x:v>balance_sheet</x:v>
      </x:c>
      <x:c r="B81" s="89" t="str">
        <x:v>deferred_income_tax_assets</x:v>
      </x:c>
      <x:c r="C81" s="89" t="str">
        <x:v>Thuế thu nhập hoãn lại</x:v>
      </x:c>
      <x:c r="D81" s="89" t="str">
        <x:v>Deferred income tax assets</x:v>
      </x:c>
      <x:c r="E81" s="131" t="n">
        <x:v>132522325253</x:v>
      </x:c>
      <x:c r="F81" s="131" t="n">
        <x:v>151296466870</x:v>
      </x:c>
      <x:c r="G81" s="131" t="n">
        <x:v>184952918307</x:v>
      </x:c>
      <x:c r="H81" s="131" t="n">
        <x:v>246350066371</x:v>
      </x:c>
      <x:c r="I81" s="131" t="n">
        <x:v>357211942796</x:v>
      </x:c>
      <x:c r="J81" s="89" t="str">
        <x:v>VND</x:v>
      </x:c>
      <x:c r="K81" s="89" t="str">
        <x:v>SRC-API01</x:v>
      </x:c>
      <x:c r="L81" s="98" t="str">
        <x:v>https://vnstocks.com/docs/vnstock/phan-tich-co-ban-fundamental</x:v>
      </x:c>
      <x:c r="M81" s="282" t="n">
        <x:v>46228.58256944444</x:v>
      </x:c>
    </x:row>
    <x:row r="82" ht="22" customHeight="1">
      <x:c r="A82" s="88" t="str">
        <x:v>balance_sheet</x:v>
      </x:c>
      <x:c r="B82" s="89" t="str">
        <x:v>other_long_term_assets</x:v>
      </x:c>
      <x:c r="C82" s="89" t="str">
        <x:v>Các tài sản dài hạn khác</x:v>
      </x:c>
      <x:c r="D82" s="89" t="str">
        <x:v>Other long-term assets</x:v>
      </x:c>
      <x:c r="E82" s="131" t="n">
        <x:v>0</x:v>
      </x:c>
      <x:c r="F82" s="131" t="n">
        <x:v>0</x:v>
      </x:c>
      <x:c r="G82" s="131" t="n">
        <x:v>0</x:v>
      </x:c>
      <x:c r="H82" s="131" t="n">
        <x:v>0</x:v>
      </x:c>
      <x:c r="I82" s="131" t="n">
        <x:v>0</x:v>
      </x:c>
      <x:c r="J82" s="89" t="str">
        <x:v>VND</x:v>
      </x:c>
      <x:c r="K82" s="89" t="str">
        <x:v>SRC-API01</x:v>
      </x:c>
      <x:c r="L82" s="98" t="str">
        <x:v>https://vnstocks.com/docs/vnstock/phan-tich-co-ban-fundamental</x:v>
      </x:c>
      <x:c r="M82" s="282" t="n">
        <x:v>46228.58256944444</x:v>
      </x:c>
    </x:row>
    <x:row r="83" ht="22" customHeight="1">
      <x:c r="A83" s="88" t="str">
        <x:v>balance_sheet</x:v>
      </x:c>
      <x:c r="B83" s="89" t="str">
        <x:v>total_assets</x:v>
      </x:c>
      <x:c r="C83" s="89" t="str">
        <x:v>TỔNG CỘNG TÀI SẢN</x:v>
      </x:c>
      <x:c r="D83" s="89" t="str">
        <x:v>Total Assets</x:v>
      </x:c>
      <x:c r="E83" s="131" t="n">
        <x:v>10731211063284</x:v>
      </x:c>
      <x:c r="F83" s="131" t="n">
        <x:v>13030653009572</x:v>
      </x:c>
      <x:c r="G83" s="131" t="n">
        <x:v>13546025168428</x:v>
      </x:c>
      <x:c r="H83" s="131" t="n">
        <x:v>17997853312717</x:v>
      </x:c>
      <x:c r="I83" s="131" t="n">
        <x:v>19826401375577</x:v>
      </x:c>
      <x:c r="J83" s="89" t="str">
        <x:v>VND</x:v>
      </x:c>
      <x:c r="K83" s="89" t="str">
        <x:v>SRC-API01</x:v>
      </x:c>
      <x:c r="L83" s="98" t="str">
        <x:v>https://vnstocks.com/docs/vnstock/phan-tich-co-ban-fundamental</x:v>
      </x:c>
      <x:c r="M83" s="282" t="n">
        <x:v>46228.58256944444</x:v>
      </x:c>
    </x:row>
    <x:row r="84" ht="22" customHeight="1">
      <x:c r="A84" s="88" t="str">
        <x:v>balance_sheet</x:v>
      </x:c>
      <x:c r="B84" s="89" t="str">
        <x:v>liabilities</x:v>
      </x:c>
      <x:c r="C84" s="89" t="str">
        <x:v>NỢ PHẢI TRẢ</x:v>
      </x:c>
      <x:c r="D84" s="89" t="str">
        <x:v>Liabilities</x:v>
      </x:c>
      <x:c r="E84" s="131" t="n">
        <x:v>3686592691375</x:v>
      </x:c>
      <x:c r="F84" s="131" t="n">
        <x:v>5082896989616</x:v>
      </x:c>
      <x:c r="G84" s="131" t="n">
        <x:v>3813651116409</x:v>
      </x:c>
      <x:c r="H84" s="131" t="n">
        <x:v>4225927310161</x:v>
      </x:c>
      <x:c r="I84" s="131" t="n">
        <x:v>4908147222414</x:v>
      </x:c>
      <x:c r="J84" s="89" t="str">
        <x:v>VND</x:v>
      </x:c>
      <x:c r="K84" s="89" t="str">
        <x:v>SRC-API01</x:v>
      </x:c>
      <x:c r="L84" s="98" t="str">
        <x:v>https://vnstocks.com/docs/vnstock/phan-tich-co-ban-fundamental</x:v>
      </x:c>
      <x:c r="M84" s="282" t="n">
        <x:v>46228.58256944444</x:v>
      </x:c>
    </x:row>
    <x:row r="85" ht="22" customHeight="1">
      <x:c r="A85" s="88" t="str">
        <x:v>balance_sheet</x:v>
      </x:c>
      <x:c r="B85" s="89" t="str">
        <x:v>current_liabilities</x:v>
      </x:c>
      <x:c r="C85" s="89" t="str">
        <x:v>Nợ ngắn hạn</x:v>
      </x:c>
      <x:c r="D85" s="89" t="str">
        <x:v>Current liabilities</x:v>
      </x:c>
      <x:c r="E85" s="131" t="n">
        <x:v>2262720710817</x:v>
      </x:c>
      <x:c r="F85" s="131" t="n">
        <x:v>3210578779512</x:v>
      </x:c>
      <x:c r="G85" s="131" t="n">
        <x:v>1915337161256</x:v>
      </x:c>
      <x:c r="H85" s="131" t="n">
        <x:v>2100758451703</x:v>
      </x:c>
      <x:c r="I85" s="131" t="n">
        <x:v>2342521762972</x:v>
      </x:c>
      <x:c r="J85" s="89" t="str">
        <x:v>VND</x:v>
      </x:c>
      <x:c r="K85" s="89" t="str">
        <x:v>SRC-API01</x:v>
      </x:c>
      <x:c r="L85" s="98" t="str">
        <x:v>https://vnstocks.com/docs/vnstock/phan-tich-co-ban-fundamental</x:v>
      </x:c>
      <x:c r="M85" s="282" t="n">
        <x:v>46228.58256944444</x:v>
      </x:c>
    </x:row>
    <x:row r="86" ht="22" customHeight="1">
      <x:c r="A86" s="88" t="str">
        <x:v>balance_sheet</x:v>
      </x:c>
      <x:c r="B86" s="89" t="str">
        <x:v>short_term_borrowings</x:v>
      </x:c>
      <x:c r="C86" s="89" t="str">
        <x:v>Vay ngắn hạn</x:v>
      </x:c>
      <x:c r="D86" s="89" t="str">
        <x:v>Short-term borrowings</x:v>
      </x:c>
      <x:c r="E86" s="131" t="n">
        <x:v>860465960439</x:v>
      </x:c>
      <x:c r="F86" s="131" t="n">
        <x:v>543415455601</x:v>
      </x:c>
      <x:c r="G86" s="131" t="n">
        <x:v>445359774088</x:v>
      </x:c>
      <x:c r="H86" s="131" t="n">
        <x:v>422039710314</x:v>
      </x:c>
      <x:c r="I86" s="131" t="n">
        <x:v>307522460143</x:v>
      </x:c>
      <x:c r="J86" s="89" t="str">
        <x:v>VND</x:v>
      </x:c>
      <x:c r="K86" s="89" t="str">
        <x:v>SRC-API01</x:v>
      </x:c>
      <x:c r="L86" s="98" t="str">
        <x:v>https://vnstocks.com/docs/vnstock/phan-tich-co-ban-fundamental</x:v>
      </x:c>
      <x:c r="M86" s="282" t="n">
        <x:v>46228.58256944444</x:v>
      </x:c>
    </x:row>
    <x:row r="87" ht="22" customHeight="1">
      <x:c r="A87" s="88" t="str">
        <x:v>balance_sheet</x:v>
      </x:c>
      <x:c r="B87" s="89" t="str">
        <x:v>trade_accounts_payable</x:v>
      </x:c>
      <x:c r="C87" s="89" t="str">
        <x:v>Phải trả người bán</x:v>
      </x:c>
      <x:c r="D87" s="89" t="str">
        <x:v>Trade accounts payable</x:v>
      </x:c>
      <x:c r="E87" s="131" t="n">
        <x:v>380602578508</x:v>
      </x:c>
      <x:c r="F87" s="131" t="n">
        <x:v>838451012006</x:v>
      </x:c>
      <x:c r="G87" s="131" t="n">
        <x:v>517923905276</x:v>
      </x:c>
      <x:c r="H87" s="131" t="n">
        <x:v>486687090476</x:v>
      </x:c>
      <x:c r="I87" s="131" t="n">
        <x:v>686187347040</x:v>
      </x:c>
      <x:c r="J87" s="89" t="str">
        <x:v>VND</x:v>
      </x:c>
      <x:c r="K87" s="89" t="str">
        <x:v>SRC-API01</x:v>
      </x:c>
      <x:c r="L87" s="98" t="str">
        <x:v>https://vnstocks.com/docs/vnstock/phan-tich-co-ban-fundamental</x:v>
      </x:c>
      <x:c r="M87" s="282" t="n">
        <x:v>46228.58256944444</x:v>
      </x:c>
    </x:row>
    <x:row r="88" ht="22" customHeight="1">
      <x:c r="A88" s="88" t="str">
        <x:v>balance_sheet</x:v>
      </x:c>
      <x:c r="B88" s="89" t="str">
        <x:v>advances_from_customers</x:v>
      </x:c>
      <x:c r="C88" s="89" t="str">
        <x:v>Người mua trả tiền trước</x:v>
      </x:c>
      <x:c r="D88" s="89" t="str">
        <x:v>Advances from customers</x:v>
      </x:c>
      <x:c r="E88" s="131" t="n">
        <x:v>3225949982</x:v>
      </x:c>
      <x:c r="F88" s="131" t="n">
        <x:v>850107706</x:v>
      </x:c>
      <x:c r="G88" s="131" t="n">
        <x:v>3633365459</x:v>
      </x:c>
      <x:c r="H88" s="131" t="n">
        <x:v>7623946501</x:v>
      </x:c>
      <x:c r="I88" s="131" t="n">
        <x:v>9842248827</x:v>
      </x:c>
      <x:c r="J88" s="89" t="str">
        <x:v>VND</x:v>
      </x:c>
      <x:c r="K88" s="89" t="str">
        <x:v>SRC-API01</x:v>
      </x:c>
      <x:c r="L88" s="98" t="str">
        <x:v>https://vnstocks.com/docs/vnstock/phan-tich-co-ban-fundamental</x:v>
      </x:c>
      <x:c r="M88" s="282" t="n">
        <x:v>46228.58256944444</x:v>
      </x:c>
    </x:row>
    <x:row r="89" ht="22" customHeight="1">
      <x:c r="A89" s="88" t="str">
        <x:v>balance_sheet</x:v>
      </x:c>
      <x:c r="B89" s="89" t="str">
        <x:v>taxes_and_other_payable_to_state_budget</x:v>
      </x:c>
      <x:c r="C89" s="89" t="str">
        <x:v>Thuế và các khoản phải trả Nhà nước</x:v>
      </x:c>
      <x:c r="D89" s="89" t="str">
        <x:v>Taxes and other payable to State Budget</x:v>
      </x:c>
      <x:c r="E89" s="131" t="n">
        <x:v>26969535358</x:v>
      </x:c>
      <x:c r="F89" s="131" t="n">
        <x:v>90367384854</x:v>
      </x:c>
      <x:c r="G89" s="131" t="n">
        <x:v>73690792494</x:v>
      </x:c>
      <x:c r="H89" s="131" t="n">
        <x:v>66884521512</x:v>
      </x:c>
      <x:c r="I89" s="131" t="n">
        <x:v>160122507614</x:v>
      </x:c>
      <x:c r="J89" s="89" t="str">
        <x:v>VND</x:v>
      </x:c>
      <x:c r="K89" s="89" t="str">
        <x:v>SRC-API01</x:v>
      </x:c>
      <x:c r="L89" s="98" t="str">
        <x:v>https://vnstocks.com/docs/vnstock/phan-tich-co-ban-fundamental</x:v>
      </x:c>
      <x:c r="M89" s="282" t="n">
        <x:v>46228.58256944444</x:v>
      </x:c>
    </x:row>
    <x:row r="90" ht="22" customHeight="1">
      <x:c r="A90" s="88" t="str">
        <x:v>balance_sheet</x:v>
      </x:c>
      <x:c r="B90" s="89" t="str">
        <x:v>payable_to_employees</x:v>
      </x:c>
      <x:c r="C90" s="89" t="str">
        <x:v>Phải trả người lao động</x:v>
      </x:c>
      <x:c r="D90" s="89" t="str">
        <x:v>Payable to employees</x:v>
      </x:c>
      <x:c r="E90" s="131" t="n">
        <x:v>64454457848</x:v>
      </x:c>
      <x:c r="F90" s="131" t="n">
        <x:v>103770676029</x:v>
      </x:c>
      <x:c r="G90" s="131" t="n">
        <x:v>139907411400</x:v>
      </x:c>
      <x:c r="H90" s="131" t="n">
        <x:v>191939767748</x:v>
      </x:c>
      <x:c r="I90" s="131" t="n">
        <x:v>220540081914</x:v>
      </x:c>
      <x:c r="J90" s="89" t="str">
        <x:v>VND</x:v>
      </x:c>
      <x:c r="K90" s="89" t="str">
        <x:v>SRC-API01</x:v>
      </x:c>
      <x:c r="L90" s="98" t="str">
        <x:v>https://vnstocks.com/docs/vnstock/phan-tich-co-ban-fundamental</x:v>
      </x:c>
      <x:c r="M90" s="282" t="n">
        <x:v>46228.58256944444</x:v>
      </x:c>
    </x:row>
    <x:row r="91" ht="22" customHeight="1">
      <x:c r="A91" s="88" t="str">
        <x:v>balance_sheet</x:v>
      </x:c>
      <x:c r="B91" s="89" t="str">
        <x:v>accrued_expenses</x:v>
      </x:c>
      <x:c r="C91" s="89" t="str">
        <x:v>Chi phí phải trả</x:v>
      </x:c>
      <x:c r="D91" s="89" t="str">
        <x:v>Accrued expenses</x:v>
      </x:c>
      <x:c r="E91" s="131" t="n">
        <x:v>451189725415</x:v>
      </x:c>
      <x:c r="F91" s="131" t="n">
        <x:v>194384229842</x:v>
      </x:c>
      <x:c r="G91" s="131" t="n">
        <x:v>318155045124</x:v>
      </x:c>
      <x:c r="H91" s="131" t="n">
        <x:v>230198605012</x:v>
      </x:c>
      <x:c r="I91" s="131" t="n">
        <x:v>375331544065</x:v>
      </x:c>
      <x:c r="J91" s="89" t="str">
        <x:v>VND</x:v>
      </x:c>
      <x:c r="K91" s="89" t="str">
        <x:v>SRC-API01</x:v>
      </x:c>
      <x:c r="L91" s="98" t="str">
        <x:v>https://vnstocks.com/docs/vnstock/phan-tich-co-ban-fundamental</x:v>
      </x:c>
      <x:c r="M91" s="282" t="n">
        <x:v>46228.58256944444</x:v>
      </x:c>
    </x:row>
    <x:row r="92" ht="22" customHeight="1">
      <x:c r="A92" s="88" t="str">
        <x:v>balance_sheet</x:v>
      </x:c>
      <x:c r="B92" s="89" t="str">
        <x:v>intercompany_payables</x:v>
      </x:c>
      <x:c r="C92" s="89" t="str">
        <x:v>Phải trả nội bộ</x:v>
      </x:c>
      <x:c r="D92" s="89" t="str">
        <x:v>Intercompany payables</x:v>
      </x:c>
      <x:c r="E92" s="131" t="n">
        <x:v>0</x:v>
      </x:c>
      <x:c r="F92" s="131" t="n">
        <x:v>0</x:v>
      </x:c>
      <x:c r="G92" s="131" t="n">
        <x:v>0</x:v>
      </x:c>
      <x:c r="H92" s="131" t="n">
        <x:v>0</x:v>
      </x:c>
      <x:c r="I92" s="131" t="n">
        <x:v>0</x:v>
      </x:c>
      <x:c r="J92" s="89" t="str">
        <x:v>VND</x:v>
      </x:c>
      <x:c r="K92" s="89" t="str">
        <x:v>SRC-API01</x:v>
      </x:c>
      <x:c r="L92" s="98" t="str">
        <x:v>https://vnstocks.com/docs/vnstock/phan-tich-co-ban-fundamental</x:v>
      </x:c>
      <x:c r="M92" s="282" t="n">
        <x:v>46228.58256944444</x:v>
      </x:c>
    </x:row>
    <x:row r="93" ht="22" customHeight="1">
      <x:c r="A93" s="88" t="str">
        <x:v>balance_sheet</x:v>
      </x:c>
      <x:c r="B93" s="89" t="str">
        <x:v>construction_contract_in_progress_payables</x:v>
      </x:c>
      <x:c r="C93" s="89" t="str">
        <x:v>Phải trả về xây dựng cơ bản</x:v>
      </x:c>
      <x:c r="D93" s="89" t="str">
        <x:v>Construction contract in progress payables</x:v>
      </x:c>
      <x:c r="E93" s="131" t="n">
        <x:v>0</x:v>
      </x:c>
      <x:c r="F93" s="131" t="n">
        <x:v>0</x:v>
      </x:c>
      <x:c r="G93" s="131" t="n">
        <x:v>0</x:v>
      </x:c>
      <x:c r="H93" s="131" t="n">
        <x:v>0</x:v>
      </x:c>
      <x:c r="I93" s="131" t="n">
        <x:v>0</x:v>
      </x:c>
      <x:c r="J93" s="89" t="str">
        <x:v>VND</x:v>
      </x:c>
      <x:c r="K93" s="89" t="str">
        <x:v>SRC-API01</x:v>
      </x:c>
      <x:c r="L93" s="98" t="str">
        <x:v>https://vnstocks.com/docs/vnstock/phan-tich-co-ban-fundamental</x:v>
      </x:c>
      <x:c r="M93" s="282" t="n">
        <x:v>46228.58256944444</x:v>
      </x:c>
    </x:row>
    <x:row r="94" ht="22" customHeight="1">
      <x:c r="A94" s="88" t="str">
        <x:v>balance_sheet</x:v>
      </x:c>
      <x:c r="B94" s="89" t="str">
        <x:v>other_payables</x:v>
      </x:c>
      <x:c r="C94" s="89" t="str">
        <x:v>Phải trả khác</x:v>
      </x:c>
      <x:c r="D94" s="89" t="str">
        <x:v>Other payables</x:v>
      </x:c>
      <x:c r="E94" s="131" t="n">
        <x:v>275828752674</x:v>
      </x:c>
      <x:c r="F94" s="131" t="n">
        <x:v>1271033316489</x:v>
      </x:c>
      <x:c r="G94" s="131" t="n">
        <x:v>306758506379</x:v>
      </x:c>
      <x:c r="H94" s="131" t="n">
        <x:v>481595911721</x:v>
      </x:c>
      <x:c r="I94" s="131" t="n">
        <x:v>330880457160</x:v>
      </x:c>
      <x:c r="J94" s="89" t="str">
        <x:v>VND</x:v>
      </x:c>
      <x:c r="K94" s="89" t="str">
        <x:v>SRC-API01</x:v>
      </x:c>
      <x:c r="L94" s="98" t="str">
        <x:v>https://vnstocks.com/docs/vnstock/phan-tich-co-ban-fundamental</x:v>
      </x:c>
      <x:c r="M94" s="282" t="n">
        <x:v>46228.58256944444</x:v>
      </x:c>
    </x:row>
    <x:row r="95" ht="22" customHeight="1">
      <x:c r="A95" s="88" t="str">
        <x:v>balance_sheet</x:v>
      </x:c>
      <x:c r="B95" s="89" t="str">
        <x:v>provision_for_st_liabilities</x:v>
      </x:c>
      <x:c r="C95" s="89" t="str">
        <x:v>Dự phòng các khoản phải trả ngắn hạn</x:v>
      </x:c>
      <x:c r="D95" s="89" t="str">
        <x:v>Provision for ST liabilities</x:v>
      </x:c>
      <x:c r="E95" s="131" t="n">
        <x:v>141615822845</x:v>
      </x:c>
      <x:c r="F95" s="131" t="n">
        <x:v>103805971767</x:v>
      </x:c>
      <x:c r="G95" s="131" t="n">
        <x:v>52001501539</x:v>
      </x:c>
      <x:c r="H95" s="131" t="n">
        <x:v>148305353998</x:v>
      </x:c>
      <x:c r="I95" s="131" t="n">
        <x:v>139362430397</x:v>
      </x:c>
      <x:c r="J95" s="89" t="str">
        <x:v>VND</x:v>
      </x:c>
      <x:c r="K95" s="89" t="str">
        <x:v>SRC-API01</x:v>
      </x:c>
      <x:c r="L95" s="98" t="str">
        <x:v>https://vnstocks.com/docs/vnstock/phan-tich-co-ban-fundamental</x:v>
      </x:c>
      <x:c r="M95" s="282" t="n">
        <x:v>46228.58256944444</x:v>
      </x:c>
    </x:row>
    <x:row r="96" ht="22" customHeight="1">
      <x:c r="A96" s="88" t="str">
        <x:v>balance_sheet</x:v>
      </x:c>
      <x:c r="B96" s="89" t="str">
        <x:v>bonus_and_welfare_funds</x:v>
      </x:c>
      <x:c r="C96" s="89" t="str">
        <x:v>Quỹ khen thưởng, phúc lợi</x:v>
      </x:c>
      <x:c r="D96" s="89" t="str">
        <x:v>Bonus and welfare funds</x:v>
      </x:c>
      <x:c r="E96" s="131" t="n">
        <x:v>57053572584</x:v>
      </x:c>
      <x:c r="F96" s="131" t="n">
        <x:v>63461530454</x:v>
      </x:c>
      <x:c r="G96" s="131" t="n">
        <x:v>49429256622</x:v>
      </x:c>
      <x:c r="H96" s="131" t="n">
        <x:v>64267468537</x:v>
      </x:c>
      <x:c r="I96" s="131" t="n">
        <x:v>104956718794</x:v>
      </x:c>
      <x:c r="J96" s="89" t="str">
        <x:v>VND</x:v>
      </x:c>
      <x:c r="K96" s="89" t="str">
        <x:v>SRC-API01</x:v>
      </x:c>
      <x:c r="L96" s="98" t="str">
        <x:v>https://vnstocks.com/docs/vnstock/phan-tich-co-ban-fundamental</x:v>
      </x:c>
      <x:c r="M96" s="282" t="n">
        <x:v>46228.58256944444</x:v>
      </x:c>
    </x:row>
    <x:row r="97" ht="22" customHeight="1">
      <x:c r="A97" s="88" t="str">
        <x:v>balance_sheet</x:v>
      </x:c>
      <x:c r="B97" s="89" t="str">
        <x:v>long_term_liabilities</x:v>
      </x:c>
      <x:c r="C97" s="89" t="str">
        <x:v>Nợ dài hạn</x:v>
      </x:c>
      <x:c r="D97" s="89" t="str">
        <x:v>Long-term liabilities</x:v>
      </x:c>
      <x:c r="E97" s="131" t="n">
        <x:v>1423871980558</x:v>
      </x:c>
      <x:c r="F97" s="131" t="n">
        <x:v>1872318210104</x:v>
      </x:c>
      <x:c r="G97" s="131" t="n">
        <x:v>1898313955153</x:v>
      </x:c>
      <x:c r="H97" s="131" t="n">
        <x:v>2125168858458</x:v>
      </x:c>
      <x:c r="I97" s="131" t="n">
        <x:v>2565625459442</x:v>
      </x:c>
      <x:c r="J97" s="89" t="str">
        <x:v>VND</x:v>
      </x:c>
      <x:c r="K97" s="89" t="str">
        <x:v>SRC-API01</x:v>
      </x:c>
      <x:c r="L97" s="98" t="str">
        <x:v>https://vnstocks.com/docs/vnstock/phan-tich-co-ban-fundamental</x:v>
      </x:c>
      <x:c r="M97" s="282" t="n">
        <x:v>46228.58256944444</x:v>
      </x:c>
    </x:row>
    <x:row r="98" ht="22" customHeight="1">
      <x:c r="A98" s="88" t="str">
        <x:v>balance_sheet</x:v>
      </x:c>
      <x:c r="B98" s="89" t="str">
        <x:v>long_term_trade_payables</x:v>
      </x:c>
      <x:c r="C98" s="89" t="str">
        <x:v>Phải trả nhà cung cấp dài hạn</x:v>
      </x:c>
      <x:c r="D98" s="89" t="str">
        <x:v>Long-term trade payables</x:v>
      </x:c>
      <x:c r="E98" s="131" t="n">
        <x:v>0</x:v>
      </x:c>
      <x:c r="F98" s="131" t="n">
        <x:v>0</x:v>
      </x:c>
      <x:c r="G98" s="131" t="n">
        <x:v>0</x:v>
      </x:c>
      <x:c r="H98" s="131" t="n">
        <x:v>0</x:v>
      </x:c>
      <x:c r="I98" s="131" t="n">
        <x:v>0</x:v>
      </x:c>
      <x:c r="J98" s="89" t="str">
        <x:v>VND</x:v>
      </x:c>
      <x:c r="K98" s="89" t="str">
        <x:v>SRC-API01</x:v>
      </x:c>
      <x:c r="L98" s="98" t="str">
        <x:v>https://vnstocks.com/docs/vnstock/phan-tich-co-ban-fundamental</x:v>
      </x:c>
      <x:c r="M98" s="282" t="n">
        <x:v>46228.58256944444</x:v>
      </x:c>
    </x:row>
    <x:row r="99" ht="22" customHeight="1">
      <x:c r="A99" s="88" t="str">
        <x:v>balance_sheet</x:v>
      </x:c>
      <x:c r="B99" s="89" t="str">
        <x:v>long_term_intercompany_payables</x:v>
      </x:c>
      <x:c r="C99" s="89" t="str">
        <x:v>Phải trả nội bộ dài hạn</x:v>
      </x:c>
      <x:c r="D99" s="89" t="str">
        <x:v>Long-term intercompany payables</x:v>
      </x:c>
      <x:c r="E99" s="131" t="n">
        <x:v>0</x:v>
      </x:c>
      <x:c r="F99" s="131" t="n">
        <x:v>0</x:v>
      </x:c>
      <x:c r="G99" s="131" t="n">
        <x:v>0</x:v>
      </x:c>
      <x:c r="H99" s="131" t="n">
        <x:v>0</x:v>
      </x:c>
      <x:c r="I99" s="131" t="n">
        <x:v>0</x:v>
      </x:c>
      <x:c r="J99" s="89" t="str">
        <x:v>VND</x:v>
      </x:c>
      <x:c r="K99" s="89" t="str">
        <x:v>SRC-API01</x:v>
      </x:c>
      <x:c r="L99" s="98" t="str">
        <x:v>https://vnstocks.com/docs/vnstock/phan-tich-co-ban-fundamental</x:v>
      </x:c>
      <x:c r="M99" s="282" t="n">
        <x:v>46228.58256944444</x:v>
      </x:c>
    </x:row>
    <x:row r="100" ht="22" customHeight="1">
      <x:c r="A100" s="88" t="str">
        <x:v>balance_sheet</x:v>
      </x:c>
      <x:c r="B100" s="89" t="str">
        <x:v>other_long_term_payables</x:v>
      </x:c>
      <x:c r="C100" s="89" t="str">
        <x:v>Phải trả dài hạn khác</x:v>
      </x:c>
      <x:c r="D100" s="89" t="str">
        <x:v>Other long-term payables</x:v>
      </x:c>
      <x:c r="E100" s="131" t="n">
        <x:v>86409739072</x:v>
      </x:c>
      <x:c r="F100" s="131" t="n">
        <x:v>95551626200</x:v>
      </x:c>
      <x:c r="G100" s="131" t="n">
        <x:v>104658652936</x:v>
      </x:c>
      <x:c r="H100" s="131" t="n">
        <x:v>115705220528</x:v>
      </x:c>
      <x:c r="I100" s="131" t="n">
        <x:v>231012177679</x:v>
      </x:c>
      <x:c r="J100" s="89" t="str">
        <x:v>VND</x:v>
      </x:c>
      <x:c r="K100" s="89" t="str">
        <x:v>SRC-API01</x:v>
      </x:c>
      <x:c r="L100" s="98" t="str">
        <x:v>https://vnstocks.com/docs/vnstock/phan-tich-co-ban-fundamental</x:v>
      </x:c>
      <x:c r="M100" s="282" t="n">
        <x:v>46228.58256944444</x:v>
      </x:c>
    </x:row>
    <x:row r="101" ht="22" customHeight="1">
      <x:c r="A101" s="88" t="str">
        <x:v>balance_sheet</x:v>
      </x:c>
      <x:c r="B101" s="89" t="str">
        <x:v>long_term_borrowings</x:v>
      </x:c>
      <x:c r="C101" s="89" t="str">
        <x:v>Vay dài hạn</x:v>
      </x:c>
      <x:c r="D101" s="89" t="str">
        <x:v>Long-term borrowings</x:v>
      </x:c>
      <x:c r="E101" s="131" t="n">
        <x:v>1061243655583</x:v>
      </x:c>
      <x:c r="F101" s="131" t="n">
        <x:v>1486163237413</x:v>
      </x:c>
      <x:c r="G101" s="131" t="n">
        <x:v>1518388232315</x:v>
      </x:c>
      <x:c r="H101" s="131" t="n">
        <x:v>1745343469594</x:v>
      </x:c>
      <x:c r="I101" s="131" t="n">
        <x:v>2081640014993</x:v>
      </x:c>
      <x:c r="J101" s="89" t="str">
        <x:v>VND</x:v>
      </x:c>
      <x:c r="K101" s="89" t="str">
        <x:v>SRC-API01</x:v>
      </x:c>
      <x:c r="L101" s="98" t="str">
        <x:v>https://vnstocks.com/docs/vnstock/phan-tich-co-ban-fundamental</x:v>
      </x:c>
      <x:c r="M101" s="282" t="n">
        <x:v>46228.58256944444</x:v>
      </x:c>
    </x:row>
    <x:row r="102" ht="22" customHeight="1">
      <x:c r="A102" s="88" t="str">
        <x:v>balance_sheet</x:v>
      </x:c>
      <x:c r="B102" s="89" t="str">
        <x:v>deferred_income_tax_liabilities</x:v>
      </x:c>
      <x:c r="C102" s="89" t="str">
        <x:v>Thuế thu nhập hoãn lại</x:v>
      </x:c>
      <x:c r="D102" s="89" t="str">
        <x:v>Deferred income tax liabilities</x:v>
      </x:c>
      <x:c r="E102" s="131" t="n">
        <x:v>0</x:v>
      </x:c>
      <x:c r="F102" s="131" t="n">
        <x:v>0</x:v>
      </x:c>
      <x:c r="G102" s="131" t="n">
        <x:v>0</x:v>
      </x:c>
      <x:c r="H102" s="131" t="n">
        <x:v>0</x:v>
      </x:c>
      <x:c r="I102" s="131" t="n">
        <x:v>0</x:v>
      </x:c>
      <x:c r="J102" s="89" t="str">
        <x:v>VND</x:v>
      </x:c>
      <x:c r="K102" s="89" t="str">
        <x:v>SRC-API01</x:v>
      </x:c>
      <x:c r="L102" s="98" t="str">
        <x:v>https://vnstocks.com/docs/vnstock/phan-tich-co-ban-fundamental</x:v>
      </x:c>
      <x:c r="M102" s="282" t="n">
        <x:v>46228.58256944444</x:v>
      </x:c>
    </x:row>
    <x:row r="103" ht="22" customHeight="1">
      <x:c r="A103" s="88" t="str">
        <x:v>balance_sheet</x:v>
      </x:c>
      <x:c r="B103" s="89" t="str">
        <x:v>provision_for_severance_allowances</x:v>
      </x:c>
      <x:c r="C103" s="89" t="str">
        <x:v>Dự phòng trợ cấp thôi việc</x:v>
      </x:c>
      <x:c r="D103" s="89" t="str">
        <x:v>Provision for severance allowances</x:v>
      </x:c>
      <x:c r="E103" s="131" t="n">
        <x:v>0</x:v>
      </x:c>
      <x:c r="F103" s="131" t="n">
        <x:v>0</x:v>
      </x:c>
      <x:c r="G103" s="131" t="n">
        <x:v>0</x:v>
      </x:c>
      <x:c r="H103" s="131" t="n">
        <x:v>0</x:v>
      </x:c>
      <x:c r="I103" s="131" t="n">
        <x:v>0</x:v>
      </x:c>
      <x:c r="J103" s="89" t="str">
        <x:v>VND</x:v>
      </x:c>
      <x:c r="K103" s="89" t="str">
        <x:v>SRC-API01</x:v>
      </x:c>
      <x:c r="L103" s="98" t="str">
        <x:v>https://vnstocks.com/docs/vnstock/phan-tich-co-ban-fundamental</x:v>
      </x:c>
      <x:c r="M103" s="282" t="n">
        <x:v>46228.58256944444</x:v>
      </x:c>
    </x:row>
    <x:row r="104" ht="22" customHeight="1">
      <x:c r="A104" s="88" t="str">
        <x:v>balance_sheet</x:v>
      </x:c>
      <x:c r="B104" s="89" t="str">
        <x:v>provision_for_long_term_liabilities</x:v>
      </x:c>
      <x:c r="C104" s="89" t="str">
        <x:v>Dự phòng các khoản nợ dài hạn</x:v>
      </x:c>
      <x:c r="D104" s="89" t="str">
        <x:v>Provision for long-term liabilities</x:v>
      </x:c>
      <x:c r="E104" s="131" t="n">
        <x:v>0</x:v>
      </x:c>
      <x:c r="F104" s="131" t="n">
        <x:v>0</x:v>
      </x:c>
      <x:c r="G104" s="131" t="n">
        <x:v>0</x:v>
      </x:c>
      <x:c r="H104" s="131" t="n">
        <x:v>0</x:v>
      </x:c>
      <x:c r="I104" s="131" t="n">
        <x:v>0</x:v>
      </x:c>
      <x:c r="J104" s="89" t="str">
        <x:v>VND</x:v>
      </x:c>
      <x:c r="K104" s="89" t="str">
        <x:v>SRC-API01</x:v>
      </x:c>
      <x:c r="L104" s="98" t="str">
        <x:v>https://vnstocks.com/docs/vnstock/phan-tich-co-ban-fundamental</x:v>
      </x:c>
      <x:c r="M104" s="282" t="n">
        <x:v>46228.58256944444</x:v>
      </x:c>
    </x:row>
    <x:row r="105" ht="22" customHeight="1">
      <x:c r="A105" s="88" t="str">
        <x:v>balance_sheet</x:v>
      </x:c>
      <x:c r="B105" s="89" t="str">
        <x:v>deferred_revenue</x:v>
      </x:c>
      <x:c r="C105" s="89" t="str">
        <x:v>Doanh thu chưa thực hiện</x:v>
      </x:c>
      <x:c r="D105" s="89" t="str">
        <x:v>Deferred revenue</x:v>
      </x:c>
      <x:c r="E105" s="131" t="n">
        <x:v>276218585903</x:v>
      </x:c>
      <x:c r="F105" s="131" t="n">
        <x:v>290603346491</x:v>
      </x:c>
      <x:c r="G105" s="131" t="n">
        <x:v>275267069902</x:v>
      </x:c>
      <x:c r="H105" s="131" t="n">
        <x:v>264120168336</x:v>
      </x:c>
      <x:c r="I105" s="131" t="n">
        <x:v>252973266770</x:v>
      </x:c>
      <x:c r="J105" s="89" t="str">
        <x:v>VND</x:v>
      </x:c>
      <x:c r="K105" s="89" t="str">
        <x:v>SRC-API01</x:v>
      </x:c>
      <x:c r="L105" s="98" t="str">
        <x:v>https://vnstocks.com/docs/vnstock/phan-tich-co-ban-fundamental</x:v>
      </x:c>
      <x:c r="M105" s="282" t="n">
        <x:v>46228.58256944444</x:v>
      </x:c>
    </x:row>
    <x:row r="106" ht="22" customHeight="1">
      <x:c r="A106" s="88" t="str">
        <x:v>balance_sheet</x:v>
      </x:c>
      <x:c r="B106" s="89" t="str">
        <x:v>technology_science_development_fund</x:v>
      </x:c>
      <x:c r="C106" s="89" t="str">
        <x:v>Quỹ phát triển khoa học công nghệ</x:v>
      </x:c>
      <x:c r="D106" s="89" t="str">
        <x:v>Technology-science development fund</x:v>
      </x:c>
      <x:c r="E106" s="131" t="n">
        <x:v>0</x:v>
      </x:c>
      <x:c r="F106" s="131" t="n">
        <x:v>0</x:v>
      </x:c>
      <x:c r="G106" s="131" t="n">
        <x:v>0</x:v>
      </x:c>
      <x:c r="H106" s="131" t="n">
        <x:v>0</x:v>
      </x:c>
      <x:c r="I106" s="131" t="n">
        <x:v>0</x:v>
      </x:c>
      <x:c r="J106" s="89" t="str">
        <x:v>VND</x:v>
      </x:c>
      <x:c r="K106" s="89" t="str">
        <x:v>SRC-API01</x:v>
      </x:c>
      <x:c r="L106" s="98" t="str">
        <x:v>https://vnstocks.com/docs/vnstock/phan-tich-co-ban-fundamental</x:v>
      </x:c>
      <x:c r="M106" s="282" t="n">
        <x:v>46228.58256944444</x:v>
      </x:c>
    </x:row>
    <x:row r="107" ht="22" customHeight="1">
      <x:c r="A107" s="88" t="str">
        <x:v>balance_sheet</x:v>
      </x:c>
      <x:c r="B107" s="89" t="str">
        <x:v>owners_equity</x:v>
      </x:c>
      <x:c r="C107" s="89" t="str">
        <x:v>Vốn chủ sở hữu</x:v>
      </x:c>
      <x:c r="D107" s="89" t="str">
        <x:v>Owner's Equity</x:v>
      </x:c>
      <x:c r="E107" s="131" t="n">
        <x:v>7044618371909</x:v>
      </x:c>
      <x:c r="F107" s="131" t="n">
        <x:v>7947756019956</x:v>
      </x:c>
      <x:c r="G107" s="131" t="n">
        <x:v>9732374052019</x:v>
      </x:c>
      <x:c r="H107" s="131" t="n">
        <x:v>13771926002556</x:v>
      </x:c>
      <x:c r="I107" s="131" t="n">
        <x:v>14918254153163</x:v>
      </x:c>
      <x:c r="J107" s="89" t="str">
        <x:v>VND</x:v>
      </x:c>
      <x:c r="K107" s="89" t="str">
        <x:v>SRC-API01</x:v>
      </x:c>
      <x:c r="L107" s="98" t="str">
        <x:v>https://vnstocks.com/docs/vnstock/phan-tich-co-ban-fundamental</x:v>
      </x:c>
      <x:c r="M107" s="282" t="n">
        <x:v>46228.58256944444</x:v>
      </x:c>
    </x:row>
    <x:row r="108" ht="22" customHeight="1">
      <x:c r="A108" s="88" t="str">
        <x:v>balance_sheet</x:v>
      </x:c>
      <x:c r="B108" s="89" t="str">
        <x:v>capital_and_reserves</x:v>
      </x:c>
      <x:c r="C108" s="89" t="str">
        <x:v>Vốn và các quỹ</x:v>
      </x:c>
      <x:c r="D108" s="89" t="str">
        <x:v>Capital and reserves</x:v>
      </x:c>
      <x:c r="E108" s="131" t="n">
        <x:v>7044618371909</x:v>
      </x:c>
      <x:c r="F108" s="131" t="n">
        <x:v>7947756019956</x:v>
      </x:c>
      <x:c r="G108" s="131" t="n">
        <x:v>9732374052019</x:v>
      </x:c>
      <x:c r="H108" s="131" t="n">
        <x:v>13771926002556</x:v>
      </x:c>
      <x:c r="I108" s="131" t="n">
        <x:v>14918254153163</x:v>
      </x:c>
      <x:c r="J108" s="89" t="str">
        <x:v>VND</x:v>
      </x:c>
      <x:c r="K108" s="89" t="str">
        <x:v>SRC-API01</x:v>
      </x:c>
      <x:c r="L108" s="98" t="str">
        <x:v>https://vnstocks.com/docs/vnstock/phan-tich-co-ban-fundamental</x:v>
      </x:c>
      <x:c r="M108" s="282" t="n">
        <x:v>46228.58256944444</x:v>
      </x:c>
    </x:row>
    <x:row r="109" ht="22" customHeight="1">
      <x:c r="A109" s="88" t="str">
        <x:v>balance_sheet</x:v>
      </x:c>
      <x:c r="B109" s="89" t="str">
        <x:v>paid_in_capital</x:v>
      </x:c>
      <x:c r="C109" s="89" t="str">
        <x:v>Vốn góp</x:v>
      </x:c>
      <x:c r="D109" s="89" t="str">
        <x:v>Paid-in capital</x:v>
      </x:c>
      <x:c r="E109" s="131" t="n">
        <x:v>3013779570000</x:v>
      </x:c>
      <x:c r="F109" s="131" t="n">
        <x:v>3013779570000</x:v>
      </x:c>
      <x:c r="G109" s="131" t="n">
        <x:v>3058985570000</x:v>
      </x:c>
      <x:c r="H109" s="131" t="n">
        <x:v>4139826090000</x:v>
      </x:c>
      <x:c r="I109" s="131" t="n">
        <x:v>4264951090000</x:v>
      </x:c>
      <x:c r="J109" s="89" t="str">
        <x:v>VND</x:v>
      </x:c>
      <x:c r="K109" s="89" t="str">
        <x:v>SRC-API01</x:v>
      </x:c>
      <x:c r="L109" s="98" t="str">
        <x:v>https://vnstocks.com/docs/vnstock/phan-tich-co-ban-fundamental</x:v>
      </x:c>
      <x:c r="M109" s="282" t="n">
        <x:v>46228.58256944444</x:v>
      </x:c>
    </x:row>
    <x:row r="110" ht="22" customHeight="1">
      <x:c r="A110" s="88" t="str">
        <x:v>balance_sheet</x:v>
      </x:c>
      <x:c r="B110" s="89" t="str">
        <x:v>share_premium</x:v>
      </x:c>
      <x:c r="C110" s="89" t="str">
        <x:v>Thặng dư vốn cổ phần</x:v>
      </x:c>
      <x:c r="D110" s="89" t="str">
        <x:v>Share premium</x:v>
      </x:c>
      <x:c r="E110" s="131" t="n">
        <x:v>1941832197040</x:v>
      </x:c>
      <x:c r="F110" s="131" t="n">
        <x:v>1941832197040</x:v>
      </x:c>
      <x:c r="G110" s="131" t="n">
        <x:v>1941832197040</x:v>
      </x:c>
      <x:c r="H110" s="131" t="n">
        <x:v>3920183061040</x:v>
      </x:c>
      <x:c r="I110" s="131" t="n">
        <x:v>3920183061040</x:v>
      </x:c>
      <x:c r="J110" s="89" t="str">
        <x:v>VND</x:v>
      </x:c>
      <x:c r="K110" s="89" t="str">
        <x:v>SRC-API01</x:v>
      </x:c>
      <x:c r="L110" s="98" t="str">
        <x:v>https://vnstocks.com/docs/vnstock/phan-tich-co-ban-fundamental</x:v>
      </x:c>
      <x:c r="M110" s="282" t="n">
        <x:v>46228.58256944444</x:v>
      </x:c>
    </x:row>
    <x:row r="111" ht="22" customHeight="1">
      <x:c r="A111" s="88" t="str">
        <x:v>balance_sheet</x:v>
      </x:c>
      <x:c r="B111" s="89" t="str">
        <x:v>owners_other_capital</x:v>
      </x:c>
      <x:c r="C111" s="89" t="str">
        <x:v>Vốn khác</x:v>
      </x:c>
      <x:c r="D111" s="89" t="str">
        <x:v>Owner's other capital</x:v>
      </x:c>
      <x:c r="E111" s="131" t="n">
        <x:v>128097775902</x:v>
      </x:c>
      <x:c r="F111" s="131" t="n">
        <x:v>128097775902</x:v>
      </x:c>
      <x:c r="G111" s="131" t="n">
        <x:v>128097775902</x:v>
      </x:c>
      <x:c r="H111" s="131" t="n">
        <x:v>128097775902</x:v>
      </x:c>
      <x:c r="I111" s="131" t="n">
        <x:v>128097775902</x:v>
      </x:c>
      <x:c r="J111" s="89" t="str">
        <x:v>VND</x:v>
      </x:c>
      <x:c r="K111" s="89" t="str">
        <x:v>SRC-API01</x:v>
      </x:c>
      <x:c r="L111" s="98" t="str">
        <x:v>https://vnstocks.com/docs/vnstock/phan-tich-co-ban-fundamental</x:v>
      </x:c>
      <x:c r="M111" s="282" t="n">
        <x:v>46228.58256944444</x:v>
      </x:c>
    </x:row>
    <x:row r="112" ht="22" customHeight="1">
      <x:c r="A112" s="88" t="str">
        <x:v>balance_sheet</x:v>
      </x:c>
      <x:c r="B112" s="89" t="str">
        <x:v>treasury_shares</x:v>
      </x:c>
      <x:c r="C112" s="89" t="str">
        <x:v>Cổ phiếu quỹ</x:v>
      </x:c>
      <x:c r="D112" s="89" t="str">
        <x:v>Treasury shares</x:v>
      </x:c>
      <x:c r="E112" s="131" t="n">
        <x:v>0</x:v>
      </x:c>
      <x:c r="F112" s="131" t="n">
        <x:v>0</x:v>
      </x:c>
      <x:c r="G112" s="131" t="n">
        <x:v>0</x:v>
      </x:c>
      <x:c r="H112" s="131" t="n">
        <x:v>0</x:v>
      </x:c>
      <x:c r="I112" s="131" t="n">
        <x:v>0</x:v>
      </x:c>
      <x:c r="J112" s="89" t="str">
        <x:v>VND</x:v>
      </x:c>
      <x:c r="K112" s="89" t="str">
        <x:v>SRC-API01</x:v>
      </x:c>
      <x:c r="L112" s="98" t="str">
        <x:v>https://vnstocks.com/docs/vnstock/phan-tich-co-ban-fundamental</x:v>
      </x:c>
      <x:c r="M112" s="282" t="n">
        <x:v>46228.58256944444</x:v>
      </x:c>
    </x:row>
    <x:row r="113" ht="22" customHeight="1">
      <x:c r="A113" s="88" t="str">
        <x:v>balance_sheet</x:v>
      </x:c>
      <x:c r="B113" s="89" t="str">
        <x:v>differences_upon_asset_revaluation</x:v>
      </x:c>
      <x:c r="C113" s="89" t="str">
        <x:v>Chênh lệch đánh giá lại tài sản</x:v>
      </x:c>
      <x:c r="D113" s="89" t="str">
        <x:v>Differences upon asset revaluation</x:v>
      </x:c>
      <x:c r="E113" s="131" t="n">
        <x:v>0</x:v>
      </x:c>
      <x:c r="F113" s="131" t="n">
        <x:v>0</x:v>
      </x:c>
      <x:c r="G113" s="131" t="n">
        <x:v>0</x:v>
      </x:c>
      <x:c r="H113" s="131" t="n">
        <x:v>0</x:v>
      </x:c>
      <x:c r="I113" s="131" t="n">
        <x:v>0</x:v>
      </x:c>
      <x:c r="J113" s="89" t="str">
        <x:v>VND</x:v>
      </x:c>
      <x:c r="K113" s="89" t="str">
        <x:v>SRC-API01</x:v>
      </x:c>
      <x:c r="L113" s="98" t="str">
        <x:v>https://vnstocks.com/docs/vnstock/phan-tich-co-ban-fundamental</x:v>
      </x:c>
      <x:c r="M113" s="282" t="n">
        <x:v>46228.58256944444</x:v>
      </x:c>
    </x:row>
    <x:row r="114" ht="22" customHeight="1">
      <x:c r="A114" s="88" t="str">
        <x:v>balance_sheet</x:v>
      </x:c>
      <x:c r="B114" s="89" t="str">
        <x:v>foreign_exchange_differences</x:v>
      </x:c>
      <x:c r="C114" s="89" t="str">
        <x:v>Chênh lệch tỷ giá</x:v>
      </x:c>
      <x:c r="D114" s="89" t="str">
        <x:v>Foreign exchange differences</x:v>
      </x:c>
      <x:c r="E114" s="131" t="n">
        <x:v>282283839337</x:v>
      </x:c>
      <x:c r="F114" s="131" t="n">
        <x:v>324141784661</x:v>
      </x:c>
      <x:c r="G114" s="131" t="n">
        <x:v>358279382052</x:v>
      </x:c>
      <x:c r="H114" s="131" t="n">
        <x:v>431368225715</x:v>
      </x:c>
      <x:c r="I114" s="131" t="n">
        <x:v>468455589543</x:v>
      </x:c>
      <x:c r="J114" s="89" t="str">
        <x:v>VND</x:v>
      </x:c>
      <x:c r="K114" s="89" t="str">
        <x:v>SRC-API01</x:v>
      </x:c>
      <x:c r="L114" s="98" t="str">
        <x:v>https://vnstocks.com/docs/vnstock/phan-tich-co-ban-fundamental</x:v>
      </x:c>
      <x:c r="M114" s="282" t="n">
        <x:v>46228.58256944444</x:v>
      </x:c>
    </x:row>
    <x:row r="115" ht="22" customHeight="1">
      <x:c r="A115" s="88" t="str">
        <x:v>balance_sheet</x:v>
      </x:c>
      <x:c r="B115" s="89" t="str">
        <x:v>investment_and_development_funds</x:v>
      </x:c>
      <x:c r="C115" s="89" t="str">
        <x:v>Quỹ đầu tư và phát triển</x:v>
      </x:c>
      <x:c r="D115" s="89" t="str">
        <x:v>Investment and development funds</x:v>
      </x:c>
      <x:c r="E115" s="131" t="n">
        <x:v>152636937352</x:v>
      </x:c>
      <x:c r="F115" s="131" t="n">
        <x:v>152636937352</x:v>
      </x:c>
      <x:c r="G115" s="131" t="n">
        <x:v>61305100650</x:v>
      </x:c>
      <x:c r="H115" s="131" t="n">
        <x:v>72892277093</x:v>
      </x:c>
      <x:c r="I115" s="131" t="n">
        <x:v>73121317440</x:v>
      </x:c>
      <x:c r="J115" s="89" t="str">
        <x:v>VND</x:v>
      </x:c>
      <x:c r="K115" s="89" t="str">
        <x:v>SRC-API01</x:v>
      </x:c>
      <x:c r="L115" s="98" t="str">
        <x:v>https://vnstocks.com/docs/vnstock/phan-tich-co-ban-fundamental</x:v>
      </x:c>
      <x:c r="M115" s="282" t="n">
        <x:v>46228.58256944444</x:v>
      </x:c>
    </x:row>
    <x:row r="116" ht="22" customHeight="1">
      <x:c r="A116" s="88" t="str">
        <x:v>balance_sheet</x:v>
      </x:c>
      <x:c r="B116" s="89" t="str">
        <x:v>financial_reserve_funds</x:v>
      </x:c>
      <x:c r="C116" s="89" t="str">
        <x:v>Quỹ dự phòng tài chính</x:v>
      </x:c>
      <x:c r="D116" s="89" t="str">
        <x:v>Financial reserve funds</x:v>
      </x:c>
      <x:c r="E116" s="131" t="n">
        <x:v>0</x:v>
      </x:c>
      <x:c r="F116" s="131" t="n">
        <x:v>0</x:v>
      </x:c>
      <x:c r="G116" s="131" t="n">
        <x:v>0</x:v>
      </x:c>
      <x:c r="H116" s="131" t="n">
        <x:v>0</x:v>
      </x:c>
      <x:c r="I116" s="131" t="n">
        <x:v>0</x:v>
      </x:c>
      <x:c r="J116" s="89" t="str">
        <x:v>VND</x:v>
      </x:c>
      <x:c r="K116" s="89" t="str">
        <x:v>SRC-API01</x:v>
      </x:c>
      <x:c r="L116" s="98" t="str">
        <x:v>https://vnstocks.com/docs/vnstock/phan-tich-co-ban-fundamental</x:v>
      </x:c>
      <x:c r="M116" s="282" t="n">
        <x:v>46228.58256944444</x:v>
      </x:c>
    </x:row>
    <x:row r="117" ht="22" customHeight="1">
      <x:c r="A117" s="88" t="str">
        <x:v>balance_sheet</x:v>
      </x:c>
      <x:c r="B117" s="89" t="str">
        <x:v>other_funds</x:v>
      </x:c>
      <x:c r="C117" s="89" t="str">
        <x:v>Quỹ khác</x:v>
      </x:c>
      <x:c r="D117" s="89" t="str">
        <x:v>Other funds</x:v>
      </x:c>
      <x:c r="E117" s="131" t="n">
        <x:v>139110971167</x:v>
      </x:c>
      <x:c r="F117" s="131" t="n">
        <x:v>138177637831</x:v>
      </x:c>
      <x:c r="G117" s="131" t="n">
        <x:v>68471352005</x:v>
      </x:c>
      <x:c r="H117" s="131" t="n">
        <x:v>72381836572</x:v>
      </x:c>
      <x:c r="I117" s="131" t="n">
        <x:v>72381836572</x:v>
      </x:c>
      <x:c r="J117" s="89" t="str">
        <x:v>VND</x:v>
      </x:c>
      <x:c r="K117" s="89" t="str">
        <x:v>SRC-API01</x:v>
      </x:c>
      <x:c r="L117" s="98" t="str">
        <x:v>https://vnstocks.com/docs/vnstock/phan-tich-co-ban-fundamental</x:v>
      </x:c>
      <x:c r="M117" s="282" t="n">
        <x:v>46228.58256944444</x:v>
      </x:c>
    </x:row>
    <x:row r="118" ht="22" customHeight="1">
      <x:c r="A118" s="88" t="str">
        <x:v>balance_sheet</x:v>
      </x:c>
      <x:c r="B118" s="89" t="str">
        <x:v>undistributed_earnings</x:v>
      </x:c>
      <x:c r="C118" s="89" t="str">
        <x:v>Lãi chưa phân phối</x:v>
      </x:c>
      <x:c r="D118" s="89" t="str">
        <x:v>Undistributed earnings</x:v>
      </x:c>
      <x:c r="E118" s="131" t="n">
        <x:v>661219564120</x:v>
      </x:c>
      <x:c r="F118" s="131" t="n">
        <x:v>1227386551336</x:v>
      </x:c>
      <x:c r="G118" s="131" t="n">
        <x:v>2963514009028</x:v>
      </x:c>
      <x:c r="H118" s="131" t="n">
        <x:v>3617139919490</x:v>
      </x:c>
      <x:c r="I118" s="131" t="n">
        <x:v>4212636741407</x:v>
      </x:c>
      <x:c r="J118" s="89" t="str">
        <x:v>VND</x:v>
      </x:c>
      <x:c r="K118" s="89" t="str">
        <x:v>SRC-API01</x:v>
      </x:c>
      <x:c r="L118" s="98" t="str">
        <x:v>https://vnstocks.com/docs/vnstock/phan-tich-co-ban-fundamental</x:v>
      </x:c>
      <x:c r="M118" s="282" t="n">
        <x:v>46228.58256944444</x:v>
      </x:c>
    </x:row>
    <x:row r="119" ht="22" customHeight="1">
      <x:c r="A119" s="88" t="str">
        <x:v>balance_sheet</x:v>
      </x:c>
      <x:c r="B119" s="89" t="str">
        <x:v>enterprise_arrangement_fund</x:v>
      </x:c>
      <x:c r="C119" s="89" t="str">
        <x:v>Quỹ hỗ trợ sắp xếp doanh nghiệp</x:v>
      </x:c>
      <x:c r="D119" s="89" t="str">
        <x:v>Enterprise arrangement fund</x:v>
      </x:c>
      <x:c r="E119" s="131" t="n">
        <x:v>0</x:v>
      </x:c>
      <x:c r="F119" s="131" t="n">
        <x:v>0</x:v>
      </x:c>
      <x:c r="G119" s="131" t="n">
        <x:v>0</x:v>
      </x:c>
      <x:c r="H119" s="131" t="n">
        <x:v>0</x:v>
      </x:c>
      <x:c r="I119" s="131" t="n">
        <x:v>0</x:v>
      </x:c>
      <x:c r="J119" s="89" t="str">
        <x:v>VND</x:v>
      </x:c>
      <x:c r="K119" s="89" t="str">
        <x:v>SRC-API01</x:v>
      </x:c>
      <x:c r="L119" s="98" t="str">
        <x:v>https://vnstocks.com/docs/vnstock/phan-tich-co-ban-fundamental</x:v>
      </x:c>
      <x:c r="M119" s="282" t="n">
        <x:v>46228.58256944444</x:v>
      </x:c>
    </x:row>
    <x:row r="120" ht="22" customHeight="1">
      <x:c r="A120" s="88" t="str">
        <x:v>balance_sheet</x:v>
      </x:c>
      <x:c r="B120" s="89" t="str">
        <x:v>budget_sources_and_other_funds</x:v>
      </x:c>
      <x:c r="C120" s="89" t="str">
        <x:v>Vốn Ngân sách nhà nước và quỹ khác</x:v>
      </x:c>
      <x:c r="D120" s="89" t="str">
        <x:v>Budget sources and other funds</x:v>
      </x:c>
      <x:c r="E120" s="131" t="n">
        <x:v>0</x:v>
      </x:c>
      <x:c r="F120" s="131" t="n">
        <x:v>0</x:v>
      </x:c>
      <x:c r="G120" s="131" t="n">
        <x:v>0</x:v>
      </x:c>
      <x:c r="H120" s="131" t="n">
        <x:v>0</x:v>
      </x:c>
      <x:c r="I120" s="131" t="n">
        <x:v>0</x:v>
      </x:c>
      <x:c r="J120" s="89" t="str">
        <x:v>VND</x:v>
      </x:c>
      <x:c r="K120" s="89" t="str">
        <x:v>SRC-API01</x:v>
      </x:c>
      <x:c r="L120" s="98" t="str">
        <x:v>https://vnstocks.com/docs/vnstock/phan-tich-co-ban-fundamental</x:v>
      </x:c>
      <x:c r="M120" s="282" t="n">
        <x:v>46228.58256944444</x:v>
      </x:c>
    </x:row>
    <x:row r="121" ht="22" customHeight="1">
      <x:c r="A121" s="88" t="str">
        <x:v>balance_sheet</x:v>
      </x:c>
      <x:c r="B121" s="89" t="str">
        <x:v>bonus_and_welfare_funds_before_2010</x:v>
      </x:c>
      <x:c r="C121" s="89" t="str">
        <x:v>Quỹ khen thưởng, phúc lợi (trước 2010)</x:v>
      </x:c>
      <x:c r="D121" s="89" t="str">
        <x:v>Bonus and welfare funds (Before 2010)</x:v>
      </x:c>
      <x:c r="E121" s="131" t="n">
        <x:v>0</x:v>
      </x:c>
      <x:c r="F121" s="131" t="n">
        <x:v>0</x:v>
      </x:c>
      <x:c r="G121" s="131" t="n">
        <x:v>0</x:v>
      </x:c>
      <x:c r="H121" s="131" t="n">
        <x:v>0</x:v>
      </x:c>
      <x:c r="I121" s="131" t="n">
        <x:v>0</x:v>
      </x:c>
      <x:c r="J121" s="89" t="str">
        <x:v>VND</x:v>
      </x:c>
      <x:c r="K121" s="89" t="str">
        <x:v>SRC-API01</x:v>
      </x:c>
      <x:c r="L121" s="98" t="str">
        <x:v>https://vnstocks.com/docs/vnstock/phan-tich-co-ban-fundamental</x:v>
      </x:c>
      <x:c r="M121" s="282" t="n">
        <x:v>46228.58256944444</x:v>
      </x:c>
    </x:row>
    <x:row r="122" ht="22" customHeight="1">
      <x:c r="A122" s="88" t="str">
        <x:v>balance_sheet</x:v>
      </x:c>
      <x:c r="B122" s="89" t="str">
        <x:v>budget_sources_and_other_funds</x:v>
      </x:c>
      <x:c r="C122" s="89" t="str">
        <x:v>Vốn ngân sách nhà nước và quỹ khác</x:v>
      </x:c>
      <x:c r="D122" s="89" t="str">
        <x:v>Budget sources and other funds</x:v>
      </x:c>
      <x:c r="E122" s="131" t="n">
        <x:v>0</x:v>
      </x:c>
      <x:c r="F122" s="131" t="n">
        <x:v>0</x:v>
      </x:c>
      <x:c r="G122" s="131" t="n">
        <x:v>0</x:v>
      </x:c>
      <x:c r="H122" s="131" t="n">
        <x:v>0</x:v>
      </x:c>
      <x:c r="I122" s="131" t="n">
        <x:v>0</x:v>
      </x:c>
      <x:c r="J122" s="89" t="str">
        <x:v>VND</x:v>
      </x:c>
      <x:c r="K122" s="89" t="str">
        <x:v>SRC-API01</x:v>
      </x:c>
      <x:c r="L122" s="98" t="str">
        <x:v>https://vnstocks.com/docs/vnstock/phan-tich-co-ban-fundamental</x:v>
      </x:c>
      <x:c r="M122" s="282" t="n">
        <x:v>46228.58256944444</x:v>
      </x:c>
    </x:row>
    <x:row r="123" ht="22" customHeight="1">
      <x:c r="A123" s="88" t="str">
        <x:v>balance_sheet</x:v>
      </x:c>
      <x:c r="B123" s="89" t="str">
        <x:v>minority_interests_before_2015</x:v>
      </x:c>
      <x:c r="C123" s="89" t="str">
        <x:v>Lợi ích của cổ đông thiểu số</x:v>
      </x:c>
      <x:c r="D123" s="89" t="str">
        <x:v>Minority interests (Before 2015)</x:v>
      </x:c>
      <x:c r="E123" s="131" t="n">
        <x:v>0</x:v>
      </x:c>
      <x:c r="F123" s="131" t="n">
        <x:v>0</x:v>
      </x:c>
      <x:c r="G123" s="131" t="n">
        <x:v>0</x:v>
      </x:c>
      <x:c r="H123" s="131" t="n">
        <x:v>0</x:v>
      </x:c>
      <x:c r="I123" s="131" t="n">
        <x:v>0</x:v>
      </x:c>
      <x:c r="J123" s="89" t="str">
        <x:v>VND</x:v>
      </x:c>
      <x:c r="K123" s="89" t="str">
        <x:v>SRC-API01</x:v>
      </x:c>
      <x:c r="L123" s="98" t="str">
        <x:v>https://vnstocks.com/docs/vnstock/phan-tich-co-ban-fundamental</x:v>
      </x:c>
      <x:c r="M123" s="282" t="n">
        <x:v>46228.58256944444</x:v>
      </x:c>
    </x:row>
    <x:row r="124" ht="22" customHeight="1">
      <x:c r="A124" s="88" t="str">
        <x:v>balance_sheet</x:v>
      </x:c>
      <x:c r="B124" s="89" t="str">
        <x:v>total_resource</x:v>
      </x:c>
      <x:c r="C124" s="89" t="str">
        <x:v>Tổng cộng nguồn vốn</x:v>
      </x:c>
      <x:c r="D124" s="89" t="str">
        <x:v>Total resource</x:v>
      </x:c>
      <x:c r="E124" s="131" t="n">
        <x:v>10731211063284</x:v>
      </x:c>
      <x:c r="F124" s="131" t="n">
        <x:v>13030653009572</x:v>
      </x:c>
      <x:c r="G124" s="131" t="n">
        <x:v>13546025168428</x:v>
      </x:c>
      <x:c r="H124" s="131" t="n">
        <x:v>17997853312717</x:v>
      </x:c>
      <x:c r="I124" s="131" t="n">
        <x:v>19826401375577</x:v>
      </x:c>
      <x:c r="J124" s="89" t="str">
        <x:v>VND</x:v>
      </x:c>
      <x:c r="K124" s="89" t="str">
        <x:v>SRC-API01</x:v>
      </x:c>
      <x:c r="L124" s="98" t="str">
        <x:v>https://vnstocks.com/docs/vnstock/phan-tich-co-ban-fundamental</x:v>
      </x:c>
      <x:c r="M124" s="282" t="n">
        <x:v>46228.58256944444</x:v>
      </x:c>
    </x:row>
    <x:row r="125" ht="22" customHeight="1">
      <x:c r="A125" s="88" t="str">
        <x:v>balance_sheet</x:v>
      </x:c>
      <x:c r="B125" s="89" t="str">
        <x:v>preferred_shares</x:v>
      </x:c>
      <x:c r="C125" s="89" t="str">
        <x:v>Cổ phiếu ưu đãi</x:v>
      </x:c>
      <x:c r="D125" s="89" t="str">
        <x:v>Preferred shares</x:v>
      </x:c>
      <x:c r="E125" s="131"/>
      <x:c r="F125" s="131"/>
      <x:c r="G125" s="131"/>
      <x:c r="H125" s="131"/>
      <x:c r="I125" s="131"/>
      <x:c r="J125" s="89" t="str">
        <x:v>VND</x:v>
      </x:c>
      <x:c r="K125" s="89" t="str">
        <x:v>SRC-API01</x:v>
      </x:c>
      <x:c r="L125" s="98" t="str">
        <x:v>https://vnstocks.com/docs/vnstock/phan-tich-co-ban-fundamental</x:v>
      </x:c>
      <x:c r="M125" s="282" t="n">
        <x:v>46228.58256944444</x:v>
      </x:c>
    </x:row>
    <x:row r="126" ht="22" customHeight="1">
      <x:c r="A126" s="88" t="str">
        <x:v>balance_sheet</x:v>
      </x:c>
      <x:c r="B126" s="89" t="str">
        <x:v>held_to_maturity_investment</x:v>
      </x:c>
      <x:c r="C126" s="89" t="str">
        <x:v>Đầu tư nắm giữ đến ngày đáo hạn</x:v>
      </x:c>
      <x:c r="D126" s="89" t="str">
        <x:v>Held-to-maturity investment</x:v>
      </x:c>
      <x:c r="E126" s="131" t="n">
        <x:v>21990358062</x:v>
      </x:c>
      <x:c r="F126" s="131" t="n">
        <x:v>64294798424</x:v>
      </x:c>
      <x:c r="G126" s="131" t="n">
        <x:v>345719305466</x:v>
      </x:c>
      <x:c r="H126" s="131" t="n">
        <x:v>1012300000000</x:v>
      </x:c>
      <x:c r="I126" s="131" t="n">
        <x:v>2738596210765</x:v>
      </x:c>
      <x:c r="J126" s="89" t="str">
        <x:v>VND</x:v>
      </x:c>
      <x:c r="K126" s="89" t="str">
        <x:v>SRC-API01</x:v>
      </x:c>
      <x:c r="L126" s="98" t="str">
        <x:v>https://vnstocks.com/docs/vnstock/phan-tich-co-ban-fundamental</x:v>
      </x:c>
      <x:c r="M126" s="282" t="n">
        <x:v>46228.58256944444</x:v>
      </x:c>
    </x:row>
    <x:row r="127" ht="22" customHeight="1">
      <x:c r="A127" s="88" t="str">
        <x:v>balance_sheet</x:v>
      </x:c>
      <x:c r="B127" s="89" t="str">
        <x:v>paid_in_capital_in_wholly_owned_subsidiaries</x:v>
      </x:c>
      <x:c r="C127" s="89" t="str">
        <x:v>Vốn kinh doanh ở các đơn vị trực thuộc</x:v>
      </x:c>
      <x:c r="D127" s="89" t="str">
        <x:v>Paid-in capital in wholly-owned subsidiaries</x:v>
      </x:c>
      <x:c r="E127" s="131" t="n">
        <x:v>0</x:v>
      </x:c>
      <x:c r="F127" s="131" t="n">
        <x:v>0</x:v>
      </x:c>
      <x:c r="G127" s="131" t="n">
        <x:v>0</x:v>
      </x:c>
      <x:c r="H127" s="131" t="n">
        <x:v>0</x:v>
      </x:c>
      <x:c r="I127" s="131" t="n">
        <x:v>0</x:v>
      </x:c>
      <x:c r="J127" s="89" t="str">
        <x:v>VND</x:v>
      </x:c>
      <x:c r="K127" s="89" t="str">
        <x:v>SRC-API01</x:v>
      </x:c>
      <x:c r="L127" s="98" t="str">
        <x:v>https://vnstocks.com/docs/vnstock/phan-tich-co-ban-fundamental</x:v>
      </x:c>
      <x:c r="M127" s="282" t="n">
        <x:v>46228.58256944444</x:v>
      </x:c>
    </x:row>
    <x:row r="128" ht="22" customHeight="1">
      <x:c r="A128" s="88" t="str">
        <x:v>balance_sheet</x:v>
      </x:c>
      <x:c r="B128" s="89" t="str">
        <x:v>shortage_of_current_assets_waiting_for_solution</x:v>
      </x:c>
      <x:c r="C128" s="89" t="str">
        <x:v>Tài sản thiếu cần xử lý</x:v>
      </x:c>
      <x:c r="D128" s="89" t="str">
        <x:v>Shortage of current assets waiting for solution</x:v>
      </x:c>
      <x:c r="E128" s="131" t="n">
        <x:v>0</x:v>
      </x:c>
      <x:c r="F128" s="131" t="n">
        <x:v>0</x:v>
      </x:c>
      <x:c r="G128" s="131" t="n">
        <x:v>0</x:v>
      </x:c>
      <x:c r="H128" s="131" t="n">
        <x:v>0</x:v>
      </x:c>
      <x:c r="I128" s="131" t="n">
        <x:v>6758400</x:v>
      </x:c>
      <x:c r="J128" s="89" t="str">
        <x:v>VND</x:v>
      </x:c>
      <x:c r="K128" s="89" t="str">
        <x:v>SRC-API01</x:v>
      </x:c>
      <x:c r="L128" s="98" t="str">
        <x:v>https://vnstocks.com/docs/vnstock/phan-tich-co-ban-fundamental</x:v>
      </x:c>
      <x:c r="M128" s="282" t="n">
        <x:v>46228.58256944444</x:v>
      </x:c>
    </x:row>
    <x:row r="129" ht="22" customHeight="1">
      <x:c r="A129" s="88" t="str">
        <x:v>balance_sheet</x:v>
      </x:c>
      <x:c r="B129" s="89" t="str">
        <x:v>short_term_loans_receivables</x:v>
      </x:c>
      <x:c r="C129" s="89" t="str">
        <x:v>Phải thu cho vay ngắn hạn</x:v>
      </x:c>
      <x:c r="D129" s="89" t="str">
        <x:v>Short-term loans receivables</x:v>
      </x:c>
      <x:c r="E129" s="131" t="n">
        <x:v>19623500000</x:v>
      </x:c>
      <x:c r="F129" s="131" t="n">
        <x:v>24623500000</x:v>
      </x:c>
      <x:c r="G129" s="131" t="n">
        <x:v>298007987801</x:v>
      </x:c>
      <x:c r="H129" s="131" t="n">
        <x:v>30923500000</x:v>
      </x:c>
      <x:c r="I129" s="131" t="n">
        <x:v>60923500000</x:v>
      </x:c>
      <x:c r="J129" s="89" t="str">
        <x:v>VND</x:v>
      </x:c>
      <x:c r="K129" s="89" t="str">
        <x:v>SRC-API01</x:v>
      </x:c>
      <x:c r="L129" s="98" t="str">
        <x:v>https://vnstocks.com/docs/vnstock/phan-tich-co-ban-fundamental</x:v>
      </x:c>
      <x:c r="M129" s="282" t="n">
        <x:v>46228.58256944444</x:v>
      </x:c>
    </x:row>
    <x:row r="130" ht="22" customHeight="1">
      <x:c r="A130" s="88" t="str">
        <x:v>balance_sheet</x:v>
      </x:c>
      <x:c r="B130" s="89" t="str">
        <x:v>government_bonds_purchased_for_resale</x:v>
      </x:c>
      <x:c r="C130" s="89" t="str">
        <x:v>Giao dịch mua bán lại trái phiếu Chính phủ</x:v>
      </x:c>
      <x:c r="D130" s="89" t="str">
        <x:v>Government bonds purchased for resale</x:v>
      </x:c>
      <x:c r="E130" s="131" t="n">
        <x:v>0</x:v>
      </x:c>
      <x:c r="F130" s="131" t="n">
        <x:v>0</x:v>
      </x:c>
      <x:c r="G130" s="131" t="n">
        <x:v>0</x:v>
      </x:c>
      <x:c r="H130" s="131" t="n">
        <x:v>0</x:v>
      </x:c>
      <x:c r="I130" s="131" t="n">
        <x:v>0</x:v>
      </x:c>
      <x:c r="J130" s="89" t="str">
        <x:v>VND</x:v>
      </x:c>
      <x:c r="K130" s="89" t="str">
        <x:v>SRC-API01</x:v>
      </x:c>
      <x:c r="L130" s="98" t="str">
        <x:v>https://vnstocks.com/docs/vnstock/phan-tich-co-ban-fundamental</x:v>
      </x:c>
      <x:c r="M130" s="282" t="n">
        <x:v>46228.58256944444</x:v>
      </x:c>
    </x:row>
    <x:row r="131" ht="22" customHeight="1">
      <x:c r="A131" s="88" t="str">
        <x:v>balance_sheet</x:v>
      </x:c>
      <x:c r="B131" s="89" t="str">
        <x:v>long_term_prepayments_to_suppliers</x:v>
      </x:c>
      <x:c r="C131" s="89" t="str">
        <x:v>Trả trước người bán dài hạn</x:v>
      </x:c>
      <x:c r="D131" s="89" t="str">
        <x:v>Long-term prepayments to suppliers</x:v>
      </x:c>
      <x:c r="E131" s="131" t="n">
        <x:v>358000000</x:v>
      </x:c>
      <x:c r="F131" s="131" t="n">
        <x:v>0</x:v>
      </x:c>
      <x:c r="G131" s="131" t="n">
        <x:v>0</x:v>
      </x:c>
      <x:c r="H131" s="131" t="n">
        <x:v>0</x:v>
      </x:c>
      <x:c r="I131" s="131" t="n">
        <x:v>0</x:v>
      </x:c>
      <x:c r="J131" s="89" t="str">
        <x:v>VND</x:v>
      </x:c>
      <x:c r="K131" s="89" t="str">
        <x:v>SRC-API01</x:v>
      </x:c>
      <x:c r="L131" s="98" t="str">
        <x:v>https://vnstocks.com/docs/vnstock/phan-tich-co-ban-fundamental</x:v>
      </x:c>
      <x:c r="M131" s="282" t="n">
        <x:v>46228.58256944444</x:v>
      </x:c>
    </x:row>
    <x:row r="132" ht="22" customHeight="1">
      <x:c r="A132" s="88" t="str">
        <x:v>balance_sheet</x:v>
      </x:c>
      <x:c r="B132" s="89" t="str">
        <x:v>long_term_loans_receivables</x:v>
      </x:c>
      <x:c r="C132" s="89" t="str">
        <x:v>Phải thu cho vay dài hạn</x:v>
      </x:c>
      <x:c r="D132" s="89" t="str">
        <x:v>Long-term loans receivables</x:v>
      </x:c>
      <x:c r="E132" s="131" t="n">
        <x:v>8100000000</x:v>
      </x:c>
      <x:c r="F132" s="131" t="n">
        <x:v>8100000000</x:v>
      </x:c>
      <x:c r="G132" s="131" t="n">
        <x:v>8100000000</x:v>
      </x:c>
      <x:c r="H132" s="131" t="n">
        <x:v>8100000000</x:v>
      </x:c>
      <x:c r="I132" s="131" t="n">
        <x:v>8100000000</x:v>
      </x:c>
      <x:c r="J132" s="89" t="str">
        <x:v>VND</x:v>
      </x:c>
      <x:c r="K132" s="89" t="str">
        <x:v>SRC-API01</x:v>
      </x:c>
      <x:c r="L132" s="98" t="str">
        <x:v>https://vnstocks.com/docs/vnstock/phan-tich-co-ban-fundamental</x:v>
      </x:c>
      <x:c r="M132" s="282" t="n">
        <x:v>46228.58256944444</x:v>
      </x:c>
    </x:row>
    <x:row r="133" ht="22" customHeight="1">
      <x:c r="A133" s="88" t="str">
        <x:v>balance_sheet</x:v>
      </x:c>
      <x:c r="B133" s="89" t="str">
        <x:v>long_term_incomplete_assets</x:v>
      </x:c>
      <x:c r="C133" s="89" t="str">
        <x:v>Tài sản dở dang dài hạn</x:v>
      </x:c>
      <x:c r="D133" s="89" t="str">
        <x:v>Long-term incomplete assets</x:v>
      </x:c>
      <x:c r="E133" s="131" t="n">
        <x:v>1746637876859</x:v>
      </x:c>
      <x:c r="F133" s="131" t="n">
        <x:v>2790192939751</x:v>
      </x:c>
      <x:c r="G133" s="131" t="n">
        <x:v>1759344470822</x:v>
      </x:c>
      <x:c r="H133" s="131" t="n">
        <x:v>1718132778160</x:v>
      </x:c>
      <x:c r="I133" s="131" t="n">
        <x:v>1269929190028</x:v>
      </x:c>
      <x:c r="J133" s="89" t="str">
        <x:v>VND</x:v>
      </x:c>
      <x:c r="K133" s="89" t="str">
        <x:v>SRC-API01</x:v>
      </x:c>
      <x:c r="L133" s="98" t="str">
        <x:v>https://vnstocks.com/docs/vnstock/phan-tich-co-ban-fundamental</x:v>
      </x:c>
      <x:c r="M133" s="282" t="n">
        <x:v>46228.58256944444</x:v>
      </x:c>
    </x:row>
    <x:row r="134" ht="22" customHeight="1">
      <x:c r="A134" s="88" t="str">
        <x:v>balance_sheet</x:v>
      </x:c>
      <x:c r="B134" s="89" t="str">
        <x:v>long_term_cost_of_work_in_progress</x:v>
      </x:c>
      <x:c r="C134" s="89" t="str">
        <x:v>Chi phí sản xuất, kinh doanh dở dang dài hạn</x:v>
      </x:c>
      <x:c r="D134" s="89" t="str">
        <x:v>Long-term cost of work in progress</x:v>
      </x:c>
      <x:c r="E134" s="131" t="n">
        <x:v>0</x:v>
      </x:c>
      <x:c r="F134" s="131" t="n">
        <x:v>0</x:v>
      </x:c>
      <x:c r="G134" s="131" t="n">
        <x:v>0</x:v>
      </x:c>
      <x:c r="H134" s="131" t="n">
        <x:v>0</x:v>
      </x:c>
      <x:c r="I134" s="131" t="n">
        <x:v>0</x:v>
      </x:c>
      <x:c r="J134" s="89" t="str">
        <x:v>VND</x:v>
      </x:c>
      <x:c r="K134" s="89" t="str">
        <x:v>SRC-API01</x:v>
      </x:c>
      <x:c r="L134" s="98" t="str">
        <x:v>https://vnstocks.com/docs/vnstock/phan-tich-co-ban-fundamental</x:v>
      </x:c>
      <x:c r="M134" s="282" t="n">
        <x:v>46228.58256944444</x:v>
      </x:c>
    </x:row>
    <x:row r="135" ht="22" customHeight="1">
      <x:c r="A135" s="88" t="str">
        <x:v>balance_sheet</x:v>
      </x:c>
      <x:c r="B135" s="89" t="str">
        <x:v>held_to_maturity_investment</x:v>
      </x:c>
      <x:c r="C135" s="89" t="str">
        <x:v>Đầu tư nắm giữ đến ngày đáo hạn</x:v>
      </x:c>
      <x:c r="D135" s="89" t="str">
        <x:v>Held-to-maturity investment</x:v>
      </x:c>
      <x:c r="E135" s="131" t="n">
        <x:v>0</x:v>
      </x:c>
      <x:c r="F135" s="131" t="n">
        <x:v>0</x:v>
      </x:c>
      <x:c r="G135" s="131" t="n">
        <x:v>0</x:v>
      </x:c>
      <x:c r="H135" s="131" t="n">
        <x:v>10000000000</x:v>
      </x:c>
      <x:c r="I135" s="131" t="n">
        <x:v>0</x:v>
      </x:c>
      <x:c r="J135" s="89" t="str">
        <x:v>VND</x:v>
      </x:c>
      <x:c r="K135" s="89" t="str">
        <x:v>SRC-API01</x:v>
      </x:c>
      <x:c r="L135" s="98" t="str">
        <x:v>https://vnstocks.com/docs/vnstock/phan-tich-co-ban-fundamental</x:v>
      </x:c>
      <x:c r="M135" s="282" t="n">
        <x:v>46228.58256944444</x:v>
      </x:c>
    </x:row>
    <x:row r="136" ht="22" customHeight="1">
      <x:c r="A136" s="88" t="str">
        <x:v>balance_sheet</x:v>
      </x:c>
      <x:c r="B136" s="89" t="str">
        <x:v>long_term_equipment_material_and_spare_parts</x:v>
      </x:c>
      <x:c r="C136" s="89" t="str">
        <x:v>Thiết bị, vật tư, phụ tùng thay thế dài hạn</x:v>
      </x:c>
      <x:c r="D136" s="89" t="str">
        <x:v>Long-term equipment, material and spare parts</x:v>
      </x:c>
      <x:c r="E136" s="131" t="n">
        <x:v>0</x:v>
      </x:c>
      <x:c r="F136" s="131" t="n">
        <x:v>0</x:v>
      </x:c>
      <x:c r="G136" s="131" t="n">
        <x:v>0</x:v>
      </x:c>
      <x:c r="H136" s="131" t="n">
        <x:v>0</x:v>
      </x:c>
      <x:c r="I136" s="131" t="n">
        <x:v>0</x:v>
      </x:c>
      <x:c r="J136" s="89" t="str">
        <x:v>VND</x:v>
      </x:c>
      <x:c r="K136" s="89" t="str">
        <x:v>SRC-API01</x:v>
      </x:c>
      <x:c r="L136" s="98" t="str">
        <x:v>https://vnstocks.com/docs/vnstock/phan-tich-co-ban-fundamental</x:v>
      </x:c>
      <x:c r="M136" s="282" t="n">
        <x:v>46228.58256944444</x:v>
      </x:c>
    </x:row>
    <x:row r="137" ht="22" customHeight="1">
      <x:c r="A137" s="88" t="str">
        <x:v>balance_sheet</x:v>
      </x:c>
      <x:c r="B137" s="89" t="str">
        <x:v>short_term_unrealized_revenue</x:v>
      </x:c>
      <x:c r="C137" s="89" t="str">
        <x:v>Doanh thu chưa thực hiện ngắn hạn</x:v>
      </x:c>
      <x:c r="D137" s="89" t="str">
        <x:v>Short-term unrealized revenue</x:v>
      </x:c>
      <x:c r="E137" s="131" t="n">
        <x:v>1314355164</x:v>
      </x:c>
      <x:c r="F137" s="131" t="n">
        <x:v>1039094764</x:v>
      </x:c>
      <x:c r="G137" s="131" t="n">
        <x:v>8477602875</x:v>
      </x:c>
      <x:c r="H137" s="131" t="n">
        <x:v>1216075884</x:v>
      </x:c>
      <x:c r="I137" s="131" t="n">
        <x:v>7775967018</x:v>
      </x:c>
      <x:c r="J137" s="89" t="str">
        <x:v>VND</x:v>
      </x:c>
      <x:c r="K137" s="89" t="str">
        <x:v>SRC-API01</x:v>
      </x:c>
      <x:c r="L137" s="98" t="str">
        <x:v>https://vnstocks.com/docs/vnstock/phan-tich-co-ban-fundamental</x:v>
      </x:c>
      <x:c r="M137" s="282" t="n">
        <x:v>46228.58256944444</x:v>
      </x:c>
    </x:row>
    <x:row r="138" ht="22" customHeight="1">
      <x:c r="A138" s="88" t="str">
        <x:v>balance_sheet</x:v>
      </x:c>
      <x:c r="B138" s="89" t="str">
        <x:v>price_stabilization_fund</x:v>
      </x:c>
      <x:c r="C138" s="89" t="str">
        <x:v>Quỹ bình ổn giá</x:v>
      </x:c>
      <x:c r="D138" s="89" t="str">
        <x:v>Price stabilization fund</x:v>
      </x:c>
      <x:c r="E138" s="131" t="n">
        <x:v>0</x:v>
      </x:c>
      <x:c r="F138" s="131" t="n">
        <x:v>0</x:v>
      </x:c>
      <x:c r="G138" s="131" t="n">
        <x:v>0</x:v>
      </x:c>
      <x:c r="H138" s="131" t="n">
        <x:v>0</x:v>
      </x:c>
      <x:c r="I138" s="131" t="n">
        <x:v>0</x:v>
      </x:c>
      <x:c r="J138" s="89" t="str">
        <x:v>VND</x:v>
      </x:c>
      <x:c r="K138" s="89" t="str">
        <x:v>SRC-API01</x:v>
      </x:c>
      <x:c r="L138" s="98" t="str">
        <x:v>https://vnstocks.com/docs/vnstock/phan-tich-co-ban-fundamental</x:v>
      </x:c>
      <x:c r="M138" s="282" t="n">
        <x:v>46228.58256944444</x:v>
      </x:c>
    </x:row>
    <x:row r="139" ht="22" customHeight="1">
      <x:c r="A139" s="88" t="str">
        <x:v>balance_sheet</x:v>
      </x:c>
      <x:c r="B139" s="89" t="str">
        <x:v>government_bonds_purchased_for_resale</x:v>
      </x:c>
      <x:c r="C139" s="89" t="str">
        <x:v>Giao dịch mua bán lại trái phiếu chính phủ</x:v>
      </x:c>
      <x:c r="D139" s="89" t="str">
        <x:v>Government bonds purchased for resale</x:v>
      </x:c>
      <x:c r="E139" s="131" t="n">
        <x:v>0</x:v>
      </x:c>
      <x:c r="F139" s="131" t="n">
        <x:v>0</x:v>
      </x:c>
      <x:c r="G139" s="131" t="n">
        <x:v>0</x:v>
      </x:c>
      <x:c r="H139" s="131" t="n">
        <x:v>0</x:v>
      </x:c>
      <x:c r="I139" s="131" t="n">
        <x:v>0</x:v>
      </x:c>
      <x:c r="J139" s="89" t="str">
        <x:v>VND</x:v>
      </x:c>
      <x:c r="K139" s="89" t="str">
        <x:v>SRC-API01</x:v>
      </x:c>
      <x:c r="L139" s="98" t="str">
        <x:v>https://vnstocks.com/docs/vnstock/phan-tich-co-ban-fundamental</x:v>
      </x:c>
      <x:c r="M139" s="282" t="n">
        <x:v>46228.58256944444</x:v>
      </x:c>
    </x:row>
    <x:row r="140" ht="22" customHeight="1">
      <x:c r="A140" s="88" t="str">
        <x:v>balance_sheet</x:v>
      </x:c>
      <x:c r="B140" s="89" t="str">
        <x:v>long_term_advances_from_customers</x:v>
      </x:c>
      <x:c r="C140" s="89" t="str">
        <x:v>Người mua trả tiền trước dài hạn</x:v>
      </x:c>
      <x:c r="D140" s="89" t="str">
        <x:v>Long-term advances from customers</x:v>
      </x:c>
      <x:c r="E140" s="131" t="n">
        <x:v>0</x:v>
      </x:c>
      <x:c r="F140" s="131" t="n">
        <x:v>0</x:v>
      </x:c>
      <x:c r="G140" s="131" t="n">
        <x:v>0</x:v>
      </x:c>
      <x:c r="H140" s="131" t="n">
        <x:v>0</x:v>
      </x:c>
      <x:c r="I140" s="131" t="n">
        <x:v>0</x:v>
      </x:c>
      <x:c r="J140" s="89" t="str">
        <x:v>VND</x:v>
      </x:c>
      <x:c r="K140" s="89" t="str">
        <x:v>SRC-API01</x:v>
      </x:c>
      <x:c r="L140" s="98" t="str">
        <x:v>https://vnstocks.com/docs/vnstock/phan-tich-co-ban-fundamental</x:v>
      </x:c>
      <x:c r="M140" s="282" t="n">
        <x:v>46228.58256944444</x:v>
      </x:c>
    </x:row>
    <x:row r="141" ht="22" customHeight="1">
      <x:c r="A141" s="88" t="str">
        <x:v>balance_sheet</x:v>
      </x:c>
      <x:c r="B141" s="89" t="str">
        <x:v>long_term_accrued_expenses</x:v>
      </x:c>
      <x:c r="C141" s="89" t="str">
        <x:v>Chi phí phải trả dài hạn</x:v>
      </x:c>
      <x:c r="D141" s="89" t="str">
        <x:v>Long-term accrued expenses</x:v>
      </x:c>
      <x:c r="E141" s="131" t="n">
        <x:v>0</x:v>
      </x:c>
      <x:c r="F141" s="131" t="n">
        <x:v>0</x:v>
      </x:c>
      <x:c r="G141" s="131" t="n">
        <x:v>0</x:v>
      </x:c>
      <x:c r="H141" s="131" t="n">
        <x:v>0</x:v>
      </x:c>
      <x:c r="I141" s="131" t="n">
        <x:v>0</x:v>
      </x:c>
      <x:c r="J141" s="89" t="str">
        <x:v>VND</x:v>
      </x:c>
      <x:c r="K141" s="89" t="str">
        <x:v>SRC-API01</x:v>
      </x:c>
      <x:c r="L141" s="98" t="str">
        <x:v>https://vnstocks.com/docs/vnstock/phan-tich-co-ban-fundamental</x:v>
      </x:c>
      <x:c r="M141" s="282" t="n">
        <x:v>46228.58256944444</x:v>
      </x:c>
    </x:row>
    <x:row r="142" ht="22" customHeight="1">
      <x:c r="A142" s="88" t="str">
        <x:v>balance_sheet</x:v>
      </x:c>
      <x:c r="B142" s="89" t="str">
        <x:v>intra_company_payables_for_operating_capital_received</x:v>
      </x:c>
      <x:c r="C142" s="89" t="str">
        <x:v>Phải trả nội bộ về vốn kinh doanh</x:v>
      </x:c>
      <x:c r="D142" s="89" t="str">
        <x:v>Intra-company payables for operating capital received</x:v>
      </x:c>
      <x:c r="E142" s="131" t="n">
        <x:v>0</x:v>
      </x:c>
      <x:c r="F142" s="131" t="n">
        <x:v>0</x:v>
      </x:c>
      <x:c r="G142" s="131" t="n">
        <x:v>0</x:v>
      </x:c>
      <x:c r="H142" s="131" t="n">
        <x:v>0</x:v>
      </x:c>
      <x:c r="I142" s="131" t="n">
        <x:v>0</x:v>
      </x:c>
      <x:c r="J142" s="89" t="str">
        <x:v>VND</x:v>
      </x:c>
      <x:c r="K142" s="89" t="str">
        <x:v>SRC-API01</x:v>
      </x:c>
      <x:c r="L142" s="98" t="str">
        <x:v>https://vnstocks.com/docs/vnstock/phan-tich-co-ban-fundamental</x:v>
      </x:c>
      <x:c r="M142" s="282" t="n">
        <x:v>46228.58256944444</x:v>
      </x:c>
    </x:row>
    <x:row r="143" ht="22" customHeight="1">
      <x:c r="A143" s="88" t="str">
        <x:v>balance_sheet</x:v>
      </x:c>
      <x:c r="B143" s="89" t="str">
        <x:v>convertible_bonds</x:v>
      </x:c>
      <x:c r="C143" s="89" t="str">
        <x:v>Trái phiếu chuyển đổi</x:v>
      </x:c>
      <x:c r="D143" s="89" t="str">
        <x:v>Convertible bonds</x:v>
      </x:c>
      <x:c r="E143" s="131" t="n">
        <x:v>0</x:v>
      </x:c>
      <x:c r="F143" s="131" t="n">
        <x:v>0</x:v>
      </x:c>
      <x:c r="G143" s="131" t="n">
        <x:v>0</x:v>
      </x:c>
      <x:c r="H143" s="131" t="n">
        <x:v>0</x:v>
      </x:c>
      <x:c r="I143" s="131" t="n">
        <x:v>0</x:v>
      </x:c>
      <x:c r="J143" s="89" t="str">
        <x:v>VND</x:v>
      </x:c>
      <x:c r="K143" s="89" t="str">
        <x:v>SRC-API01</x:v>
      </x:c>
      <x:c r="L143" s="98" t="str">
        <x:v>https://vnstocks.com/docs/vnstock/phan-tich-co-ban-fundamental</x:v>
      </x:c>
      <x:c r="M143" s="282" t="n">
        <x:v>46228.58256944444</x:v>
      </x:c>
    </x:row>
    <x:row r="144" ht="22" customHeight="1">
      <x:c r="A144" s="88" t="str">
        <x:v>balance_sheet</x:v>
      </x:c>
      <x:c r="B144" s="89" t="str">
        <x:v>preferred_shares</x:v>
      </x:c>
      <x:c r="C144" s="89" t="str">
        <x:v>Cổ phiếu ưu đãi</x:v>
      </x:c>
      <x:c r="D144" s="89" t="str">
        <x:v>Preferred shares</x:v>
      </x:c>
      <x:c r="E144" s="131" t="n">
        <x:v>0</x:v>
      </x:c>
      <x:c r="F144" s="131" t="n">
        <x:v>0</x:v>
      </x:c>
      <x:c r="G144" s="131" t="n">
        <x:v>0</x:v>
      </x:c>
      <x:c r="H144" s="131" t="n">
        <x:v>0</x:v>
      </x:c>
      <x:c r="I144" s="131" t="n">
        <x:v>0</x:v>
      </x:c>
      <x:c r="J144" s="89" t="str">
        <x:v>VND</x:v>
      </x:c>
      <x:c r="K144" s="89" t="str">
        <x:v>SRC-API01</x:v>
      </x:c>
      <x:c r="L144" s="98" t="str">
        <x:v>https://vnstocks.com/docs/vnstock/phan-tich-co-ban-fundamental</x:v>
      </x:c>
      <x:c r="M144" s="282" t="n">
        <x:v>46228.58256944444</x:v>
      </x:c>
    </x:row>
    <x:row r="145" ht="22" customHeight="1">
      <x:c r="A145" s="88" t="str">
        <x:v>balance_sheet</x:v>
      </x:c>
      <x:c r="B145" s="89" t="str">
        <x:v>common_shares</x:v>
      </x:c>
      <x:c r="C145" s="89" t="str">
        <x:v>Cổ phiếu phổ thông</x:v>
      </x:c>
      <x:c r="D145" s="89" t="str">
        <x:v>Common shares</x:v>
      </x:c>
      <x:c r="E145" s="131" t="n">
        <x:v>3013779570000</x:v>
      </x:c>
      <x:c r="F145" s="131" t="n">
        <x:v>3013779570000</x:v>
      </x:c>
      <x:c r="G145" s="131" t="n">
        <x:v>3058985570000</x:v>
      </x:c>
      <x:c r="H145" s="131" t="n">
        <x:v>4139826090000</x:v>
      </x:c>
      <x:c r="I145" s="131" t="n">
        <x:v>4264951090000</x:v>
      </x:c>
      <x:c r="J145" s="89" t="str">
        <x:v>VND</x:v>
      </x:c>
      <x:c r="K145" s="89" t="str">
        <x:v>SRC-API01</x:v>
      </x:c>
      <x:c r="L145" s="98" t="str">
        <x:v>https://vnstocks.com/docs/vnstock/phan-tich-co-ban-fundamental</x:v>
      </x:c>
      <x:c r="M145" s="282" t="n">
        <x:v>46228.58256944444</x:v>
      </x:c>
    </x:row>
    <x:row r="146" ht="22" customHeight="1">
      <x:c r="A146" s="88" t="str">
        <x:v>balance_sheet</x:v>
      </x:c>
      <x:c r="B146" s="89" t="str">
        <x:v>conversion_options_on_convertible_bonds</x:v>
      </x:c>
      <x:c r="C146" s="89" t="str">
        <x:v>Quyền chọn chuyển đổi trái phiếu</x:v>
      </x:c>
      <x:c r="D146" s="89" t="str">
        <x:v>Conversion options on convertible bonds</x:v>
      </x:c>
      <x:c r="E146" s="131" t="n">
        <x:v>0</x:v>
      </x:c>
      <x:c r="F146" s="131" t="n">
        <x:v>0</x:v>
      </x:c>
      <x:c r="G146" s="131" t="n">
        <x:v>0</x:v>
      </x:c>
      <x:c r="H146" s="131" t="n">
        <x:v>0</x:v>
      </x:c>
      <x:c r="I146" s="131" t="n">
        <x:v>0</x:v>
      </x:c>
      <x:c r="J146" s="89" t="str">
        <x:v>VND</x:v>
      </x:c>
      <x:c r="K146" s="89" t="str">
        <x:v>SRC-API01</x:v>
      </x:c>
      <x:c r="L146" s="98" t="str">
        <x:v>https://vnstocks.com/docs/vnstock/phan-tich-co-ban-fundamental</x:v>
      </x:c>
      <x:c r="M146" s="282" t="n">
        <x:v>46228.58256944444</x:v>
      </x:c>
    </x:row>
    <x:row r="147" ht="22" customHeight="1">
      <x:c r="A147" s="88" t="str">
        <x:v>balance_sheet</x:v>
      </x:c>
      <x:c r="B147" s="89" t="str">
        <x:v>beginning_accumulated_undistributed_earnings</x:v>
      </x:c>
      <x:c r="C147" s="89" t="str">
        <x:v>LNST chưa phân phối lũy kế đến cuối kỳ trước</x:v>
      </x:c>
      <x:c r="D147" s="89" t="str">
        <x:v>Beginning accumulated undistributed earnings</x:v>
      </x:c>
      <x:c r="E147" s="131" t="n">
        <x:v>49037490723</x:v>
      </x:c>
      <x:c r="F147" s="131" t="n">
        <x:v>233470986603</x:v>
      </x:c>
      <x:c r="G147" s="131" t="n">
        <x:v>712936669108</x:v>
      </x:c>
      <x:c r="H147" s="131" t="n">
        <x:v>2161660323888</x:v>
      </x:c>
      <x:c r="I147" s="131" t="n">
        <x:v>2457006916111</x:v>
      </x:c>
      <x:c r="J147" s="89" t="str">
        <x:v>VND</x:v>
      </x:c>
      <x:c r="K147" s="89" t="str">
        <x:v>SRC-API01</x:v>
      </x:c>
      <x:c r="L147" s="98" t="str">
        <x:v>https://vnstocks.com/docs/vnstock/phan-tich-co-ban-fundamental</x:v>
      </x:c>
      <x:c r="M147" s="282" t="n">
        <x:v>46228.58256944444</x:v>
      </x:c>
    </x:row>
    <x:row r="148" ht="22" customHeight="1">
      <x:c r="A148" s="88" t="str">
        <x:v>balance_sheet</x:v>
      </x:c>
      <x:c r="B148" s="89" t="str">
        <x:v>current_period_undistributed_earnings</x:v>
      </x:c>
      <x:c r="C148" s="89" t="str">
        <x:v>LNST chưa phân phối kỳ này</x:v>
      </x:c>
      <x:c r="D148" s="89" t="str">
        <x:v>Current period undistributed earnings</x:v>
      </x:c>
      <x:c r="E148" s="131" t="n">
        <x:v>612182073397</x:v>
      </x:c>
      <x:c r="F148" s="131" t="n">
        <x:v>993915564733</x:v>
      </x:c>
      <x:c r="G148" s="131" t="n">
        <x:v>2250577339920</x:v>
      </x:c>
      <x:c r="H148" s="131" t="n">
        <x:v>1455479595602</x:v>
      </x:c>
      <x:c r="I148" s="131" t="n">
        <x:v>1755629825296</x:v>
      </x:c>
      <x:c r="J148" s="89" t="str">
        <x:v>VND</x:v>
      </x:c>
      <x:c r="K148" s="89" t="str">
        <x:v>SRC-API01</x:v>
      </x:c>
      <x:c r="L148" s="98" t="str">
        <x:v>https://vnstocks.com/docs/vnstock/phan-tich-co-ban-fundamental</x:v>
      </x:c>
      <x:c r="M148" s="282" t="n">
        <x:v>46228.58256944444</x:v>
      </x:c>
    </x:row>
    <x:row r="149" ht="22" customHeight="1">
      <x:c r="A149" s="88" t="str">
        <x:v>balance_sheet</x:v>
      </x:c>
      <x:c r="B149" s="89" t="str">
        <x:v>construction_in_progress</x:v>
      </x:c>
      <x:c r="C149" s="89" t="str">
        <x:v>Xây dựng cơ bản đang dở dang</x:v>
      </x:c>
      <x:c r="D149" s="89" t="str">
        <x:v>Construction in progress</x:v>
      </x:c>
      <x:c r="E149" s="131" t="n">
        <x:v>1746637876859</x:v>
      </x:c>
      <x:c r="F149" s="131" t="n">
        <x:v>2790192939751</x:v>
      </x:c>
      <x:c r="G149" s="131" t="n">
        <x:v>1759344470822</x:v>
      </x:c>
      <x:c r="H149" s="131" t="n">
        <x:v>1718132778160</x:v>
      </x:c>
      <x:c r="I149" s="131" t="n">
        <x:v>1269929190028</x:v>
      </x:c>
      <x:c r="J149" s="89" t="str">
        <x:v>VND</x:v>
      </x:c>
      <x:c r="K149" s="89" t="str">
        <x:v>SRC-API01</x:v>
      </x:c>
      <x:c r="L149" s="98" t="str">
        <x:v>https://vnstocks.com/docs/vnstock/phan-tich-co-ban-fundamental</x:v>
      </x:c>
      <x:c r="M149" s="282" t="n">
        <x:v>46228.58256944444</x:v>
      </x:c>
    </x:row>
    <x:row r="150" ht="22" customHeight="1">
      <x:c r="A150" s="88" t="str">
        <x:v>balance_sheet</x:v>
      </x:c>
      <x:c r="B150" s="89" t="str">
        <x:v>goodwill</x:v>
      </x:c>
      <x:c r="C150" s="89" t="str">
        <x:v>Lợi thế thương mại</x:v>
      </x:c>
      <x:c r="D150" s="89" t="str">
        <x:v>Goodwill</x:v>
      </x:c>
      <x:c r="E150" s="131" t="n">
        <x:v>213927879951</x:v>
      </x:c>
      <x:c r="F150" s="131" t="n">
        <x:v>186324282538</x:v>
      </x:c>
      <x:c r="G150" s="131" t="n">
        <x:v>158720685125</x:v>
      </x:c>
      <x:c r="H150" s="131" t="n">
        <x:v>131117087712</x:v>
      </x:c>
      <x:c r="I150" s="131" t="n">
        <x:v>133323889049</x:v>
      </x:c>
      <x:c r="J150" s="89" t="str">
        <x:v>VND</x:v>
      </x:c>
      <x:c r="K150" s="89" t="str">
        <x:v>SRC-API01</x:v>
      </x:c>
      <x:c r="L150" s="98" t="str">
        <x:v>https://vnstocks.com/docs/vnstock/phan-tich-co-ban-fundamental</x:v>
      </x:c>
      <x:c r="M150" s="282" t="n">
        <x:v>46228.58256944444</x:v>
      </x:c>
    </x:row>
    <x:row r="151" ht="22" customHeight="1">
      <x:c r="A151" s="88" t="str">
        <x:v>balance_sheet</x:v>
      </x:c>
      <x:c r="B151" s="89" t="str">
        <x:v>minority_interests</x:v>
      </x:c>
      <x:c r="C151" s="89" t="str">
        <x:v>Lợi ích cổ đông không kiểm soát</x:v>
      </x:c>
      <x:c r="D151" s="89" t="str">
        <x:v>Minority interests</x:v>
      </x:c>
      <x:c r="E151" s="131" t="n">
        <x:v>725657516991</x:v>
      </x:c>
      <x:c r="F151" s="131" t="n">
        <x:v>1021703565834</x:v>
      </x:c>
      <x:c r="G151" s="131" t="n">
        <x:v>1151888665342</x:v>
      </x:c>
      <x:c r="H151" s="131" t="n">
        <x:v>1390036816744</x:v>
      </x:c>
      <x:c r="I151" s="131" t="n">
        <x:v>1778426741259</x:v>
      </x:c>
      <x:c r="J151" s="89" t="str">
        <x:v>VND</x:v>
      </x:c>
      <x:c r="K151" s="89" t="str">
        <x:v>SRC-API01</x:v>
      </x:c>
      <x:c r="L151" s="98" t="str">
        <x:v>https://vnstocks.com/docs/vnstock/phan-tich-co-ban-fundamental</x:v>
      </x:c>
      <x:c r="M151" s="282" t="n">
        <x:v>46228.58256944444</x:v>
      </x:c>
    </x:row>
    <x:row r="152" ht="22" customHeight="1">
      <x:c r="A152" s="88" t="str">
        <x:v>balance_sheet</x:v>
      </x:c>
      <x:c r="B152" s="89" t="str">
        <x:v>funds_used_for_fixed_asset_acquisitions</x:v>
      </x:c>
      <x:c r="C152" s="89" t="str">
        <x:v>Nguồn kinh phí đã hình thành TSCĐ</x:v>
      </x:c>
      <x:c r="D152" s="89" t="str">
        <x:v>Funds used for fixed asset acquisitions</x:v>
      </x:c>
      <x:c r="E152" s="131" t="n">
        <x:v>0</x:v>
      </x:c>
      <x:c r="F152" s="131" t="n">
        <x:v>0</x:v>
      </x:c>
      <x:c r="G152" s="131" t="n">
        <x:v>0</x:v>
      </x:c>
      <x:c r="H152" s="131" t="n">
        <x:v>0</x:v>
      </x:c>
      <x:c r="I152" s="131" t="n">
        <x:v>0</x:v>
      </x:c>
      <x:c r="J152" s="89" t="str">
        <x:v>VND</x:v>
      </x:c>
      <x:c r="K152" s="89" t="str">
        <x:v>SRC-API01</x:v>
      </x:c>
      <x:c r="L152" s="98" t="str">
        <x:v>https://vnstocks.com/docs/vnstock/phan-tich-co-ban-fundamental</x:v>
      </x:c>
      <x:c r="M152" s="282" t="n">
        <x:v>46228.58256944444</x:v>
      </x:c>
    </x:row>
    <x:row r="153" ht="22" customHeight="1">
      <x:c r="A153" s="88" t="str">
        <x:v>cash_flow</x:v>
      </x:c>
      <x:c r="B153" s="89" t="str">
        <x:v>net_profit_loss_before_tax</x:v>
      </x:c>
      <x:c r="C153" s="89" t="str">
        <x:v>Lợi nhuận/(lỗ) trước thuế</x:v>
      </x:c>
      <x:c r="D153" s="89" t="str">
        <x:v>Net profit/(loss) before tax</x:v>
      </x:c>
      <x:c r="E153" s="131" t="n">
        <x:v>806212155016</x:v>
      </x:c>
      <x:c r="F153" s="131" t="n">
        <x:v>1308477949805</x:v>
      </x:c>
      <x:c r="G153" s="131" t="n">
        <x:v>3147487212943</x:v>
      </x:c>
      <x:c r="H153" s="131" t="n">
        <x:v>2098590309616</x:v>
      </x:c>
      <x:c r="I153" s="131" t="n">
        <x:v>2520827146590</x:v>
      </x:c>
      <x:c r="J153" s="89" t="str">
        <x:v>VND</x:v>
      </x:c>
      <x:c r="K153" s="89" t="str">
        <x:v>SRC-API01</x:v>
      </x:c>
      <x:c r="L153" s="98" t="str">
        <x:v>https://vnstocks.com/docs/vnstock/phan-tich-co-ban-fundamental</x:v>
      </x:c>
      <x:c r="M153" s="282" t="n">
        <x:v>46228.58256944444</x:v>
      </x:c>
    </x:row>
    <x:row r="154" ht="22" customHeight="1">
      <x:c r="A154" s="88" t="str">
        <x:v>cash_flow</x:v>
      </x:c>
      <x:c r="B154" s="89" t="str">
        <x:v>depreciation_and_amortization</x:v>
      </x:c>
      <x:c r="C154" s="89" t="str">
        <x:v>Khấu hao TSCĐ và BĐSĐT</x:v>
      </x:c>
      <x:c r="D154" s="89" t="str">
        <x:v>Depreciation and amortization</x:v>
      </x:c>
      <x:c r="E154" s="131" t="n">
        <x:v>379546125928</x:v>
      </x:c>
      <x:c r="F154" s="131" t="n">
        <x:v>393185025852</x:v>
      </x:c>
      <x:c r="G154" s="131" t="n">
        <x:v>396417877879</x:v>
      </x:c>
      <x:c r="H154" s="131" t="n">
        <x:v>405544194113</x:v>
      </x:c>
      <x:c r="I154" s="131" t="n">
        <x:v>415219036556</x:v>
      </x:c>
      <x:c r="J154" s="89" t="str">
        <x:v>VND</x:v>
      </x:c>
      <x:c r="K154" s="89" t="str">
        <x:v>SRC-API01</x:v>
      </x:c>
      <x:c r="L154" s="98" t="str">
        <x:v>https://vnstocks.com/docs/vnstock/phan-tich-co-ban-fundamental</x:v>
      </x:c>
      <x:c r="M154" s="282" t="n">
        <x:v>46228.58256944444</x:v>
      </x:c>
    </x:row>
    <x:row r="155" ht="22" customHeight="1">
      <x:c r="A155" s="88" t="str">
        <x:v>cash_flow</x:v>
      </x:c>
      <x:c r="B155" s="89" t="str">
        <x:v>provisions</x:v>
      </x:c>
      <x:c r="C155" s="89" t="str">
        <x:v>Chi phí dự phòng</x:v>
      </x:c>
      <x:c r="D155" s="89" t="str">
        <x:v>Provisions</x:v>
      </x:c>
      <x:c r="E155" s="131" t="n">
        <x:v>101005425598</x:v>
      </x:c>
      <x:c r="F155" s="131" t="n">
        <x:v>-26270725784</x:v>
      </x:c>
      <x:c r="G155" s="131" t="n">
        <x:v>-22060823541</x:v>
      </x:c>
      <x:c r="H155" s="131" t="n">
        <x:v>102796790751</x:v>
      </x:c>
      <x:c r="I155" s="131" t="n">
        <x:v>-14128589765</x:v>
      </x:c>
      <x:c r="J155" s="89" t="str">
        <x:v>VND</x:v>
      </x:c>
      <x:c r="K155" s="89" t="str">
        <x:v>SRC-API01</x:v>
      </x:c>
      <x:c r="L155" s="98" t="str">
        <x:v>https://vnstocks.com/docs/vnstock/phan-tich-co-ban-fundamental</x:v>
      </x:c>
      <x:c r="M155" s="282" t="n">
        <x:v>46228.58256944444</x:v>
      </x:c>
    </x:row>
    <x:row r="156" ht="22" customHeight="1">
      <x:c r="A156" s="88" t="str">
        <x:v>cash_flow</x:v>
      </x:c>
      <x:c r="B156" s="89" t="str">
        <x:v>unrealized_foreign_exchange_gain_loss</x:v>
      </x:c>
      <x:c r="C156" s="89" t="str">
        <x:v>Lãi/lỗ chênh lệch tỷ giá hối đoái do đánh giá lại các khoản mục tiền tệ có gốc ngoại tệ</x:v>
      </x:c>
      <x:c r="D156" s="89" t="str">
        <x:v>Unrealized foreign exchange gain/(loss)</x:v>
      </x:c>
      <x:c r="E156" s="131" t="n">
        <x:v>-1291611011</x:v>
      </x:c>
      <x:c r="F156" s="131" t="n">
        <x:v>6996393760</x:v>
      </x:c>
      <x:c r="G156" s="131" t="n">
        <x:v>-2630513181</x:v>
      </x:c>
      <x:c r="H156" s="131" t="n">
        <x:v>-4658386010</x:v>
      </x:c>
      <x:c r="I156" s="131" t="n">
        <x:v>-10877884553</x:v>
      </x:c>
      <x:c r="J156" s="89" t="str">
        <x:v>VND</x:v>
      </x:c>
      <x:c r="K156" s="89" t="str">
        <x:v>SRC-API01</x:v>
      </x:c>
      <x:c r="L156" s="98" t="str">
        <x:v>https://vnstocks.com/docs/vnstock/phan-tich-co-ban-fundamental</x:v>
      </x:c>
      <x:c r="M156" s="282" t="n">
        <x:v>46228.58256944444</x:v>
      </x:c>
    </x:row>
    <x:row r="157" ht="22" customHeight="1">
      <x:c r="A157" s="88" t="str">
        <x:v>cash_flow</x:v>
      </x:c>
      <x:c r="B157" s="89" t="str">
        <x:v>profit_loss_from_liquidating_fixed_assets</x:v>
      </x:c>
      <x:c r="C157" s="89" t="str">
        <x:v>Lãi/(lỗ) từ thanh lý tài sản cố định</x:v>
      </x:c>
      <x:c r="D157" s="89" t="str">
        <x:v>Profit/loss from liquidating fixed assets</x:v>
      </x:c>
      <x:c r="E157" s="131" t="n">
        <x:v>0</x:v>
      </x:c>
      <x:c r="F157" s="131" t="n">
        <x:v>0</x:v>
      </x:c>
      <x:c r="G157" s="131" t="n">
        <x:v>0</x:v>
      </x:c>
      <x:c r="H157" s="131" t="n">
        <x:v>0</x:v>
      </x:c>
      <x:c r="I157" s="131" t="n">
        <x:v>0</x:v>
      </x:c>
      <x:c r="J157" s="89" t="str">
        <x:v>VND</x:v>
      </x:c>
      <x:c r="K157" s="89" t="str">
        <x:v>SRC-API01</x:v>
      </x:c>
      <x:c r="L157" s="98" t="str">
        <x:v>https://vnstocks.com/docs/vnstock/phan-tich-co-ban-fundamental</x:v>
      </x:c>
      <x:c r="M157" s="282" t="n">
        <x:v>46228.58256944444</x:v>
      </x:c>
    </x:row>
    <x:row r="158" ht="22" customHeight="1">
      <x:c r="A158" s="88" t="str">
        <x:v>cash_flow</x:v>
      </x:c>
      <x:c r="B158" s="89" t="str">
        <x:v>profit_loss_from_investing_activities</x:v>
      </x:c>
      <x:c r="C158" s="89" t="str">
        <x:v>(Lãi)/lỗ từ hoạt động đầu tư</x:v>
      </x:c>
      <x:c r="D158" s="89" t="str">
        <x:v>Profit/loss from investing activities</x:v>
      </x:c>
      <x:c r="E158" s="131" t="n">
        <x:v>-193556811497</x:v>
      </x:c>
      <x:c r="F158" s="131" t="n">
        <x:v>-412441183177</x:v>
      </x:c>
      <x:c r="G158" s="131" t="n">
        <x:v>-2213005870827</x:v>
      </x:c>
      <x:c r="H158" s="131" t="n">
        <x:v>-823434453484</x:v>
      </x:c>
      <x:c r="I158" s="131" t="n">
        <x:v>-945387787283</x:v>
      </x:c>
      <x:c r="J158" s="89" t="str">
        <x:v>VND</x:v>
      </x:c>
      <x:c r="K158" s="89" t="str">
        <x:v>SRC-API01</x:v>
      </x:c>
      <x:c r="L158" s="98" t="str">
        <x:v>https://vnstocks.com/docs/vnstock/phan-tich-co-ban-fundamental</x:v>
      </x:c>
      <x:c r="M158" s="282" t="n">
        <x:v>46228.58256944444</x:v>
      </x:c>
    </x:row>
    <x:row r="159" ht="22" customHeight="1">
      <x:c r="A159" s="88" t="str">
        <x:v>cash_flow</x:v>
      </x:c>
      <x:c r="B159" s="89" t="str">
        <x:v>interest_expense</x:v>
      </x:c>
      <x:c r="C159" s="89" t="str">
        <x:v>Chi phí lãi vay</x:v>
      </x:c>
      <x:c r="D159" s="89" t="str">
        <x:v>Interest expense</x:v>
      </x:c>
      <x:c r="E159" s="131" t="n">
        <x:v>119252955378</x:v>
      </x:c>
      <x:c r="F159" s="131" t="n">
        <x:v>130756997659</x:v>
      </x:c>
      <x:c r="G159" s="131" t="n">
        <x:v>134993138662</x:v>
      </x:c>
      <x:c r="H159" s="131" t="n">
        <x:v>139487501839</x:v>
      </x:c>
      <x:c r="I159" s="131" t="n">
        <x:v>112580748513</x:v>
      </x:c>
      <x:c r="J159" s="89" t="str">
        <x:v>VND</x:v>
      </x:c>
      <x:c r="K159" s="89" t="str">
        <x:v>SRC-API01</x:v>
      </x:c>
      <x:c r="L159" s="98" t="str">
        <x:v>https://vnstocks.com/docs/vnstock/phan-tich-co-ban-fundamental</x:v>
      </x:c>
      <x:c r="M159" s="282" t="n">
        <x:v>46228.58256944444</x:v>
      </x:c>
    </x:row>
    <x:row r="160" ht="22" customHeight="1">
      <x:c r="A160" s="88" t="str">
        <x:v>cash_flow</x:v>
      </x:c>
      <x:c r="B160" s="89" t="str">
        <x:v>interest_income_and_dividend</x:v>
      </x:c>
      <x:c r="C160" s="89" t="str">
        <x:v>Thu lãi và cổ tức</x:v>
      </x:c>
      <x:c r="D160" s="89" t="str">
        <x:v>Interest income and dividend</x:v>
      </x:c>
      <x:c r="E160" s="131" t="n">
        <x:v>0</x:v>
      </x:c>
      <x:c r="F160" s="131" t="n">
        <x:v>0</x:v>
      </x:c>
      <x:c r="G160" s="131" t="n">
        <x:v>0</x:v>
      </x:c>
      <x:c r="H160" s="131" t="n">
        <x:v>0</x:v>
      </x:c>
      <x:c r="I160" s="131" t="n">
        <x:v>0</x:v>
      </x:c>
      <x:c r="J160" s="89" t="str">
        <x:v>VND</x:v>
      </x:c>
      <x:c r="K160" s="89" t="str">
        <x:v>SRC-API01</x:v>
      </x:c>
      <x:c r="L160" s="98" t="str">
        <x:v>https://vnstocks.com/docs/vnstock/phan-tich-co-ban-fundamental</x:v>
      </x:c>
      <x:c r="M160" s="282" t="n">
        <x:v>46228.58256944444</x:v>
      </x:c>
    </x:row>
    <x:row r="161" ht="22" customHeight="1">
      <x:c r="A161" s="88" t="str">
        <x:v>cash_flow</x:v>
      </x:c>
      <x:c r="B161" s="89" t="str">
        <x:v>operating_profit_loss_before_changes_in_working_capital</x:v>
      </x:c>
      <x:c r="C161" s="89" t="str">
        <x:v>Lợi nhuận/(lỗ) từ hoạt động kinh doanh trước những thay đổi vốn lưu động</x:v>
      </x:c>
      <x:c r="D161" s="89" t="str">
        <x:v>Operating profit/(loss) before changes in Working Capital</x:v>
      </x:c>
      <x:c r="E161" s="131" t="n">
        <x:v>1211168239412</x:v>
      </x:c>
      <x:c r="F161" s="131" t="n">
        <x:v>1400704458115</x:v>
      </x:c>
      <x:c r="G161" s="131" t="n">
        <x:v>1441201021935</x:v>
      </x:c>
      <x:c r="H161" s="131" t="n">
        <x:v>1918325956825</x:v>
      </x:c>
      <x:c r="I161" s="131" t="n">
        <x:v>2078232670058</x:v>
      </x:c>
      <x:c r="J161" s="89" t="str">
        <x:v>VND</x:v>
      </x:c>
      <x:c r="K161" s="89" t="str">
        <x:v>SRC-API01</x:v>
      </x:c>
      <x:c r="L161" s="98" t="str">
        <x:v>https://vnstocks.com/docs/vnstock/phan-tich-co-ban-fundamental</x:v>
      </x:c>
      <x:c r="M161" s="282" t="n">
        <x:v>46228.58256944444</x:v>
      </x:c>
    </x:row>
    <x:row r="162" ht="22" customHeight="1">
      <x:c r="A162" s="88" t="str">
        <x:v>cash_flow</x:v>
      </x:c>
      <x:c r="B162" s="89" t="str">
        <x:v>increase_decrease_in_receivables</x:v>
      </x:c>
      <x:c r="C162" s="89" t="str">
        <x:v>(Tăng)/giảm các khoản phải thu</x:v>
      </x:c>
      <x:c r="D162" s="89" t="str">
        <x:v>(Increase)/decrease in receivables</x:v>
      </x:c>
      <x:c r="E162" s="131" t="n">
        <x:v>6115164743</x:v>
      </x:c>
      <x:c r="F162" s="131" t="n">
        <x:v>-185782265127</x:v>
      </x:c>
      <x:c r="G162" s="131" t="n">
        <x:v>383528564483</x:v>
      </x:c>
      <x:c r="H162" s="131" t="n">
        <x:v>151701348565</x:v>
      </x:c>
      <x:c r="I162" s="131" t="n">
        <x:v>344753071999</x:v>
      </x:c>
      <x:c r="J162" s="89" t="str">
        <x:v>VND</x:v>
      </x:c>
      <x:c r="K162" s="89" t="str">
        <x:v>SRC-API01</x:v>
      </x:c>
      <x:c r="L162" s="98" t="str">
        <x:v>https://vnstocks.com/docs/vnstock/phan-tich-co-ban-fundamental</x:v>
      </x:c>
      <x:c r="M162" s="282" t="n">
        <x:v>46228.58256944444</x:v>
      </x:c>
    </x:row>
    <x:row r="163" ht="22" customHeight="1">
      <x:c r="A163" s="88" t="str">
        <x:v>cash_flow</x:v>
      </x:c>
      <x:c r="B163" s="89" t="str">
        <x:v>increase_decrease_in_inventories</x:v>
      </x:c>
      <x:c r="C163" s="89" t="str">
        <x:v>(Tăng)/giảm hàng tồn kho</x:v>
      </x:c>
      <x:c r="D163" s="89" t="str">
        <x:v>(Increase)/decrease in inventories</x:v>
      </x:c>
      <x:c r="E163" s="131" t="n">
        <x:v>8456906910</x:v>
      </x:c>
      <x:c r="F163" s="131" t="n">
        <x:v>-13752541231</x:v>
      </x:c>
      <x:c r="G163" s="131" t="n">
        <x:v>24702300246</x:v>
      </x:c>
      <x:c r="H163" s="131" t="n">
        <x:v>-11919647669</x:v>
      </x:c>
      <x:c r="I163" s="131" t="n">
        <x:v>-9058127008</x:v>
      </x:c>
      <x:c r="J163" s="89" t="str">
        <x:v>VND</x:v>
      </x:c>
      <x:c r="K163" s="89" t="str">
        <x:v>SRC-API01</x:v>
      </x:c>
      <x:c r="L163" s="98" t="str">
        <x:v>https://vnstocks.com/docs/vnstock/phan-tich-co-ban-fundamental</x:v>
      </x:c>
      <x:c r="M163" s="282" t="n">
        <x:v>46228.58256944444</x:v>
      </x:c>
    </x:row>
    <x:row r="164" ht="22" customHeight="1">
      <x:c r="A164" s="88" t="str">
        <x:v>cash_flow</x:v>
      </x:c>
      <x:c r="B164" s="89" t="str">
        <x:v>increase_decrease_in_payables</x:v>
      </x:c>
      <x:c r="C164" s="89" t="str">
        <x:v>Tăng/(giảm) các khoản phải trả</x:v>
      </x:c>
      <x:c r="D164" s="89" t="str">
        <x:v>Increase/(decrease) in payables</x:v>
      </x:c>
      <x:c r="E164" s="131" t="n">
        <x:v>-30962460624</x:v>
      </x:c>
      <x:c r="F164" s="131" t="n">
        <x:v>1392985360410</x:v>
      </x:c>
      <x:c r="G164" s="131" t="n">
        <x:v>-1073170928312</x:v>
      </x:c>
      <x:c r="H164" s="131" t="n">
        <x:v>-34738738791</x:v>
      </x:c>
      <x:c r="I164" s="131" t="n">
        <x:v>278103091855</x:v>
      </x:c>
      <x:c r="J164" s="89" t="str">
        <x:v>VND</x:v>
      </x:c>
      <x:c r="K164" s="89" t="str">
        <x:v>SRC-API01</x:v>
      </x:c>
      <x:c r="L164" s="98" t="str">
        <x:v>https://vnstocks.com/docs/vnstock/phan-tich-co-ban-fundamental</x:v>
      </x:c>
      <x:c r="M164" s="282" t="n">
        <x:v>46228.58256944444</x:v>
      </x:c>
    </x:row>
    <x:row r="165" ht="22" customHeight="1">
      <x:c r="A165" s="88" t="str">
        <x:v>cash_flow</x:v>
      </x:c>
      <x:c r="B165" s="89" t="str">
        <x:v>increase_decrease_in_prepaid_expenses</x:v>
      </x:c>
      <x:c r="C165" s="89" t="str">
        <x:v>(Tăng)/giảm chi phí trả trước</x:v>
      </x:c>
      <x:c r="D165" s="89" t="str">
        <x:v>(Increase)/decrease in prepaid expenses</x:v>
      </x:c>
      <x:c r="E165" s="131" t="n">
        <x:v>11332195824</x:v>
      </x:c>
      <x:c r="F165" s="131" t="n">
        <x:v>9899646117</x:v>
      </x:c>
      <x:c r="G165" s="131" t="n">
        <x:v>23813122803</x:v>
      </x:c>
      <x:c r="H165" s="131" t="n">
        <x:v>-74648483580</x:v>
      </x:c>
      <x:c r="I165" s="131" t="n">
        <x:v>-93984329081</x:v>
      </x:c>
      <x:c r="J165" s="89" t="str">
        <x:v>VND</x:v>
      </x:c>
      <x:c r="K165" s="89" t="str">
        <x:v>SRC-API01</x:v>
      </x:c>
      <x:c r="L165" s="98" t="str">
        <x:v>https://vnstocks.com/docs/vnstock/phan-tich-co-ban-fundamental</x:v>
      </x:c>
      <x:c r="M165" s="282" t="n">
        <x:v>46228.58256944444</x:v>
      </x:c>
    </x:row>
    <x:row r="166" ht="22" customHeight="1">
      <x:c r="A166" s="88" t="str">
        <x:v>cash_flow</x:v>
      </x:c>
      <x:c r="B166" s="89" t="str">
        <x:v>interest_paid</x:v>
      </x:c>
      <x:c r="C166" s="89" t="str">
        <x:v>Tiền lãi vay đã trả</x:v>
      </x:c>
      <x:c r="D166" s="89" t="str">
        <x:v>Interest paid</x:v>
      </x:c>
      <x:c r="E166" s="131" t="n">
        <x:v>-125739991542</x:v>
      </x:c>
      <x:c r="F166" s="131" t="n">
        <x:v>-125924664584</x:v>
      </x:c>
      <x:c r="G166" s="131" t="n">
        <x:v>-139730551008</x:v>
      </x:c>
      <x:c r="H166" s="131" t="n">
        <x:v>-141493134412</x:v>
      </x:c>
      <x:c r="I166" s="131" t="n">
        <x:v>-116338008707</x:v>
      </x:c>
      <x:c r="J166" s="89" t="str">
        <x:v>VND</x:v>
      </x:c>
      <x:c r="K166" s="89" t="str">
        <x:v>SRC-API01</x:v>
      </x:c>
      <x:c r="L166" s="98" t="str">
        <x:v>https://vnstocks.com/docs/vnstock/phan-tich-co-ban-fundamental</x:v>
      </x:c>
      <x:c r="M166" s="282" t="n">
        <x:v>46228.58256944444</x:v>
      </x:c>
    </x:row>
    <x:row r="167" ht="22" customHeight="1">
      <x:c r="A167" s="88" t="str">
        <x:v>cash_flow</x:v>
      </x:c>
      <x:c r="B167" s="89" t="str">
        <x:v>corporate_income_tax_paid</x:v>
      </x:c>
      <x:c r="C167" s="89" t="str">
        <x:v>Thuế thu nhập doanh nghiệp đã nộp</x:v>
      </x:c>
      <x:c r="D167" s="89" t="str">
        <x:v>Corporate Income Tax paid</x:v>
      </x:c>
      <x:c r="E167" s="131" t="n">
        <x:v>-102791928222</x:v>
      </x:c>
      <x:c r="F167" s="131" t="n">
        <x:v>-147473893753</x:v>
      </x:c>
      <x:c r="G167" s="131" t="n">
        <x:v>-624980841588</x:v>
      </x:c>
      <x:c r="H167" s="131" t="n">
        <x:v>-241989987693</x:v>
      </x:c>
      <x:c r="I167" s="131" t="n">
        <x:v>-243715221798</x:v>
      </x:c>
      <x:c r="J167" s="89" t="str">
        <x:v>VND</x:v>
      </x:c>
      <x:c r="K167" s="89" t="str">
        <x:v>SRC-API01</x:v>
      </x:c>
      <x:c r="L167" s="98" t="str">
        <x:v>https://vnstocks.com/docs/vnstock/phan-tich-co-ban-fundamental</x:v>
      </x:c>
      <x:c r="M167" s="282" t="n">
        <x:v>46228.58256944444</x:v>
      </x:c>
    </x:row>
    <x:row r="168" ht="22" customHeight="1">
      <x:c r="A168" s="88" t="str">
        <x:v>cash_flow</x:v>
      </x:c>
      <x:c r="B168" s="89" t="str">
        <x:v>other_receipts_from_operating_activities</x:v>
      </x:c>
      <x:c r="C168" s="89" t="str">
        <x:v>Tiền thu khác từ hoạt động kinh doanh</x:v>
      </x:c>
      <x:c r="D168" s="89" t="str">
        <x:v>Other receipts from operating activities</x:v>
      </x:c>
      <x:c r="E168" s="131" t="n">
        <x:v>0</x:v>
      </x:c>
      <x:c r="F168" s="131" t="n">
        <x:v>0</x:v>
      </x:c>
      <x:c r="G168" s="131" t="n">
        <x:v>0</x:v>
      </x:c>
      <x:c r="H168" s="131" t="n">
        <x:v>0</x:v>
      </x:c>
      <x:c r="I168" s="131" t="n">
        <x:v>0</x:v>
      </x:c>
      <x:c r="J168" s="89" t="str">
        <x:v>VND</x:v>
      </x:c>
      <x:c r="K168" s="89" t="str">
        <x:v>SRC-API01</x:v>
      </x:c>
      <x:c r="L168" s="98" t="str">
        <x:v>https://vnstocks.com/docs/vnstock/phan-tich-co-ban-fundamental</x:v>
      </x:c>
      <x:c r="M168" s="282" t="n">
        <x:v>46228.58256944444</x:v>
      </x:c>
    </x:row>
    <x:row r="169" ht="22" customHeight="1">
      <x:c r="A169" s="88" t="str">
        <x:v>cash_flow</x:v>
      </x:c>
      <x:c r="B169" s="89" t="str">
        <x:v>other_payments_on_operating_activities</x:v>
      </x:c>
      <x:c r="C169" s="89" t="str">
        <x:v>Tiền chi khác cho hoạt động kinh doanh</x:v>
      </x:c>
      <x:c r="D169" s="89" t="str">
        <x:v>Other payments on operating activities</x:v>
      </x:c>
      <x:c r="E169" s="131" t="n">
        <x:v>-16290008055</x:v>
      </x:c>
      <x:c r="F169" s="131" t="n">
        <x:v>-31416271928</x:v>
      </x:c>
      <x:c r="G169" s="131" t="n">
        <x:v>-38233006803</x:v>
      </x:c>
      <x:c r="H169" s="131" t="n">
        <x:v>-49836052180</x:v>
      </x:c>
      <x:c r="I169" s="131" t="n">
        <x:v>-116037877180</x:v>
      </x:c>
      <x:c r="J169" s="89" t="str">
        <x:v>VND</x:v>
      </x:c>
      <x:c r="K169" s="89" t="str">
        <x:v>SRC-API01</x:v>
      </x:c>
      <x:c r="L169" s="98" t="str">
        <x:v>https://vnstocks.com/docs/vnstock/phan-tich-co-ban-fundamental</x:v>
      </x:c>
      <x:c r="M169" s="282" t="n">
        <x:v>46228.58256944444</x:v>
      </x:c>
    </x:row>
    <x:row r="170" ht="22" customHeight="1">
      <x:c r="A170" s="88" t="str">
        <x:v>cash_flow</x:v>
      </x:c>
      <x:c r="B170" s="89" t="str">
        <x:v>net_cash_inflows_outflows_from_operating_activities</x:v>
      </x:c>
      <x:c r="C170" s="89" t="str">
        <x:v>Lưu chuyển tiền tệ ròng từ các hoạt động sản xuất kinh doanh</x:v>
      </x:c>
      <x:c r="D170" s="89" t="str">
        <x:v>Net cash inflows/(outflows) from operating activities</x:v>
      </x:c>
      <x:c r="E170" s="131" t="n">
        <x:v>964817116119</x:v>
      </x:c>
      <x:c r="F170" s="131" t="n">
        <x:v>2299239828019</x:v>
      </x:c>
      <x:c r="G170" s="131" t="n">
        <x:v>-2870318244</x:v>
      </x:c>
      <x:c r="H170" s="131" t="n">
        <x:v>1526822551805</x:v>
      </x:c>
      <x:c r="I170" s="131" t="n">
        <x:v>2142022560788</x:v>
      </x:c>
      <x:c r="J170" s="89" t="str">
        <x:v>VND</x:v>
      </x:c>
      <x:c r="K170" s="89" t="str">
        <x:v>SRC-API01</x:v>
      </x:c>
      <x:c r="L170" s="98" t="str">
        <x:v>https://vnstocks.com/docs/vnstock/phan-tich-co-ban-fundamental</x:v>
      </x:c>
      <x:c r="M170" s="282" t="n">
        <x:v>46228.58256944444</x:v>
      </x:c>
    </x:row>
    <x:row r="171" ht="22" customHeight="1">
      <x:c r="A171" s="88" t="str">
        <x:v>cash_flow</x:v>
      </x:c>
      <x:c r="B171" s="89" t="str">
        <x:v>purchases_of_fixed_assets_and_other_long_term_assets</x:v>
      </x:c>
      <x:c r="C171" s="89" t="str">
        <x:v>Tiền chi để mua sắm, xây dựng TSCĐ và các tài sản dài hạn khác</x:v>
      </x:c>
      <x:c r="D171" s="89" t="str">
        <x:v>Purchases of fixed assets and other long term assets</x:v>
      </x:c>
      <x:c r="E171" s="131" t="n">
        <x:v>-586166126553</x:v>
      </x:c>
      <x:c r="F171" s="131" t="n">
        <x:v>-1365689144155</x:v>
      </x:c>
      <x:c r="G171" s="131" t="n">
        <x:v>-1177219493538</x:v>
      </x:c>
      <x:c r="H171" s="131" t="n">
        <x:v>-1479931826076</x:v>
      </x:c>
      <x:c r="I171" s="131" t="n">
        <x:v>-1676123112351</x:v>
      </x:c>
      <x:c r="J171" s="89" t="str">
        <x:v>VND</x:v>
      </x:c>
      <x:c r="K171" s="89" t="str">
        <x:v>SRC-API01</x:v>
      </x:c>
      <x:c r="L171" s="98" t="str">
        <x:v>https://vnstocks.com/docs/vnstock/phan-tich-co-ban-fundamental</x:v>
      </x:c>
      <x:c r="M171" s="282" t="n">
        <x:v>46228.58256944444</x:v>
      </x:c>
    </x:row>
    <x:row r="172" ht="22" customHeight="1">
      <x:c r="A172" s="88" t="str">
        <x:v>cash_flow</x:v>
      </x:c>
      <x:c r="B172" s="89" t="str">
        <x:v>proceeds_from_disposal_of_fixed_assets</x:v>
      </x:c>
      <x:c r="C172" s="89" t="str">
        <x:v>Tiền thu từ thanh lý, nhượng bán TSCĐ và các tài sản dài hạn khác</x:v>
      </x:c>
      <x:c r="D172" s="89" t="str">
        <x:v>Proceeds from disposal of fixed assets</x:v>
      </x:c>
      <x:c r="E172" s="131" t="n">
        <x:v>42063426571</x:v>
      </x:c>
      <x:c r="F172" s="131" t="n">
        <x:v>4403181140</x:v>
      </x:c>
      <x:c r="G172" s="131" t="n">
        <x:v>23823240588</x:v>
      </x:c>
      <x:c r="H172" s="131" t="n">
        <x:v>12589305217</x:v>
      </x:c>
      <x:c r="I172" s="131" t="n">
        <x:v>4193338872</x:v>
      </x:c>
      <x:c r="J172" s="89" t="str">
        <x:v>VND</x:v>
      </x:c>
      <x:c r="K172" s="89" t="str">
        <x:v>SRC-API01</x:v>
      </x:c>
      <x:c r="L172" s="98" t="str">
        <x:v>https://vnstocks.com/docs/vnstock/phan-tich-co-ban-fundamental</x:v>
      </x:c>
      <x:c r="M172" s="282" t="n">
        <x:v>46228.58256944444</x:v>
      </x:c>
    </x:row>
    <x:row r="173" ht="22" customHeight="1">
      <x:c r="A173" s="88" t="str">
        <x:v>cash_flow</x:v>
      </x:c>
      <x:c r="B173" s="89" t="str">
        <x:v>loans_granted_purchases_of_debt_instruments</x:v>
      </x:c>
      <x:c r="C173" s="89" t="str">
        <x:v>Tiền chi cho vay, mua các công cụ nợ của đơn vị khác</x:v>
      </x:c>
      <x:c r="D173" s="89" t="str">
        <x:v>Loans granted, purchases of debt instruments</x:v>
      </x:c>
      <x:c r="E173" s="131" t="n">
        <x:v>-95493500000</x:v>
      </x:c>
      <x:c r="F173" s="131" t="n">
        <x:v>-85823187945</x:v>
      </x:c>
      <x:c r="G173" s="131" t="n">
        <x:v>-993619305466</x:v>
      </x:c>
      <x:c r="H173" s="131" t="n">
        <x:v>-1381300000000</x:v>
      </x:c>
      <x:c r="I173" s="131" t="n">
        <x:v>-4075296210765</x:v>
      </x:c>
      <x:c r="J173" s="89" t="str">
        <x:v>VND</x:v>
      </x:c>
      <x:c r="K173" s="89" t="str">
        <x:v>SRC-API01</x:v>
      </x:c>
      <x:c r="L173" s="98" t="str">
        <x:v>https://vnstocks.com/docs/vnstock/phan-tich-co-ban-fundamental</x:v>
      </x:c>
      <x:c r="M173" s="282" t="n">
        <x:v>46228.58256944444</x:v>
      </x:c>
    </x:row>
    <x:row r="174" ht="22" customHeight="1">
      <x:c r="A174" s="88" t="str">
        <x:v>cash_flow</x:v>
      </x:c>
      <x:c r="B174" s="89" t="str">
        <x:v>collection_of_loans_proceeds_from_sales_of_debts_instruments</x:v>
      </x:c>
      <x:c r="C174" s="89" t="str">
        <x:v>Tiền thu hồi cho vay, bán lại các công cụ nợ của đơn vị khác</x:v>
      </x:c>
      <x:c r="D174" s="89" t="str">
        <x:v>Collection of loans, proceeds from sales of debts instruments</x:v>
      </x:c>
      <x:c r="E174" s="131" t="n">
        <x:v>104777701116</x:v>
      </x:c>
      <x:c r="F174" s="131" t="n">
        <x:v>38518747583</x:v>
      </x:c>
      <x:c r="G174" s="131" t="n">
        <x:v>436631672188</x:v>
      </x:c>
      <x:c r="H174" s="131" t="n">
        <x:v>946206072057</x:v>
      </x:c>
      <x:c r="I174" s="131" t="n">
        <x:v>2329000000000</x:v>
      </x:c>
      <x:c r="J174" s="89" t="str">
        <x:v>VND</x:v>
      </x:c>
      <x:c r="K174" s="89" t="str">
        <x:v>SRC-API01</x:v>
      </x:c>
      <x:c r="L174" s="98" t="str">
        <x:v>https://vnstocks.com/docs/vnstock/phan-tich-co-ban-fundamental</x:v>
      </x:c>
      <x:c r="M174" s="282" t="n">
        <x:v>46228.58256944444</x:v>
      </x:c>
    </x:row>
    <x:row r="175" ht="22" customHeight="1">
      <x:c r="A175" s="88" t="str">
        <x:v>cash_flow</x:v>
      </x:c>
      <x:c r="B175" s="89" t="str">
        <x:v>investments_in_other_entities</x:v>
      </x:c>
      <x:c r="C175" s="89" t="str">
        <x:v>Tiền chi đầu tư góp vốn vào đơn vị khác</x:v>
      </x:c>
      <x:c r="D175" s="89" t="str">
        <x:v>Investments in other entities</x:v>
      </x:c>
      <x:c r="E175" s="131" t="n">
        <x:v>0</x:v>
      </x:c>
      <x:c r="F175" s="131" t="n">
        <x:v>0</x:v>
      </x:c>
      <x:c r="G175" s="131" t="n">
        <x:v>-892687500</x:v>
      </x:c>
      <x:c r="H175" s="131" t="n">
        <x:v>-132146062400</x:v>
      </x:c>
      <x:c r="I175" s="131" t="n">
        <x:v>-386519952418</x:v>
      </x:c>
      <x:c r="J175" s="89" t="str">
        <x:v>VND</x:v>
      </x:c>
      <x:c r="K175" s="89" t="str">
        <x:v>SRC-API01</x:v>
      </x:c>
      <x:c r="L175" s="98" t="str">
        <x:v>https://vnstocks.com/docs/vnstock/phan-tich-co-ban-fundamental</x:v>
      </x:c>
      <x:c r="M175" s="282" t="n">
        <x:v>46228.58256944444</x:v>
      </x:c>
    </x:row>
    <x:row r="176" ht="22" customHeight="1">
      <x:c r="A176" s="88" t="str">
        <x:v>cash_flow</x:v>
      </x:c>
      <x:c r="B176" s="89" t="str">
        <x:v>proceeds_from_divestment_in_other_entities</x:v>
      </x:c>
      <x:c r="C176" s="89" t="str">
        <x:v>Tiền thu hồi đầu tư góp vốn vào đơn vị khác</x:v>
      </x:c>
      <x:c r="D176" s="89" t="str">
        <x:v>Proceeds from divestment in other entities</x:v>
      </x:c>
      <x:c r="E176" s="131" t="n">
        <x:v>55371828595</x:v>
      </x:c>
      <x:c r="F176" s="131" t="n">
        <x:v>0</x:v>
      </x:c>
      <x:c r="G176" s="131" t="n">
        <x:v>2424939863568</x:v>
      </x:c>
      <x:c r="H176" s="131" t="n">
        <x:v>369529075758</x:v>
      </x:c>
      <x:c r="I176" s="131" t="n">
        <x:v>0</x:v>
      </x:c>
      <x:c r="J176" s="89" t="str">
        <x:v>VND</x:v>
      </x:c>
      <x:c r="K176" s="89" t="str">
        <x:v>SRC-API01</x:v>
      </x:c>
      <x:c r="L176" s="98" t="str">
        <x:v>https://vnstocks.com/docs/vnstock/phan-tich-co-ban-fundamental</x:v>
      </x:c>
      <x:c r="M176" s="282" t="n">
        <x:v>46228.58256944444</x:v>
      </x:c>
    </x:row>
    <x:row r="177" ht="22" customHeight="1">
      <x:c r="A177" s="88" t="str">
        <x:v>cash_flow</x:v>
      </x:c>
      <x:c r="B177" s="89" t="str">
        <x:v>dividends_and_interest_received</x:v>
      </x:c>
      <x:c r="C177" s="89" t="str">
        <x:v>Tiền thu lãi cho vay, cổ tức và lợi nhuận được chia</x:v>
      </x:c>
      <x:c r="D177" s="89" t="str">
        <x:v>Dividends and interest received</x:v>
      </x:c>
      <x:c r="E177" s="131" t="n">
        <x:v>123137777361</x:v>
      </x:c>
      <x:c r="F177" s="131" t="n">
        <x:v>173845190285</x:v>
      </x:c>
      <x:c r="G177" s="131" t="n">
        <x:v>201732982296</x:v>
      </x:c>
      <x:c r="H177" s="131" t="n">
        <x:v>289331414995</x:v>
      </x:c>
      <x:c r="I177" s="131" t="n">
        <x:v>420596164185</x:v>
      </x:c>
      <x:c r="J177" s="89" t="str">
        <x:v>VND</x:v>
      </x:c>
      <x:c r="K177" s="89" t="str">
        <x:v>SRC-API01</x:v>
      </x:c>
      <x:c r="L177" s="98" t="str">
        <x:v>https://vnstocks.com/docs/vnstock/phan-tich-co-ban-fundamental</x:v>
      </x:c>
      <x:c r="M177" s="282" t="n">
        <x:v>46228.58256944444</x:v>
      </x:c>
    </x:row>
    <x:row r="178" ht="22" customHeight="1">
      <x:c r="A178" s="88" t="str">
        <x:v>cash_flow</x:v>
      </x:c>
      <x:c r="B178" s="89" t="str">
        <x:v>net_cash_inflows_outflows_from_investing_activities</x:v>
      </x:c>
      <x:c r="C178" s="89" t="str">
        <x:v>Lưu chuyển tiền thuần từ hoạt động đầu tư</x:v>
      </x:c>
      <x:c r="D178" s="89" t="str">
        <x:v>Net cash inflows/(outflows) from investing activities</x:v>
      </x:c>
      <x:c r="E178" s="131" t="n">
        <x:v>-356308892910</x:v>
      </x:c>
      <x:c r="F178" s="131" t="n">
        <x:v>-1234745213092</x:v>
      </x:c>
      <x:c r="G178" s="131" t="n">
        <x:v>915396272136</x:v>
      </x:c>
      <x:c r="H178" s="131" t="n">
        <x:v>-1375722020449</x:v>
      </x:c>
      <x:c r="I178" s="131" t="n">
        <x:v>-3384149772477</x:v>
      </x:c>
      <x:c r="J178" s="89" t="str">
        <x:v>VND</x:v>
      </x:c>
      <x:c r="K178" s="89" t="str">
        <x:v>SRC-API01</x:v>
      </x:c>
      <x:c r="L178" s="98" t="str">
        <x:v>https://vnstocks.com/docs/vnstock/phan-tich-co-ban-fundamental</x:v>
      </x:c>
      <x:c r="M178" s="282" t="n">
        <x:v>46228.58256944444</x:v>
      </x:c>
    </x:row>
    <x:row r="179" ht="22" customHeight="1">
      <x:c r="A179" s="88" t="str">
        <x:v>cash_flow</x:v>
      </x:c>
      <x:c r="B179" s="89" t="str">
        <x:v>proceeds_from_issue_of_shares</x:v>
      </x:c>
      <x:c r="C179" s="89" t="str">
        <x:v>Tiền thu từ phát hành cổ phiếu, nhận vốn góp của chủ sở hữu</x:v>
      </x:c>
      <x:c r="D179" s="89" t="str">
        <x:v>Proceeds from issue of shares</x:v>
      </x:c>
      <x:c r="E179" s="131" t="n">
        <x:v>0</x:v>
      </x:c>
      <x:c r="F179" s="131" t="n">
        <x:v>0</x:v>
      </x:c>
      <x:c r="G179" s="131" t="n">
        <x:v>45206000000</x:v>
      </x:c>
      <x:c r="H179" s="131" t="n">
        <x:v>3059191384000</x:v>
      </x:c>
      <x:c r="I179" s="131" t="n">
        <x:v>125125000000</x:v>
      </x:c>
      <x:c r="J179" s="89" t="str">
        <x:v>VND</x:v>
      </x:c>
      <x:c r="K179" s="89" t="str">
        <x:v>SRC-API01</x:v>
      </x:c>
      <x:c r="L179" s="98" t="str">
        <x:v>https://vnstocks.com/docs/vnstock/phan-tich-co-ban-fundamental</x:v>
      </x:c>
      <x:c r="M179" s="282" t="n">
        <x:v>46228.58256944444</x:v>
      </x:c>
    </x:row>
    <x:row r="180" ht="22" customHeight="1">
      <x:c r="A180" s="88" t="str">
        <x:v>cash_flow</x:v>
      </x:c>
      <x:c r="B180" s="89" t="str">
        <x:v>payments_for_share_returns_and_repurchases</x:v>
      </x:c>
      <x:c r="C180" s="89" t="str">
        <x:v>Tiền chi trả vốn góp cho các chủ sở hữu, mua lại cổ phiếu của doanh nghiệp đã phát hành</x:v>
      </x:c>
      <x:c r="D180" s="89" t="str">
        <x:v>Payments for share returns and repurchases</x:v>
      </x:c>
      <x:c r="E180" s="131" t="n">
        <x:v>0</x:v>
      </x:c>
      <x:c r="F180" s="131" t="n">
        <x:v>0</x:v>
      </x:c>
      <x:c r="G180" s="131" t="n">
        <x:v>0</x:v>
      </x:c>
      <x:c r="H180" s="131" t="n">
        <x:v>0</x:v>
      </x:c>
      <x:c r="I180" s="131" t="n">
        <x:v>0</x:v>
      </x:c>
      <x:c r="J180" s="89" t="str">
        <x:v>VND</x:v>
      </x:c>
      <x:c r="K180" s="89" t="str">
        <x:v>SRC-API01</x:v>
      </x:c>
      <x:c r="L180" s="98" t="str">
        <x:v>https://vnstocks.com/docs/vnstock/phan-tich-co-ban-fundamental</x:v>
      </x:c>
      <x:c r="M180" s="282" t="n">
        <x:v>46228.58256944444</x:v>
      </x:c>
    </x:row>
    <x:row r="181" ht="22" customHeight="1">
      <x:c r="A181" s="88" t="str">
        <x:v>cash_flow</x:v>
      </x:c>
      <x:c r="B181" s="89" t="str">
        <x:v>proceeds_from_loans</x:v>
      </x:c>
      <x:c r="C181" s="89" t="str">
        <x:v>Tiền thu được các khoản đi vay</x:v>
      </x:c>
      <x:c r="D181" s="89" t="str">
        <x:v>Proceeds from loans</x:v>
      </x:c>
      <x:c r="E181" s="131" t="n">
        <x:v>1524258463677</x:v>
      </x:c>
      <x:c r="F181" s="131" t="n">
        <x:v>1562505756443</x:v>
      </x:c>
      <x:c r="G181" s="131" t="n">
        <x:v>740269471681</x:v>
      </x:c>
      <x:c r="H181" s="131" t="n">
        <x:v>744046826557</x:v>
      </x:c>
      <x:c r="I181" s="131" t="n">
        <x:v>1365696151745</x:v>
      </x:c>
      <x:c r="J181" s="89" t="str">
        <x:v>VND</x:v>
      </x:c>
      <x:c r="K181" s="89" t="str">
        <x:v>SRC-API01</x:v>
      </x:c>
      <x:c r="L181" s="98" t="str">
        <x:v>https://vnstocks.com/docs/vnstock/phan-tich-co-ban-fundamental</x:v>
      </x:c>
      <x:c r="M181" s="282" t="n">
        <x:v>46228.58256944444</x:v>
      </x:c>
    </x:row>
    <x:row r="182" ht="22" customHeight="1">
      <x:c r="A182" s="88" t="str">
        <x:v>cash_flow</x:v>
      </x:c>
      <x:c r="B182" s="89" t="str">
        <x:v>repayment_of_loans</x:v>
      </x:c>
      <x:c r="C182" s="89" t="str">
        <x:v>Tiền trả nợ gốc vay</x:v>
      </x:c>
      <x:c r="D182" s="89" t="str">
        <x:v>Repayment of loans</x:v>
      </x:c>
      <x:c r="E182" s="131" t="n">
        <x:v>-1446486479270</x:v>
      </x:c>
      <x:c r="F182" s="131" t="n">
        <x:v>-1430503626695</x:v>
      </x:c>
      <x:c r="G182" s="131" t="n">
        <x:v>-777590552494</x:v>
      </x:c>
      <x:c r="H182" s="131" t="n">
        <x:v>-523609783285</x:v>
      </x:c>
      <x:c r="I182" s="131" t="n">
        <x:v>-1280129503772</x:v>
      </x:c>
      <x:c r="J182" s="89" t="str">
        <x:v>VND</x:v>
      </x:c>
      <x:c r="K182" s="89" t="str">
        <x:v>SRC-API01</x:v>
      </x:c>
      <x:c r="L182" s="98" t="str">
        <x:v>https://vnstocks.com/docs/vnstock/phan-tich-co-ban-fundamental</x:v>
      </x:c>
      <x:c r="M182" s="282" t="n">
        <x:v>46228.58256944444</x:v>
      </x:c>
    </x:row>
    <x:row r="183" ht="22" customHeight="1">
      <x:c r="A183" s="88" t="str">
        <x:v>cash_flow</x:v>
      </x:c>
      <x:c r="B183" s="89" t="str">
        <x:v>finance_lease_principal_payments</x:v>
      </x:c>
      <x:c r="C183" s="89" t="str">
        <x:v>Tiền trả nợ gốc thuê tài chính</x:v>
      </x:c>
      <x:c r="D183" s="89" t="str">
        <x:v>Finance lease principal payments</x:v>
      </x:c>
      <x:c r="E183" s="131" t="n">
        <x:v>-49087597324</x:v>
      </x:c>
      <x:c r="F183" s="131" t="n">
        <x:v>-41436780114</x:v>
      </x:c>
      <x:c r="G183" s="131" t="n">
        <x:v>-35442526029</x:v>
      </x:c>
      <x:c r="H183" s="131" t="n">
        <x:v>-24932567969</x:v>
      </x:c>
      <x:c r="I183" s="131" t="n">
        <x:v>-21293692</x:v>
      </x:c>
      <x:c r="J183" s="89" t="str">
        <x:v>VND</x:v>
      </x:c>
      <x:c r="K183" s="89" t="str">
        <x:v>SRC-API01</x:v>
      </x:c>
      <x:c r="L183" s="98" t="str">
        <x:v>https://vnstocks.com/docs/vnstock/phan-tich-co-ban-fundamental</x:v>
      </x:c>
      <x:c r="M183" s="282" t="n">
        <x:v>46228.58256944444</x:v>
      </x:c>
    </x:row>
    <x:row r="184" ht="22" customHeight="1">
      <x:c r="A184" s="88" t="str">
        <x:v>cash_flow</x:v>
      </x:c>
      <x:c r="B184" s="89" t="str">
        <x:v>dividends_paid</x:v>
      </x:c>
      <x:c r="C184" s="89" t="str">
        <x:v>Cổ tức, lợi nhuận đã trả cho chủ sở hữu</x:v>
      </x:c>
      <x:c r="D184" s="89" t="str">
        <x:v>Dividends paid</x:v>
      </x:c>
      <x:c r="E184" s="131" t="n">
        <x:v>-426189423017</x:v>
      </x:c>
      <x:c r="F184" s="131" t="n">
        <x:v>-428119286600</x:v>
      </x:c>
      <x:c r="G184" s="131" t="n">
        <x:v>-780370623043</x:v>
      </x:c>
      <x:c r="H184" s="131" t="n">
        <x:v>-916107445304</x:v>
      </x:c>
      <x:c r="I184" s="131" t="n">
        <x:v>-1314588058559</x:v>
      </x:c>
      <x:c r="J184" s="89" t="str">
        <x:v>VND</x:v>
      </x:c>
      <x:c r="K184" s="89" t="str">
        <x:v>SRC-API01</x:v>
      </x:c>
      <x:c r="L184" s="98" t="str">
        <x:v>https://vnstocks.com/docs/vnstock/phan-tich-co-ban-fundamental</x:v>
      </x:c>
      <x:c r="M184" s="282" t="n">
        <x:v>46228.58256944444</x:v>
      </x:c>
    </x:row>
    <x:row r="185" ht="22" customHeight="1">
      <x:c r="A185" s="88" t="str">
        <x:v>cash_flow</x:v>
      </x:c>
      <x:c r="B185" s="89" t="str">
        <x:v>interests_dividends_profits_received</x:v>
      </x:c>
      <x:c r="C185" s="89" t="str">
        <x:v>Tiền lãi đã nhận</x:v>
      </x:c>
      <x:c r="D185" s="89" t="str">
        <x:v>Interests, dividends, profits received</x:v>
      </x:c>
      <x:c r="E185" s="131" t="n">
        <x:v>0</x:v>
      </x:c>
      <x:c r="F185" s="131" t="n">
        <x:v>0</x:v>
      </x:c>
      <x:c r="G185" s="131" t="n">
        <x:v>0</x:v>
      </x:c>
      <x:c r="H185" s="131" t="n">
        <x:v>0</x:v>
      </x:c>
      <x:c r="I185" s="131" t="n">
        <x:v>0</x:v>
      </x:c>
      <x:c r="J185" s="89" t="str">
        <x:v>VND</x:v>
      </x:c>
      <x:c r="K185" s="89" t="str">
        <x:v>SRC-API01</x:v>
      </x:c>
      <x:c r="L185" s="98" t="str">
        <x:v>https://vnstocks.com/docs/vnstock/phan-tich-co-ban-fundamental</x:v>
      </x:c>
      <x:c r="M185" s="282" t="n">
        <x:v>46228.58256944444</x:v>
      </x:c>
    </x:row>
    <x:row r="186" ht="22" customHeight="1">
      <x:c r="A186" s="88" t="str">
        <x:v>cash_flow</x:v>
      </x:c>
      <x:c r="B186" s="89" t="str">
        <x:v>net_cash_inflows_outflows_from_financing_activities</x:v>
      </x:c>
      <x:c r="C186" s="89" t="str">
        <x:v>Lưu chuyển tiền thuần từ hoạt động tài chính</x:v>
      </x:c>
      <x:c r="D186" s="89" t="str">
        <x:v>Net cash inflows/(outflows) from financing activities</x:v>
      </x:c>
      <x:c r="E186" s="131" t="n">
        <x:v>-397505035934</x:v>
      </x:c>
      <x:c r="F186" s="131" t="n">
        <x:v>-337553936966</x:v>
      </x:c>
      <x:c r="G186" s="131" t="n">
        <x:v>-807928229885</x:v>
      </x:c>
      <x:c r="H186" s="131" t="n">
        <x:v>2338588413999</x:v>
      </x:c>
      <x:c r="I186" s="131" t="n">
        <x:v>-1103917704278</x:v>
      </x:c>
      <x:c r="J186" s="89" t="str">
        <x:v>VND</x:v>
      </x:c>
      <x:c r="K186" s="89" t="str">
        <x:v>SRC-API01</x:v>
      </x:c>
      <x:c r="L186" s="98" t="str">
        <x:v>https://vnstocks.com/docs/vnstock/phan-tich-co-ban-fundamental</x:v>
      </x:c>
      <x:c r="M186" s="282" t="n">
        <x:v>46228.58256944444</x:v>
      </x:c>
    </x:row>
    <x:row r="187" ht="22" customHeight="1">
      <x:c r="A187" s="88" t="str">
        <x:v>cash_flow</x:v>
      </x:c>
      <x:c r="B187" s="89" t="str">
        <x:v>net_increase_in_cash_and_cash_equivalents</x:v>
      </x:c>
      <x:c r="C187" s="89" t="str">
        <x:v>Lưu chuyển tiền thuần trong kỳ</x:v>
      </x:c>
      <x:c r="D187" s="89" t="str">
        <x:v>Net increase in cash and cash equivalents</x:v>
      </x:c>
      <x:c r="E187" s="131" t="n">
        <x:v>211003187275</x:v>
      </x:c>
      <x:c r="F187" s="131" t="n">
        <x:v>726940677961</x:v>
      </x:c>
      <x:c r="G187" s="131" t="n">
        <x:v>104597724007</x:v>
      </x:c>
      <x:c r="H187" s="131" t="n">
        <x:v>2489688945355</x:v>
      </x:c>
      <x:c r="I187" s="131" t="n">
        <x:v>-2346044915967</x:v>
      </x:c>
      <x:c r="J187" s="89" t="str">
        <x:v>VND</x:v>
      </x:c>
      <x:c r="K187" s="89" t="str">
        <x:v>SRC-API01</x:v>
      </x:c>
      <x:c r="L187" s="98" t="str">
        <x:v>https://vnstocks.com/docs/vnstock/phan-tich-co-ban-fundamental</x:v>
      </x:c>
      <x:c r="M187" s="282" t="n">
        <x:v>46228.58256944444</x:v>
      </x:c>
    </x:row>
    <x:row r="188" ht="22" customHeight="1">
      <x:c r="A188" s="88" t="str">
        <x:v>cash_flow</x:v>
      </x:c>
      <x:c r="B188" s="89" t="str">
        <x:v>cash_and_cash_equivalents_at_the_beginning_of_period</x:v>
      </x:c>
      <x:c r="C188" s="89" t="str">
        <x:v>Tiền và tương đương tiền đầu kỳ</x:v>
      </x:c>
      <x:c r="D188" s="89" t="str">
        <x:v>Cash and cash equivalents at the beginning of period</x:v>
      </x:c>
      <x:c r="E188" s="131" t="n">
        <x:v>427676366191</x:v>
      </x:c>
      <x:c r="F188" s="131" t="n">
        <x:v>637348731809</x:v>
      </x:c>
      <x:c r="G188" s="131" t="n">
        <x:v>1364349572162</x:v>
      </x:c>
      <x:c r="H188" s="131" t="n">
        <x:v>1471676297950</x:v>
      </x:c>
      <x:c r="I188" s="131" t="n">
        <x:v>3964316764607</x:v>
      </x:c>
      <x:c r="J188" s="89" t="str">
        <x:v>VND</x:v>
      </x:c>
      <x:c r="K188" s="89" t="str">
        <x:v>SRC-API01</x:v>
      </x:c>
      <x:c r="L188" s="98" t="str">
        <x:v>https://vnstocks.com/docs/vnstock/phan-tich-co-ban-fundamental</x:v>
      </x:c>
      <x:c r="M188" s="282" t="n">
        <x:v>46228.58256944444</x:v>
      </x:c>
    </x:row>
    <x:row r="189" ht="22" customHeight="1">
      <x:c r="A189" s="88" t="str">
        <x:v>cash_flow</x:v>
      </x:c>
      <x:c r="B189" s="89" t="str">
        <x:v>effect_of_foreign_exchange_differences</x:v>
      </x:c>
      <x:c r="C189" s="89" t="str">
        <x:v>Ảnh hưởng của thay đổi tỷ giá hối đoái quy đổi ngoại tệ</x:v>
      </x:c>
      <x:c r="D189" s="89" t="str">
        <x:v>Effect of foreign exchange differences</x:v>
      </x:c>
      <x:c r="E189" s="131" t="n">
        <x:v>-1330821657</x:v>
      </x:c>
      <x:c r="F189" s="131" t="n">
        <x:v>60162392</x:v>
      </x:c>
      <x:c r="G189" s="131" t="n">
        <x:v>2729001781</x:v>
      </x:c>
      <x:c r="H189" s="131" t="n">
        <x:v>2951521302</x:v>
      </x:c>
      <x:c r="I189" s="131" t="n">
        <x:v>4022990130</x:v>
      </x:c>
      <x:c r="J189" s="89" t="str">
        <x:v>VND</x:v>
      </x:c>
      <x:c r="K189" s="89" t="str">
        <x:v>SRC-API01</x:v>
      </x:c>
      <x:c r="L189" s="98" t="str">
        <x:v>https://vnstocks.com/docs/vnstock/phan-tich-co-ban-fundamental</x:v>
      </x:c>
      <x:c r="M189" s="282" t="n">
        <x:v>46228.58256944444</x:v>
      </x:c>
    </x:row>
    <x:row r="190" ht="22" customHeight="1">
      <x:c r="A190" s="88" t="str">
        <x:v>cash_flow</x:v>
      </x:c>
      <x:c r="B190" s="89" t="str">
        <x:v>cash_and_cash_equivalents_at_the_end_of_period</x:v>
      </x:c>
      <x:c r="C190" s="89" t="str">
        <x:v>Tiền và tương đương tiền cuối kỳ</x:v>
      </x:c>
      <x:c r="D190" s="89" t="str">
        <x:v>Cash and cash equivalents at the end of period</x:v>
      </x:c>
      <x:c r="E190" s="131" t="n">
        <x:v>637348731809</x:v>
      </x:c>
      <x:c r="F190" s="131" t="n">
        <x:v>1364349572162</x:v>
      </x:c>
      <x:c r="G190" s="131" t="n">
        <x:v>1471676297950</x:v>
      </x:c>
      <x:c r="H190" s="131" t="n">
        <x:v>3964316764607</x:v>
      </x:c>
      <x:c r="I190" s="131" t="n">
        <x:v>1622294838770</x:v>
      </x:c>
      <x:c r="J190" s="89" t="str">
        <x:v>VND</x:v>
      </x:c>
      <x:c r="K190" s="89" t="str">
        <x:v>SRC-API01</x:v>
      </x:c>
      <x:c r="L190" s="98" t="str">
        <x:v>https://vnstocks.com/docs/vnstock/phan-tich-co-ban-fundamental</x:v>
      </x:c>
      <x:c r="M190" s="282" t="n">
        <x:v>46228.58256944444</x:v>
      </x:c>
    </x:row>
    <x:row r="191" ht="22" customHeight="1">
      <x:c r="A191" s="88" t="str">
        <x:v>cash_flow</x:v>
      </x:c>
      <x:c r="B191" s="89" t="str">
        <x:v>amortization_of_goodwill</x:v>
      </x:c>
      <x:c r="C191" s="89" t="str">
        <x:v>Phân bổ lợi thế thương mại</x:v>
      </x:c>
      <x:c r="D191" s="89" t="str">
        <x:v>Amortization of goodwill</x:v>
      </x:c>
      <x:c r="E191" s="131" t="n">
        <x:v>0</x:v>
      </x:c>
      <x:c r="F191" s="131" t="n">
        <x:v>0</x:v>
      </x:c>
      <x:c r="G191" s="131" t="n">
        <x:v>0</x:v>
      </x:c>
      <x:c r="H191" s="131" t="n">
        <x:v>0</x:v>
      </x:c>
      <x:c r="I191" s="131" t="n">
        <x:v>0</x:v>
      </x:c>
      <x:c r="J191" s="89" t="str">
        <x:v>VND</x:v>
      </x:c>
      <x:c r="K191" s="89" t="str">
        <x:v>SRC-API01</x:v>
      </x:c>
      <x:c r="L191" s="98" t="str">
        <x:v>https://vnstocks.com/docs/vnstock/phan-tich-co-ban-fundamental</x:v>
      </x:c>
      <x:c r="M191" s="282" t="n">
        <x:v>46228.58256944444</x:v>
      </x:c>
    </x:row>
    <x:row r="192" ht="22" customHeight="1">
      <x:c r="A192" s="88" t="str">
        <x:v>cash_flow</x:v>
      </x:c>
      <x:c r="B192" s="89" t="str">
        <x:v>other_adjustments</x:v>
      </x:c>
      <x:c r="C192" s="89" t="str">
        <x:v>Các khoản điều chỉnh khác</x:v>
      </x:c>
      <x:c r="D192" s="89" t="str">
        <x:v>Other adjustments</x:v>
      </x:c>
      <x:c r="E192" s="131" t="n">
        <x:v>0</x:v>
      </x:c>
      <x:c r="F192" s="131" t="n">
        <x:v>0</x:v>
      </x:c>
      <x:c r="G192" s="131" t="n">
        <x:v>0</x:v>
      </x:c>
      <x:c r="H192" s="131" t="n">
        <x:v>0</x:v>
      </x:c>
      <x:c r="I192" s="131" t="n">
        <x:v>0</x:v>
      </x:c>
      <x:c r="J192" s="89" t="str">
        <x:v>VND</x:v>
      </x:c>
      <x:c r="K192" s="89" t="str">
        <x:v>SRC-API01</x:v>
      </x:c>
      <x:c r="L192" s="98" t="str">
        <x:v>https://vnstocks.com/docs/vnstock/phan-tich-co-ban-fundamental</x:v>
      </x:c>
      <x:c r="M192" s="282" t="n">
        <x:v>46228.58256944444</x:v>
      </x:c>
    </x:row>
    <x:row r="193" ht="22" customHeight="1">
      <x:c r="A193" s="91" t="str">
        <x:v>cash_flow</x:v>
      </x:c>
      <x:c r="B193" s="92" t="str">
        <x:v>increase_decrease_in_trading_securities</x:v>
      </x:c>
      <x:c r="C193" s="92" t="str">
        <x:v>(Tăng)/giảm chứng khoán kinh doanh</x:v>
      </x:c>
      <x:c r="D193" s="92" t="str">
        <x:v>(Increase)/decrease in trading securities</x:v>
      </x:c>
      <x:c r="E193" s="132" t="n">
        <x:v>3528997673</x:v>
      </x:c>
      <x:c r="F193" s="132" t="n">
        <x:v>0</x:v>
      </x:c>
      <x:c r="G193" s="132" t="n">
        <x:v>0</x:v>
      </x:c>
      <x:c r="H193" s="132" t="n">
        <x:v>11421290740</x:v>
      </x:c>
      <x:c r="I193" s="132" t="n">
        <x:v>20067290650</x:v>
      </x:c>
      <x:c r="J193" s="92" t="str">
        <x:v>VND</x:v>
      </x:c>
      <x:c r="K193" s="92" t="str">
        <x:v>SRC-API01</x:v>
      </x:c>
      <x:c r="L193" s="99" t="str">
        <x:v>https://vnstocks.com/docs/vnstock/phan-tich-co-ban-fundamental</x:v>
      </x:c>
      <x:c r="M193" s="283" t="n">
        <x:v>46228.58256944444</x:v>
      </x:c>
    </x:row>
  </x:sheetData>
  <x:mergeCells>
    <x:mergeCell ref="A1:M1"/>
    <x:mergeCell ref="A2:M2"/>
  </x:mergeCells>
  <x:pageMargins left="0.7" right="0.7" top="0.75" bottom="0.75" header="0.3" footer="0.3"/>
  <x:tableParts count="1">
    <x:tablePart xmlns:r="http://schemas.openxmlformats.org/officeDocument/2006/relationships" r:id="Re02a964e8f324240"/>
  </x:tableParts>
</x:worksheet>
</file>

<file path=xl/worksheets/sheet19.xml><?xml version="1.0" encoding="utf-8"?>
<x:worksheet xmlns:x="http://schemas.openxmlformats.org/spreadsheetml/2006/main">
  <x:sheetViews>
    <x:sheetView showGridLines="0" workbookViewId="0"/>
  </x:sheetViews>
  <x:sheetFormatPr defaultRowHeight="15"/>
  <x:cols>
    <x:col min="1" max="1" width="30" hidden="0" customWidth="1"/>
    <x:col min="2" max="2" width="48" hidden="0" customWidth="1"/>
    <x:col min="3" max="3" width="18" hidden="0" customWidth="1"/>
    <x:col min="4" max="4" width="16" hidden="0" customWidth="1"/>
    <x:col min="5" max="5" width="16" hidden="0" customWidth="1"/>
    <x:col min="6" max="6" width="16" hidden="0" customWidth="1"/>
    <x:col min="7" max="7" width="16" hidden="0" customWidth="1"/>
    <x:col min="8" max="8" width="16" hidden="0" customWidth="1"/>
    <x:col min="9" max="9" width="34" hidden="0" customWidth="1"/>
    <x:col min="10" max="10" width="28" hidden="0" customWidth="1"/>
    <x:col min="11" max="11" width="68" hidden="0" customWidth="1"/>
  </x:cols>
  <x:sheetData>
    <x:row r="1" ht="30" customHeight="1">
      <x:c r="A1" s="264" t="str">
        <x:v>Raw GMD Operating &amp; Ownership Disclosures — 2021 to 2025</x:v>
      </x:c>
      <x:c r="B1" s="264" t="str">
        <x:v>Raw GMD Operating &amp; Ownership Disclosures — 2021 to 2025</x:v>
      </x:c>
      <x:c r="C1" s="264" t="str">
        <x:v>Raw GMD Operating &amp; Ownership Disclosures — 2021 to 2025</x:v>
      </x:c>
      <x:c r="D1" s="264" t="str">
        <x:v>Raw GMD Operating &amp; Ownership Disclosures — 2021 to 2025</x:v>
      </x:c>
      <x:c r="E1" s="264" t="str">
        <x:v>Raw GMD Operating &amp; Ownership Disclosures — 2021 to 2025</x:v>
      </x:c>
      <x:c r="F1" s="264" t="str">
        <x:v>Raw GMD Operating &amp; Ownership Disclosures — 2021 to 2025</x:v>
      </x:c>
      <x:c r="G1" s="264" t="str">
        <x:v>Raw GMD Operating &amp; Ownership Disclosures — 2021 to 2025</x:v>
      </x:c>
      <x:c r="H1" s="264" t="str">
        <x:v>Raw GMD Operating &amp; Ownership Disclosures — 2021 to 2025</x:v>
      </x:c>
      <x:c r="I1" s="264" t="str">
        <x:v>Raw GMD Operating &amp; Ownership Disclosures — 2021 to 2025</x:v>
      </x:c>
      <x:c r="J1" s="264" t="str">
        <x:v>Raw GMD Operating &amp; Ownership Disclosures — 2021 to 2025</x:v>
      </x:c>
      <x:c r="K1" s="264" t="str">
        <x:v>Raw GMD Operating &amp; Ownership Disclosures — 2021 to 2025</x:v>
      </x:c>
    </x:row>
    <x:row r="2" ht="34" customHeight="1">
      <x:c r="A2" s="268" t="str">
        <x:v>Issuer-reported or explicitly chart-derived operating data that is not available as a clean financial-statement line in VNStock.</x:v>
      </x:c>
      <x:c r="B2" s="268" t="str">
        <x:v>Issuer-reported or explicitly chart-derived operating data that is not available as a clean financial-statement line in VNStock.</x:v>
      </x:c>
      <x:c r="C2" s="268" t="str">
        <x:v>Issuer-reported or explicitly chart-derived operating data that is not available as a clean financial-statement line in VNStock.</x:v>
      </x:c>
      <x:c r="D2" s="268" t="str">
        <x:v>Issuer-reported or explicitly chart-derived operating data that is not available as a clean financial-statement line in VNStock.</x:v>
      </x:c>
      <x:c r="E2" s="268" t="str">
        <x:v>Issuer-reported or explicitly chart-derived operating data that is not available as a clean financial-statement line in VNStock.</x:v>
      </x:c>
      <x:c r="F2" s="268" t="str">
        <x:v>Issuer-reported or explicitly chart-derived operating data that is not available as a clean financial-statement line in VNStock.</x:v>
      </x:c>
      <x:c r="G2" s="268" t="str">
        <x:v>Issuer-reported or explicitly chart-derived operating data that is not available as a clean financial-statement line in VNStock.</x:v>
      </x:c>
      <x:c r="H2" s="268" t="str">
        <x:v>Issuer-reported or explicitly chart-derived operating data that is not available as a clean financial-statement line in VNStock.</x:v>
      </x:c>
      <x:c r="I2" s="268" t="str">
        <x:v>Issuer-reported or explicitly chart-derived operating data that is not available as a clean financial-statement line in VNStock.</x:v>
      </x:c>
      <x:c r="J2" s="268" t="str">
        <x:v>Issuer-reported or explicitly chart-derived operating data that is not available as a clean financial-statement line in VNStock.</x:v>
      </x:c>
      <x:c r="K2" s="268" t="str">
        <x:v>Issuer-reported or explicitly chart-derived operating data that is not available as a clean financial-statement line in VNStock.</x:v>
      </x:c>
    </x:row>
    <x:row r="4" ht="32" customHeight="1">
      <x:c r="A4" s="278" t="str">
        <x:v>Key</x:v>
      </x:c>
      <x:c r="B4" s="278" t="str">
        <x:v>Metric</x:v>
      </x:c>
      <x:c r="C4" s="278" t="str">
        <x:v>Unit</x:v>
      </x:c>
      <x:c r="D4" s="280" t="n">
        <x:v>44561</x:v>
      </x:c>
      <x:c r="E4" s="280" t="n">
        <x:v>44926</x:v>
      </x:c>
      <x:c r="F4" s="280" t="n">
        <x:v>45291</x:v>
      </x:c>
      <x:c r="G4" s="280" t="n">
        <x:v>45657</x:v>
      </x:c>
      <x:c r="H4" s="280" t="n">
        <x:v>46022</x:v>
      </x:c>
      <x:c r="I4" s="278" t="str">
        <x:v>Source ID</x:v>
      </x:c>
      <x:c r="J4" s="278" t="str">
        <x:v>Data class</x:v>
      </x:c>
      <x:c r="K4" s="278" t="str">
        <x:v>Audit note</x:v>
      </x:c>
    </x:row>
    <x:row r="5" ht="34" customHeight="1">
      <x:c r="A5" s="85" t="str">
        <x:v>CORE_PBT</x:v>
      </x:c>
      <x:c r="B5" s="86" t="str">
        <x:v>Issuer core PBT</x:v>
      </x:c>
      <x:c r="C5" s="86" t="str">
        <x:v>VND bn</x:v>
      </x:c>
      <x:c r="D5" s="133" t="n">
        <x:v>806.212</x:v>
      </x:c>
      <x:c r="E5" s="133" t="n">
        <x:v>1308.478</x:v>
      </x:c>
      <x:c r="F5" s="133" t="n">
        <x:v>1307</x:v>
      </x:c>
      <x:c r="G5" s="133" t="n">
        <x:v>1781</x:v>
      </x:c>
      <x:c r="H5" s="133" t="n">
        <x:v>2520.827</x:v>
      </x:c>
      <x:c r="I5" s="86" t="str">
        <x:v>SRC-G01 / SRC-G10</x:v>
      </x:c>
      <x:c r="J5" s="86" t="str">
        <x:v>Issuer normalized actual</x:v>
      </x:c>
      <x:c r="K5" s="87" t="str">
        <x:v>2023–2024 exclude disclosed capital-transfer gains; 2021, 2022 and 2025 equal reported PBT.</x:v>
      </x:c>
    </x:row>
    <x:row r="6" ht="34" customHeight="1">
      <x:c r="A6" s="88" t="str">
        <x:v>SYSTEM_THROUGHPUT</x:v>
      </x:c>
      <x:c r="B6" s="89" t="str">
        <x:v>System container throughput</x:v>
      </x:c>
      <x:c r="C6" s="89" t="str">
        <x:v>m TEU</x:v>
      </x:c>
      <x:c r="D6" s="134" t="n">
        <x:v>2.627</x:v>
      </x:c>
      <x:c r="E6" s="134" t="n">
        <x:v>3.1</x:v>
      </x:c>
      <x:c r="F6" s="134" t="n">
        <x:v>3.011</x:v>
      </x:c>
      <x:c r="G6" s="134" t="n">
        <x:v>4.435</x:v>
      </x:c>
      <x:c r="H6" s="134" t="n">
        <x:v>5.079</x:v>
      </x:c>
      <x:c r="I6" s="89" t="str">
        <x:v>SRC-G01 / SRC-G09</x:v>
      </x:c>
      <x:c r="J6" s="89" t="str">
        <x:v>Mixed exact and derived</x:v>
      </x:c>
      <x:c r="K6" s="90" t="str">
        <x:v>2021–2022 are derived from rounded issuer chart growth rates; 2023–2025 are exact disclosed points.</x:v>
      </x:c>
    </x:row>
    <x:row r="7" ht="34" customHeight="1">
      <x:c r="A7" s="88" t="str">
        <x:v>PORT_EXTERNAL_REVENUE</x:v>
      </x:c>
      <x:c r="B7" s="89" t="str">
        <x:v>Port external revenue</x:v>
      </x:c>
      <x:c r="C7" s="89" t="str">
        <x:v>VND bn</x:v>
      </x:c>
      <x:c r="D7" s="134" t="n">
        <x:v>2762.788218</x:v>
      </x:c>
      <x:c r="E7" s="134" t="n">
        <x:v>3086.178236</x:v>
      </x:c>
      <x:c r="F7" s="134" t="n">
        <x:v>2908.540764</x:v>
      </x:c>
      <x:c r="G7" s="134" t="n">
        <x:v>4190.786438</x:v>
      </x:c>
      <x:c r="H7" s="134" t="n">
        <x:v>5254.22761</x:v>
      </x:c>
      <x:c r="I7" s="89" t="str">
        <x:v>SRC-G10 / SRC-G08 / SRC-G01</x:v>
      </x:c>
      <x:c r="J7" s="89" t="str">
        <x:v>Issuer actual</x:v>
      </x:c>
      <x:c r="K7" s="90" t="str">
        <x:v>Audited external segment revenue.</x:v>
      </x:c>
    </x:row>
    <x:row r="8" ht="34" customHeight="1">
      <x:c r="A8" s="88" t="str">
        <x:v>LOGISTICS_EXTERNAL_REVENUE</x:v>
      </x:c>
      <x:c r="B8" s="89" t="str">
        <x:v>Logistics external revenue</x:v>
      </x:c>
      <x:c r="C8" s="89" t="str">
        <x:v>VND bn</x:v>
      </x:c>
      <x:c r="D8" s="134" t="n">
        <x:v>429.904936</x:v>
      </x:c>
      <x:c r="E8" s="134" t="n">
        <x:v>810.822008</x:v>
      </x:c>
      <x:c r="F8" s="134" t="n">
        <x:v>935.815647</x:v>
      </x:c>
      <x:c r="G8" s="134" t="n">
        <x:v>630.775427</x:v>
      </x:c>
      <x:c r="H8" s="134" t="n">
        <x:v>693.74057</x:v>
      </x:c>
      <x:c r="I8" s="89" t="str">
        <x:v>SRC-G10 / SRC-G08 / SRC-G01</x:v>
      </x:c>
      <x:c r="J8" s="89" t="str">
        <x:v>Issuer actual</x:v>
      </x:c>
      <x:c r="K8" s="90" t="str">
        <x:v>Audited external segment revenue.</x:v>
      </x:c>
    </x:row>
    <x:row r="9" ht="34" customHeight="1">
      <x:c r="A9" s="88" t="str">
        <x:v>OTHER_EXTERNAL_REVENUE</x:v>
      </x:c>
      <x:c r="B9" s="89" t="str">
        <x:v>Other external revenue</x:v>
      </x:c>
      <x:c r="C9" s="89" t="str">
        <x:v>VND bn</x:v>
      </x:c>
      <x:c r="D9" s="134" t="n">
        <x:v>13.597011</x:v>
      </x:c>
      <x:c r="E9" s="134" t="n">
        <x:v>1.243365</x:v>
      </x:c>
      <x:c r="F9" s="134" t="n">
        <x:v>1.469885</x:v>
      </x:c>
      <x:c r="G9" s="134" t="n">
        <x:v>10.462934</x:v>
      </x:c>
      <x:c r="H9" s="134" t="n">
        <x:v>8.057116</x:v>
      </x:c>
      <x:c r="I9" s="89" t="str">
        <x:v>SRC-G10 / SRC-G08 / SRC-G01</x:v>
      </x:c>
      <x:c r="J9" s="89" t="str">
        <x:v>Issuer actual</x:v>
      </x:c>
      <x:c r="K9" s="90" t="str">
        <x:v>Primarily real-estate trading in the segment appendix.</x:v>
      </x:c>
    </x:row>
    <x:row r="10" ht="34" customHeight="1">
      <x:c r="A10" s="88" t="str">
        <x:v>PORT_SEGMENT_PROFIT</x:v>
      </x:c>
      <x:c r="B10" s="89" t="str">
        <x:v>Port segment financial performance</x:v>
      </x:c>
      <x:c r="C10" s="89" t="str">
        <x:v>VND bn</x:v>
      </x:c>
      <x:c r="D10" s="134" t="n">
        <x:v>713.563688</x:v>
      </x:c>
      <x:c r="E10" s="134" t="n">
        <x:v>985.584222</x:v>
      </x:c>
      <x:c r="F10" s="134" t="n">
        <x:v>1083.302</x:v>
      </x:c>
      <x:c r="G10" s="134" t="n">
        <x:v>1556.966</x:v>
      </x:c>
      <x:c r="H10" s="134" t="n">
        <x:v>1880.805</x:v>
      </x:c>
      <x:c r="I10" s="89" t="str">
        <x:v>SRC-G10 / SRC-G08 / SRC-G01</x:v>
      </x:c>
      <x:c r="J10" s="89" t="str">
        <x:v>Issuer actual</x:v>
      </x:c>
      <x:c r="K10" s="90" t="str">
        <x:v>Segment performance before financial and associate items.</x:v>
      </x:c>
    </x:row>
    <x:row r="11" ht="34" customHeight="1">
      <x:c r="A11" s="88" t="str">
        <x:v>PORT_DA_PREPAY</x:v>
      </x:c>
      <x:c r="B11" s="89" t="str">
        <x:v>Port D&amp;A and long-term prepayment allocation</x:v>
      </x:c>
      <x:c r="C11" s="89" t="str">
        <x:v>VND bn</x:v>
      </x:c>
      <x:c r="D11" s="134" t="n">
        <x:v>295.204995</x:v>
      </x:c>
      <x:c r="E11" s="134" t="n">
        <x:v>316.538625</x:v>
      </x:c>
      <x:c r="F11" s="134" t="n">
        <x:v>313.885</x:v>
      </x:c>
      <x:c r="G11" s="134" t="n">
        <x:v>649.096</x:v>
      </x:c>
      <x:c r="H11" s="134" t="n">
        <x:v>411.297</x:v>
      </x:c>
      <x:c r="I11" s="89" t="str">
        <x:v>SRC-G10 / SRC-G08 / SRC-G01</x:v>
      </x:c>
      <x:c r="J11" s="89" t="str">
        <x:v>Issuer actual</x:v>
      </x:c>
      <x:c r="K11" s="90" t="str">
        <x:v>Segment appendix measure; 2024 spike limits comparability.</x:v>
      </x:c>
    </x:row>
    <x:row r="12" ht="34" customHeight="1">
      <x:c r="A12" s="88" t="str">
        <x:v>NATIONAL_SHARE</x:v>
      </x:c>
      <x:c r="B12" s="89" t="str">
        <x:v>Issuer-estimated national market share</x:v>
      </x:c>
      <x:c r="C12" s="89" t="str">
        <x:v>%</x:v>
      </x:c>
      <x:c r="D12" s="109"/>
      <x:c r="E12" s="109"/>
      <x:c r="F12" s="109" t="n">
        <x:v>0.12</x:v>
      </x:c>
      <x:c r="G12" s="109" t="n">
        <x:v>0.15</x:v>
      </x:c>
      <x:c r="H12" s="109" t="n">
        <x:v>0.15</x:v>
      </x:c>
      <x:c r="I12" s="89" t="str">
        <x:v>SRC-G09 / SRC-G08 / SRC-G01</x:v>
      </x:c>
      <x:c r="J12" s="89" t="str">
        <x:v>Issuer estimate</x:v>
      </x:c>
      <x:c r="K12" s="90" t="str">
        <x:v>2023 disclosed as more than 12%; 2024–2025 approximately 15%.</x:v>
      </x:c>
    </x:row>
    <x:row r="13" ht="34" customHeight="1">
      <x:c r="A13" s="88" t="str">
        <x:v>GEMALINK_PROFIT</x:v>
      </x:c>
      <x:c r="B13" s="89" t="str">
        <x:v>Gemalink associate contribution</x:v>
      </x:c>
      <x:c r="C13" s="89" t="str">
        <x:v>VND bn</x:v>
      </x:c>
      <x:c r="D13" s="134" t="n">
        <x:v>-36.756742</x:v>
      </x:c>
      <x:c r="E13" s="134" t="n">
        <x:v>81.859516</x:v>
      </x:c>
      <x:c r="F13" s="134" t="n">
        <x:v>17.141</x:v>
      </x:c>
      <x:c r="G13" s="134" t="n">
        <x:v>548.777</x:v>
      </x:c>
      <x:c r="H13" s="134" t="n">
        <x:v>826.81</x:v>
      </x:c>
      <x:c r="I13" s="89" t="str">
        <x:v>SRC-G11 / SRC-G10 / SRC-G08 / SRC-G01</x:v>
      </x:c>
      <x:c r="J13" s="89" t="str">
        <x:v>Issuer actual</x:v>
      </x:c>
      <x:c r="K13" s="90" t="str">
        <x:v>Gemadept-Terminal Link Cai Mep Terminal JSC.</x:v>
      </x:c>
    </x:row>
    <x:row r="14" ht="34" customHeight="1">
      <x:c r="A14" s="88" t="str">
        <x:v>SCS_PROFIT</x:v>
      </x:c>
      <x:c r="B14" s="89" t="str">
        <x:v>SCS associate contribution</x:v>
      </x:c>
      <x:c r="C14" s="89" t="str">
        <x:v>VND bn</x:v>
      </x:c>
      <x:c r="D14" s="134" t="n">
        <x:v>180.909405</x:v>
      </x:c>
      <x:c r="E14" s="134" t="n">
        <x:v>211.566909</x:v>
      </x:c>
      <x:c r="F14" s="134" t="n">
        <x:v>168.976</x:v>
      </x:c>
      <x:c r="G14" s="134" t="n">
        <x:v>236.26</x:v>
      </x:c>
      <x:c r="H14" s="134" t="n">
        <x:v>258.588</x:v>
      </x:c>
      <x:c r="I14" s="89" t="str">
        <x:v>SRC-G11 / SRC-G10 / SRC-G08 / SRC-G01</x:v>
      </x:c>
      <x:c r="J14" s="89" t="str">
        <x:v>Issuer actual</x:v>
      </x:c>
      <x:c r="K14" s="90" t="str">
        <x:v>Saigon Cargo Service Corporation.</x:v>
      </x:c>
    </x:row>
    <x:row r="15" ht="34" customHeight="1">
      <x:c r="A15" s="88" t="str">
        <x:v>CJ_LOG_PROFIT</x:v>
      </x:c>
      <x:c r="B15" s="89" t="str">
        <x:v>CJ Gemadept Logistics contribution</x:v>
      </x:c>
      <x:c r="C15" s="89" t="str">
        <x:v>VND bn</x:v>
      </x:c>
      <x:c r="D15" s="134" t="n">
        <x:v>44.635167</x:v>
      </x:c>
      <x:c r="E15" s="134" t="n">
        <x:v>51.081193</x:v>
      </x:c>
      <x:c r="F15" s="134" t="n">
        <x:v>54.838</x:v>
      </x:c>
      <x:c r="G15" s="134" t="n">
        <x:v>34.036</x:v>
      </x:c>
      <x:c r="H15" s="134" t="n">
        <x:v>46.182</x:v>
      </x:c>
      <x:c r="I15" s="89" t="str">
        <x:v>SRC-G11 / SRC-G10 / SRC-G08 / SRC-G01</x:v>
      </x:c>
      <x:c r="J15" s="89" t="str">
        <x:v>Issuer actual</x:v>
      </x:c>
      <x:c r="K15" s="90" t="str">
        <x:v>CJ Gemadept Logistics Holdings.</x:v>
      </x:c>
    </x:row>
    <x:row r="16" ht="34" customHeight="1">
      <x:c r="A16" s="88" t="str">
        <x:v>GEMALINK_CARRY</x:v>
      </x:c>
      <x:c r="B16" s="89" t="str">
        <x:v>Gemalink ending carrying value</x:v>
      </x:c>
      <x:c r="C16" s="89" t="str">
        <x:v>VND bn</x:v>
      </x:c>
      <x:c r="D16" s="134" t="n">
        <x:v>1479.375185</x:v>
      </x:c>
      <x:c r="E16" s="134" t="n">
        <x:v>1561.234701</x:v>
      </x:c>
      <x:c r="F16" s="134" t="n">
        <x:v>1578.376</x:v>
      </x:c>
      <x:c r="G16" s="134" t="n">
        <x:v>2127.153</x:v>
      </x:c>
      <x:c r="H16" s="134" t="n">
        <x:v>2953.963</x:v>
      </x:c>
      <x:c r="I16" s="89" t="str">
        <x:v>SRC-G11 / SRC-G10 / SRC-G08 / SRC-G01</x:v>
      </x:c>
      <x:c r="J16" s="89" t="str">
        <x:v>Issuer actual</x:v>
      </x:c>
      <x:c r="K16" s="90" t="str">
        <x:v>Equity-accounted ownership value.</x:v>
      </x:c>
    </x:row>
    <x:row r="17" ht="34" customHeight="1">
      <x:c r="A17" s="88" t="str">
        <x:v>SCS_CARRY</x:v>
      </x:c>
      <x:c r="B17" s="89" t="str">
        <x:v>SCS ending carrying value</x:v>
      </x:c>
      <x:c r="C17" s="89" t="str">
        <x:v>VND bn</x:v>
      </x:c>
      <x:c r="D17" s="134" t="n">
        <x:v>586.553348</x:v>
      </x:c>
      <x:c r="E17" s="134" t="n">
        <x:v>645.644165</x:v>
      </x:c>
      <x:c r="F17" s="134" t="n">
        <x:v>609.058</x:v>
      </x:c>
      <x:c r="G17" s="134" t="n">
        <x:v>625.168</x:v>
      </x:c>
      <x:c r="H17" s="134" t="n">
        <x:v>682.798</x:v>
      </x:c>
      <x:c r="I17" s="89" t="str">
        <x:v>SRC-G11 / SRC-G10 / SRC-G08 / SRC-G01</x:v>
      </x:c>
      <x:c r="J17" s="89" t="str">
        <x:v>Issuer actual</x:v>
      </x:c>
      <x:c r="K17" s="90" t="str">
        <x:v>Equity-accounted ownership value.</x:v>
      </x:c>
    </x:row>
    <x:row r="18" ht="34" customHeight="1">
      <x:c r="A18" s="88" t="str">
        <x:v>GEMALINK_THROUGHPUT</x:v>
      </x:c>
      <x:c r="B18" s="89" t="str">
        <x:v>Gemalink container throughput</x:v>
      </x:c>
      <x:c r="C18" s="89" t="str">
        <x:v>m TEU minimum</x:v>
      </x:c>
      <x:c r="D18" s="134"/>
      <x:c r="E18" s="134" t="n">
        <x:v>1.1</x:v>
      </x:c>
      <x:c r="F18" s="134" t="n">
        <x:v>1</x:v>
      </x:c>
      <x:c r="G18" s="134" t="n">
        <x:v>1.7</x:v>
      </x:c>
      <x:c r="H18" s="134" t="n">
        <x:v>1.9</x:v>
      </x:c>
      <x:c r="I18" s="89" t="str">
        <x:v>SRC-G10 / SRC-G09 / SRC-G08 / SRC-G01</x:v>
      </x:c>
      <x:c r="J18" s="89" t="str">
        <x:v>Issuer minimum disclosure</x:v>
      </x:c>
      <x:c r="K18" s="90" t="str">
        <x:v>Rounded or minimum disclosed points; not additive to system volume.</x:v>
      </x:c>
    </x:row>
    <x:row r="19" ht="34" customHeight="1">
      <x:c r="A19" s="88" t="str">
        <x:v>NAM_DINH_VU_THROUGHPUT</x:v>
      </x:c>
      <x:c r="B19" s="89" t="str">
        <x:v>Nam Dinh Vu throughput</x:v>
      </x:c>
      <x:c r="C19" s="89" t="str">
        <x:v>m TEU</x:v>
      </x:c>
      <x:c r="D19" s="134"/>
      <x:c r="E19" s="134"/>
      <x:c r="F19" s="134" t="n">
        <x:v>0.897719</x:v>
      </x:c>
      <x:c r="G19" s="134"/>
      <x:c r="H19" s="134"/>
      <x:c r="I19" s="89" t="str">
        <x:v>SRC-G09</x:v>
      </x:c>
      <x:c r="J19" s="89" t="str">
        <x:v>Issuer actual</x:v>
      </x:c>
      <x:c r="K19" s="90" t="str">
        <x:v>Only 2023 exact annual point loaded.</x:v>
      </x:c>
    </x:row>
    <x:row r="20" ht="34" customHeight="1">
      <x:c r="A20" s="88" t="str">
        <x:v>SOUTH_EX_GEMALINK</x:v>
      </x:c>
      <x:c r="B20" s="89" t="str">
        <x:v>Southern port division excluding Gemalink</x:v>
      </x:c>
      <x:c r="C20" s="89" t="str">
        <x:v>m TEU</x:v>
      </x:c>
      <x:c r="D20" s="134"/>
      <x:c r="E20" s="134"/>
      <x:c r="F20" s="134"/>
      <x:c r="G20" s="134"/>
      <x:c r="H20" s="134" t="n">
        <x:v>1.650408</x:v>
      </x:c>
      <x:c r="I20" s="89" t="str">
        <x:v>SRC-G01</x:v>
      </x:c>
      <x:c r="J20" s="89" t="str">
        <x:v>Issuer actual</x:v>
      </x:c>
      <x:c r="K20" s="90" t="str">
        <x:v>Division scope differs from total South.</x:v>
      </x:c>
    </x:row>
    <x:row r="21" ht="34" customHeight="1">
      <x:c r="A21" s="91" t="str">
        <x:v>PL_BD_THROUGHPUT</x:v>
      </x:c>
      <x:c r="B21" s="92" t="str">
        <x:v>Phuoc Long ICD / Binh Duong throughput</x:v>
      </x:c>
      <x:c r="C21" s="92" t="str">
        <x:v>m TEU</x:v>
      </x:c>
      <x:c r="D21" s="135"/>
      <x:c r="E21" s="135"/>
      <x:c r="F21" s="135"/>
      <x:c r="G21" s="135" t="n">
        <x:v>1.145</x:v>
      </x:c>
      <x:c r="H21" s="135" t="n">
        <x:v>1.260574</x:v>
      </x:c>
      <x:c r="I21" s="92" t="str">
        <x:v>SRC-G01</x:v>
      </x:c>
      <x:c r="J21" s="92" t="str">
        <x:v>Issuer actual</x:v>
      </x:c>
      <x:c r="K21" s="93" t="str">
        <x:v>Subset of the Southern division.</x:v>
      </x:c>
    </x:row>
  </x:sheetData>
  <x:mergeCells>
    <x:mergeCell ref="A1:K1"/>
    <x:mergeCell ref="A2:K2"/>
  </x:mergeCells>
  <x:pageMargins left="0.7" right="0.7" top="0.75" bottom="0.75" header="0.3" footer="0.3"/>
  <x:tableParts count="1">
    <x:tablePart xmlns:r="http://schemas.openxmlformats.org/officeDocument/2006/relationships" r:id="R3a4375ea46ef4d72"/>
  </x:tableParts>
</x:worksheet>
</file>

<file path=xl/worksheets/sheet20.xml><?xml version="1.0" encoding="utf-8"?>
<x:worksheet xmlns:x="http://schemas.openxmlformats.org/spreadsheetml/2006/main">
  <x:sheetViews>
    <x:sheetView showGridLines="0" workbookViewId="0"/>
  </x:sheetViews>
  <x:sheetFormatPr defaultRowHeight="15"/>
  <x:cols>
    <x:col min="1" max="1" width="31" hidden="0" customWidth="1"/>
    <x:col min="2" max="2" width="28" hidden="0" customWidth="1"/>
    <x:col min="3" max="3" width="31" hidden="0" customWidth="1"/>
    <x:col min="4" max="4" width="34" hidden="0" customWidth="1"/>
    <x:col min="5" max="5" width="29" hidden="0" customWidth="1"/>
    <x:col min="6" max="6" width="31" hidden="0" customWidth="1"/>
    <x:col min="7" max="7" width="18" hidden="0" customWidth="1"/>
    <x:col min="8" max="8" width="18" hidden="0" customWidth="1"/>
    <x:col min="9" max="9" width="18" hidden="0" customWidth="1"/>
    <x:col min="10" max="10" width="18" hidden="0" customWidth="1"/>
    <x:col min="11" max="11" width="18" hidden="0" customWidth="1"/>
    <x:col min="12" max="12" width="18" hidden="0" customWidth="1"/>
    <x:col min="13" max="13" width="18" hidden="0" customWidth="1"/>
    <x:col min="14" max="14" width="18" hidden="0" customWidth="1"/>
  </x:cols>
  <x:sheetData>
    <x:row r="1" ht="30" customHeight="1">
      <x:c r="A1" s="264" t="str">
        <x:v>Phase 3 — GMD Five-Year Historical Driver Dashboard</x:v>
      </x:c>
      <x:c r="B1" s="264" t="str">
        <x:v>Phase 3 — GMD Five-Year Historical Driver Dashboard</x:v>
      </x:c>
      <x:c r="C1" s="264" t="str">
        <x:v>Phase 3 — GMD Five-Year Historical Driver Dashboard</x:v>
      </x:c>
      <x:c r="D1" s="264" t="str">
        <x:v>Phase 3 — GMD Five-Year Historical Driver Dashboard</x:v>
      </x:c>
      <x:c r="E1" s="264" t="str">
        <x:v>Phase 3 — GMD Five-Year Historical Driver Dashboard</x:v>
      </x:c>
      <x:c r="F1" s="264" t="str">
        <x:v>Phase 3 — GMD Five-Year Historical Driver Dashboard</x:v>
      </x:c>
      <x:c r="G1" s="264" t="str">
        <x:v>Phase 3 — GMD Five-Year Historical Driver Dashboard</x:v>
      </x:c>
      <x:c r="H1" s="264" t="str">
        <x:v>Phase 3 — GMD Five-Year Historical Driver Dashboard</x:v>
      </x:c>
      <x:c r="I1" s="264" t="str">
        <x:v>Phase 3 — GMD Five-Year Historical Driver Dashboard</x:v>
      </x:c>
      <x:c r="J1" s="264" t="str">
        <x:v>Phase 3 — GMD Five-Year Historical Driver Dashboard</x:v>
      </x:c>
      <x:c r="K1" s="264" t="str">
        <x:v>Phase 3 — GMD Five-Year Historical Driver Dashboard</x:v>
      </x:c>
      <x:c r="L1" s="264" t="str">
        <x:v>Phase 3 — GMD Five-Year Historical Driver Dashboard</x:v>
      </x:c>
      <x:c r="M1" s="264" t="str">
        <x:v>Phase 3 — GMD Five-Year Historical Driver Dashboard</x:v>
      </x:c>
      <x:c r="N1" s="264" t="str">
        <x:v>Phase 3 — GMD Five-Year Historical Driver Dashboard</x:v>
      </x:c>
    </x:row>
    <x:row r="2" ht="34" customHeight="1">
      <x:c r="A2" s="268" t="str">
        <x:v>Recruiter view: 2021–2025 raw-linked financial history, explicit ownership scope and cash-flow reconciliation. No analyst forecast, valuation, rating or target price.</x:v>
      </x:c>
      <x:c r="B2" s="268" t="str">
        <x:v>Recruiter view: 2021–2025 raw-linked financial history, explicit ownership scope and cash-flow reconciliation. No analyst forecast, valuation, rating or target price.</x:v>
      </x:c>
      <x:c r="C2" s="268" t="str">
        <x:v>Recruiter view: 2021–2025 raw-linked financial history, explicit ownership scope and cash-flow reconciliation. No analyst forecast, valuation, rating or target price.</x:v>
      </x:c>
      <x:c r="D2" s="268" t="str">
        <x:v>Recruiter view: 2021–2025 raw-linked financial history, explicit ownership scope and cash-flow reconciliation. No analyst forecast, valuation, rating or target price.</x:v>
      </x:c>
      <x:c r="E2" s="268" t="str">
        <x:v>Recruiter view: 2021–2025 raw-linked financial history, explicit ownership scope and cash-flow reconciliation. No analyst forecast, valuation, rating or target price.</x:v>
      </x:c>
      <x:c r="F2" s="268" t="str">
        <x:v>Recruiter view: 2021–2025 raw-linked financial history, explicit ownership scope and cash-flow reconciliation. No analyst forecast, valuation, rating or target price.</x:v>
      </x:c>
      <x:c r="G2" s="268" t="str">
        <x:v>Recruiter view: 2021–2025 raw-linked financial history, explicit ownership scope and cash-flow reconciliation. No analyst forecast, valuation, rating or target price.</x:v>
      </x:c>
      <x:c r="H2" s="268" t="str">
        <x:v>Recruiter view: 2021–2025 raw-linked financial history, explicit ownership scope and cash-flow reconciliation. No analyst forecast, valuation, rating or target price.</x:v>
      </x:c>
      <x:c r="I2" s="268" t="str">
        <x:v>Recruiter view: 2021–2025 raw-linked financial history, explicit ownership scope and cash-flow reconciliation. No analyst forecast, valuation, rating or target price.</x:v>
      </x:c>
      <x:c r="J2" s="268" t="str">
        <x:v>Recruiter view: 2021–2025 raw-linked financial history, explicit ownership scope and cash-flow reconciliation. No analyst forecast, valuation, rating or target price.</x:v>
      </x:c>
      <x:c r="K2" s="268" t="str">
        <x:v>Recruiter view: 2021–2025 raw-linked financial history, explicit ownership scope and cash-flow reconciliation. No analyst forecast, valuation, rating or target price.</x:v>
      </x:c>
      <x:c r="L2" s="268" t="str">
        <x:v>Recruiter view: 2021–2025 raw-linked financial history, explicit ownership scope and cash-flow reconciliation. No analyst forecast, valuation, rating or target price.</x:v>
      </x:c>
      <x:c r="M2" s="268" t="str">
        <x:v>Recruiter view: 2021–2025 raw-linked financial history, explicit ownership scope and cash-flow reconciliation. No analyst forecast, valuation, rating or target price.</x:v>
      </x:c>
      <x:c r="N2" s="268" t="str">
        <x:v>Recruiter view: 2021–2025 raw-linked financial history, explicit ownership scope and cash-flow reconciliation. No analyst forecast, valuation, rating or target price.</x:v>
      </x:c>
    </x:row>
    <x:row r="4" ht="21" customHeight="1">
      <x:c r="A4" s="286" t="str">
        <x:v>Model status and 2025 operating outputs</x:v>
      </x:c>
      <x:c r="B4" s="286" t="str">
        <x:v>Model status and 2025 operating outputs</x:v>
      </x:c>
      <x:c r="C4" s="286" t="str">
        <x:v>Model status and 2025 operating outputs</x:v>
      </x:c>
      <x:c r="D4" s="286" t="str">
        <x:v>Model status and 2025 operating outputs</x:v>
      </x:c>
      <x:c r="E4" s="286" t="str">
        <x:v>Model status and 2025 operating outputs</x:v>
      </x:c>
      <x:c r="F4" s="286" t="str">
        <x:v>Model status and 2025 operating outputs</x:v>
      </x:c>
    </x:row>
    <x:row r="5" ht="28" customHeight="1">
      <x:c r="A5" s="377" t="str">
        <x:v>Selected company</x:v>
      </x:c>
      <x:c r="B5" s="321" t="str">
        <x:v>GMD</x:v>
      </x:c>
      <x:c r="D5" s="377" t="str">
        <x:v>2026 issuer benchmark</x:v>
      </x:c>
      <x:c r="E5" s="321" t="str">
        <x:v>Value</x:v>
      </x:c>
    </x:row>
    <x:row r="6" ht="28" customHeight="1">
      <x:c r="A6" s="378" t="str">
        <x:v>Model status</x:v>
      </x:c>
      <x:c r="B6" s="382" t="str">
        <x:f>'P3 Checks'!B58</x:f>
        <x:v>OK — five-year raw-linked history reconciled; ready for Phase 4</x:v>
      </x:c>
      <x:c r="D6" s="378" t="str">
        <x:v>Registered revenue plan</x:v>
      </x:c>
      <x:c r="E6" s="382" t="n">
        <x:f>'P3 Guidance'!C6</x:f>
        <x:v>6500</x:v>
      </x:c>
    </x:row>
    <x:row r="7" ht="28" customHeight="1">
      <x:c r="A7" s="378" t="str">
        <x:v>System throughput</x:v>
      </x:c>
      <x:c r="B7" s="384" t="n">
        <x:f>'P3 Port Drivers'!G6</x:f>
        <x:v>5.079</x:v>
      </x:c>
      <x:c r="D7" s="378" t="str">
        <x:v>Registered core PBT plan</x:v>
      </x:c>
      <x:c r="E7" s="382" t="n">
        <x:f>'P3 Guidance'!C7</x:f>
        <x:v>2800</x:v>
      </x:c>
    </x:row>
    <x:row r="8" ht="28" customHeight="1">
      <x:c r="A8" s="378" t="str">
        <x:v>Port external revenue</x:v>
      </x:c>
      <x:c r="B8" s="382" t="n">
        <x:f>'P3 Port Drivers'!G8</x:f>
        <x:v>5254.22761</x:v>
      </x:c>
      <x:c r="D8" s="378" t="str">
        <x:v>Q1 revenue / registered plan</x:v>
      </x:c>
      <x:c r="E8" s="385" t="n">
        <x:f>'P3 Guidance'!D11</x:f>
        <x:v>0.22338461538461538</x:v>
      </x:c>
    </x:row>
    <x:row r="9" ht="28" customHeight="1">
      <x:c r="A9" s="378" t="str">
        <x:v>Issuer core PBT</x:v>
      </x:c>
      <x:c r="B9" s="382" t="n">
        <x:f>'P3 Historical IS'!G25</x:f>
        <x:v>2520.827</x:v>
      </x:c>
      <x:c r="D9" s="378" t="str">
        <x:v>Q1 PBT / registered plan</x:v>
      </x:c>
      <x:c r="E9" s="385" t="n">
        <x:f>'P3 Guidance'!D12</x:f>
        <x:v>0.2557142857142857</x:v>
      </x:c>
    </x:row>
    <x:row r="10" ht="28" customHeight="1">
      <x:c r="A10" s="378" t="str">
        <x:v>Core EBITDA proxy</x:v>
      </x:c>
      <x:c r="B10" s="382" t="n">
        <x:f>'P3 Historical IS'!G33</x:f>
        <x:v>3048.626785069</x:v>
      </x:c>
      <x:c r="D10" s="378" t="str">
        <x:v>Gemalink Phase 2 timing</x:v>
      </x:c>
      <x:c r="E10" s="292" t="str">
        <x:v>Q4 2027</x:v>
      </x:c>
    </x:row>
    <x:row r="11" ht="28" customHeight="1">
      <x:c r="A11" s="378" t="str">
        <x:v>Associate earnings / core PBT</x:v>
      </x:c>
      <x:c r="B11" s="385" t="n">
        <x:f>'P3 Associates'!G12</x:f>
        <x:v>0.4592379318164237</x:v>
      </x:c>
      <x:c r="D11" s="378" t="str">
        <x:v>Model scope</x:v>
      </x:c>
      <x:c r="E11" s="292" t="str">
        <x:v>2021–2025 actuals</x:v>
      </x:c>
    </x:row>
    <x:row r="12" ht="28" customHeight="1">
      <x:c r="A12" s="379" t="str">
        <x:v>Historical FCF proxy</x:v>
      </x:c>
      <x:c r="B12" s="383" t="n">
        <x:f>'P3 Cash Flow'!G9</x:f>
        <x:v>465.8994484370003</x:v>
      </x:c>
      <x:c r="D12" s="379" t="str">
        <x:v>Next phase</x:v>
      </x:c>
      <x:c r="E12" s="308" t="str">
        <x:v>Forecast &amp; valuation</x:v>
      </x:c>
    </x:row>
    <x:row r="14" ht="21" customHeight="1">
      <x:c r="A14" s="286" t="str">
        <x:v>What five years of history actually say</x:v>
      </x:c>
      <x:c r="B14" s="286" t="str">
        <x:v>What five years of history actually say</x:v>
      </x:c>
      <x:c r="C14" s="286" t="str">
        <x:v>What five years of history actually say</x:v>
      </x:c>
      <x:c r="D14" s="286" t="str">
        <x:v>What five years of history actually say</x:v>
      </x:c>
      <x:c r="E14" s="286" t="str">
        <x:v>What five years of history actually say</x:v>
      </x:c>
      <x:c r="F14" s="286" t="str">
        <x:v>What five years of history actually say</x:v>
      </x:c>
    </x:row>
    <x:row r="15" ht="32" customHeight="1">
      <x:c r="A15" s="278" t="str">
        <x:v>Observation</x:v>
      </x:c>
      <x:c r="B15" s="278" t="str">
        <x:v>Evidence</x:v>
      </x:c>
      <x:c r="C15" s="278" t="str">
        <x:v>Mechanism</x:v>
      </x:c>
      <x:c r="D15" s="278" t="str">
        <x:v>Phase 4 implication</x:v>
      </x:c>
      <x:c r="E15" s="278" t="str">
        <x:v>Risk to thesis</x:v>
      </x:c>
      <x:c r="F15" s="278" t="str">
        <x:v>Source / model</x:v>
      </x:c>
    </x:row>
    <x:row r="16" ht="48" customHeight="1">
      <x:c r="A16" s="85" t="str">
        <x:v>System volume scaled materially across the cycle</x:v>
      </x:c>
      <x:c r="B16" s="86" t="str">
        <x:v>2.627m* → 5.079m TEU; *2021 chart-derived</x:v>
      </x:c>
      <x:c r="C16" s="86" t="str">
        <x:v>Trade recovery plus Gemalink and Northern capacity</x:v>
      </x:c>
      <x:c r="D16" s="86" t="str">
        <x:v>Forecast North and South separately</x:v>
      </x:c>
      <x:c r="E16" s="86" t="str">
        <x:v>Rounded early-year volume reduces precision</x:v>
      </x:c>
      <x:c r="F16" s="87" t="str">
        <x:v>P3 Port Drivers</x:v>
      </x:c>
    </x:row>
    <x:row r="17" ht="48" customHeight="1">
      <x:c r="A17" s="88" t="str">
        <x:v>2025 port revenue growth exceeded volume growth</x:v>
      </x:c>
      <x:c r="B17" s="89" t="str">
        <x:v>Port revenue +25.4%; throughput +14.5%</x:v>
      </x:c>
      <x:c r="C17" s="89" t="str">
        <x:v>Residual unit/mix/scope contribution</x:v>
      </x:c>
      <x:c r="D17" s="89" t="str">
        <x:v>Keep a visible unit proxy</x:v>
      </x:c>
      <x:c r="E17" s="89" t="str">
        <x:v>Proxy is not a clean tariff</x:v>
      </x:c>
      <x:c r="F17" s="90" t="str">
        <x:v>P3 Port Drivers</x:v>
      </x:c>
    </x:row>
    <x:row r="18" ht="48" customHeight="1">
      <x:c r="A18" s="88" t="str">
        <x:v>Associates became structurally material</x:v>
      </x:c>
      <x:c r="B18" s="89" t="str">
        <x:v>Associates were 45.9% of 2025 core PBT</x:v>
      </x:c>
      <x:c r="C18" s="89" t="str">
        <x:v>Gemalink earnings enter below consolidated revenue</x:v>
      </x:c>
      <x:c r="D18" s="89" t="str">
        <x:v>Model Gemalink separately</x:v>
      </x:c>
      <x:c r="E18" s="89" t="str">
        <x:v>Earnings concentration and dividend timing</x:v>
      </x:c>
      <x:c r="F18" s="90" t="str">
        <x:v>P3 Associates</x:v>
      </x:c>
    </x:row>
    <x:row r="19" ht="48" customHeight="1">
      <x:c r="A19" s="88" t="str">
        <x:v>Cash flow recovered but reinvestment stayed heavy</x:v>
      </x:c>
      <x:c r="B19" s="89" t="str">
        <x:v>2025 FCF proxy about VND 466bn</x:v>
      </x:c>
      <x:c r="C19" s="89" t="str">
        <x:v>CFO improved while cash capex was about VND 1.68tn</x:v>
      </x:c>
      <x:c r="D19" s="89" t="str">
        <x:v>Keep cash capex and conversion explicit</x:v>
      </x:c>
      <x:c r="E19" s="89" t="str">
        <x:v>Growth may not convert to near-term FCF</x:v>
      </x:c>
      <x:c r="F19" s="90" t="str">
        <x:v>P3 Cash Flow</x:v>
      </x:c>
    </x:row>
    <x:row r="20" ht="48" customHeight="1">
      <x:c r="A20" s="91" t="str">
        <x:v>Reported PBT is not comparable across all years</x:v>
      </x:c>
      <x:c r="B20" s="92" t="str">
        <x:v>2023 includes a major capital-transfer gain</x:v>
      </x:c>
      <x:c r="C20" s="92" t="str">
        <x:v>Non-core financial income distorted growth</x:v>
      </x:c>
      <x:c r="D20" s="92" t="str">
        <x:v>Anchor forecast to core PBT</x:v>
      </x:c>
      <x:c r="E20" s="92" t="str">
        <x:v>Incorrect normalization can inflate growth</x:v>
      </x:c>
      <x:c r="F20" s="93" t="str">
        <x:v>P3 Historical IS</x:v>
      </x:c>
    </x:row>
    <x:row r="22" ht="21" customHeight="1">
      <x:c r="A22" s="286" t="str">
        <x:v>Phase 4 handoff — driver tree</x:v>
      </x:c>
      <x:c r="B22" s="286" t="str">
        <x:v>Phase 4 handoff — driver tree</x:v>
      </x:c>
      <x:c r="C22" s="286" t="str">
        <x:v>Phase 4 handoff — driver tree</x:v>
      </x:c>
      <x:c r="D22" s="286" t="str">
        <x:v>Phase 4 handoff — driver tree</x:v>
      </x:c>
      <x:c r="E22" s="286" t="str">
        <x:v>Phase 4 handoff — driver tree</x:v>
      </x:c>
      <x:c r="F22" s="286" t="str">
        <x:v>Phase 4 handoff — driver tree</x:v>
      </x:c>
    </x:row>
    <x:row r="23" ht="32" customHeight="1">
      <x:c r="A23" s="278" t="str">
        <x:v>Step</x:v>
      </x:c>
      <x:c r="B23" s="278" t="str">
        <x:v>Driver</x:v>
      </x:c>
      <x:c r="C23" s="278" t="str">
        <x:v>Historical anchor</x:v>
      </x:c>
      <x:c r="D23" s="278" t="str">
        <x:v>Required Phase 4 input</x:v>
      </x:c>
      <x:c r="E23" s="278" t="str">
        <x:v>Output</x:v>
      </x:c>
      <x:c r="F23" s="278" t="str">
        <x:v>Control</x:v>
      </x:c>
    </x:row>
    <x:row r="24" ht="42" customHeight="1">
      <x:c r="A24" s="85" t="n">
        <x:v>1</x:v>
      </x:c>
      <x:c r="B24" s="86" t="str">
        <x:v>North / South throughput</x:v>
      </x:c>
      <x:c r="C24" s="86" t="str">
        <x:v>Five-year system and selected asset disclosures</x:v>
      </x:c>
      <x:c r="D24" s="86" t="str">
        <x:v>Base/Bull/Bear growth and capacity ramp</x:v>
      </x:c>
      <x:c r="E24" s="86" t="str">
        <x:v>System and asset volume</x:v>
      </x:c>
      <x:c r="F24" s="87" t="str">
        <x:v>Capacity and scope checks</x:v>
      </x:c>
    </x:row>
    <x:row r="25" ht="42" customHeight="1">
      <x:c r="A25" s="88" t="n">
        <x:v>2</x:v>
      </x:c>
      <x:c r="B25" s="89" t="str">
        <x:v>Port revenue per unit proxy</x:v>
      </x:c>
      <x:c r="C25" s="89" t="str">
        <x:v>Five-year VND '000 per system TEU</x:v>
      </x:c>
      <x:c r="D25" s="89" t="str">
        <x:v>Price/mix/service assumptions</x:v>
      </x:c>
      <x:c r="E25" s="89" t="str">
        <x:v>Consolidated port revenue</x:v>
      </x:c>
      <x:c r="F25" s="90" t="str">
        <x:v>Bridge to volume and proxy</x:v>
      </x:c>
    </x:row>
    <x:row r="26" ht="42" customHeight="1">
      <x:c r="A26" s="88" t="n">
        <x:v>3</x:v>
      </x:c>
      <x:c r="B26" s="89" t="str">
        <x:v>Port segment margin / D&amp;A</x:v>
      </x:c>
      <x:c r="C26" s="89" t="str">
        <x:v>Five-year segment performance and D&amp;A</x:v>
      </x:c>
      <x:c r="D26" s="89" t="str">
        <x:v>Operating leverage and depreciation schedule</x:v>
      </x:c>
      <x:c r="E26" s="89" t="str">
        <x:v>Port EBITDA/EBIT proxy</x:v>
      </x:c>
      <x:c r="F26" s="90" t="str">
        <x:v>Margin sanity checks</x:v>
      </x:c>
    </x:row>
    <x:row r="27" ht="42" customHeight="1">
      <x:c r="A27" s="91" t="n">
        <x:v>4</x:v>
      </x:c>
      <x:c r="B27" s="92" t="str">
        <x:v>Associates, NCI and capex</x:v>
      </x:c>
      <x:c r="C27" s="92" t="str">
        <x:v>Gemalink/SCS earnings and raw cash flow</x:v>
      </x:c>
      <x:c r="D27" s="92" t="str">
        <x:v>Associate earnings, distributions and project capex</x:v>
      </x:c>
      <x:c r="E27" s="92" t="str">
        <x:v>PBT, PAT and FCF</x:v>
      </x:c>
      <x:c r="F27" s="93" t="str">
        <x:v>Attribution and cash-flow checks</x:v>
      </x:c>
    </x:row>
    <x:row r="29" ht="21" customHeight="1">
      <x:c r="A29" s="286" t="str">
        <x:v>Color and evidence legend</x:v>
      </x:c>
      <x:c r="B29" s="286" t="str">
        <x:v>Color and evidence legend</x:v>
      </x:c>
      <x:c r="C29" s="286" t="str">
        <x:v>Color and evidence legend</x:v>
      </x:c>
      <x:c r="D29" s="286" t="str">
        <x:v>Color and evidence legend</x:v>
      </x:c>
      <x:c r="E29" s="286" t="str">
        <x:v>Color and evidence legend</x:v>
      </x:c>
      <x:c r="F29" s="286" t="str">
        <x:v>Color and evidence legend</x:v>
      </x:c>
    </x:row>
    <x:row r="30" ht="38" customHeight="1">
      <x:c r="A30" s="392" t="str">
        <x:v>Black text = filing-sourced values or formulas</x:v>
      </x:c>
      <x:c r="B30" s="395" t="str">
        <x:v>Green text = formula link to another workbook sheet</x:v>
      </x:c>
      <x:c r="C30" s="396" t="str">
        <x:v>Yellow fill = caveat / scope warning</x:v>
      </x:c>
      <x:c r="D30" s="393" t="str">
        <x:v>Management guidance is labelled separately</x:v>
      </x:c>
      <x:c r="E30" s="393" t="str">
        <x:v>No blue analyst assumptions in Phase 3</x:v>
      </x:c>
      <x:c r="F30" s="394" t="str">
        <x:v>All full URLs are in Source Audit / raw sheets</x:v>
      </x:c>
    </x:row>
    <x:row r="32" ht="32" customHeight="1">
      <x:c r="A32" s="278" t="str">
        <x:v>Year</x:v>
      </x:c>
      <x:c r="B32" s="278" t="str">
        <x:v>System throughput (m TEU)</x:v>
      </x:c>
      <x:c r="C32" s="278" t="str">
        <x:v>Port revenue (VND bn)</x:v>
      </x:c>
      <x:c r="D32" s="278" t="str">
        <x:v>Port segment profit (VND bn)</x:v>
      </x:c>
      <x:c r="F32" s="278" t="str">
        <x:v>Year</x:v>
      </x:c>
      <x:c r="G32" s="278" t="str">
        <x:v>Associate earnings</x:v>
      </x:c>
      <x:c r="H32" s="278" t="str">
        <x:v>Residual core PBT</x:v>
      </x:c>
    </x:row>
    <x:row r="33" ht="25" customHeight="1">
      <x:c r="A33" s="85" t="str">
        <x:v>2021A</x:v>
      </x:c>
      <x:c r="B33" s="317" t="n">
        <x:f>'P3 Port Drivers'!C6</x:f>
        <x:v>2.627</x:v>
      </x:c>
      <x:c r="C33" s="287" t="n">
        <x:f>'P3 Port Drivers'!C8</x:f>
        <x:v>2762.788218</x:v>
      </x:c>
      <x:c r="D33" s="400" t="n">
        <x:f>'P3 Port Drivers'!C12</x:f>
        <x:v>713.563688</x:v>
      </x:c>
      <x:c r="F33" s="85" t="str">
        <x:v>2021A</x:v>
      </x:c>
      <x:c r="G33" s="287" t="n">
        <x:f>'P3 Associates'!C6</x:f>
        <x:v>236.913674177</x:v>
      </x:c>
      <x:c r="H33" s="400" t="n">
        <x:f>'P3 Historical IS'!C25-'P3 Associates'!C6</x:f>
        <x:v>569.298325823</x:v>
      </x:c>
    </x:row>
    <x:row r="34" ht="25" customHeight="1">
      <x:c r="A34" s="88" t="str">
        <x:v>2022A</x:v>
      </x:c>
      <x:c r="B34" s="348" t="n">
        <x:f>'P3 Port Drivers'!D6</x:f>
        <x:v>3.1</x:v>
      </x:c>
      <x:c r="C34" s="288" t="n">
        <x:f>'P3 Port Drivers'!D8</x:f>
        <x:v>3086.178236</x:v>
      </x:c>
      <x:c r="D34" s="401" t="n">
        <x:f>'P3 Port Drivers'!D12</x:f>
        <x:v>985.584222</x:v>
      </x:c>
      <x:c r="F34" s="88" t="str">
        <x:v>2022A</x:v>
      </x:c>
      <x:c r="G34" s="288" t="n">
        <x:f>'P3 Associates'!D6</x:f>
        <x:v>399.148325174</x:v>
      </x:c>
      <x:c r="H34" s="401" t="n">
        <x:f>'P3 Historical IS'!D25-'P3 Associates'!D6</x:f>
        <x:v>909.3296748260001</x:v>
      </x:c>
    </x:row>
    <x:row r="35" ht="25" customHeight="1">
      <x:c r="A35" s="88" t="str">
        <x:v>2023A</x:v>
      </x:c>
      <x:c r="B35" s="348" t="n">
        <x:f>'P3 Port Drivers'!E6</x:f>
        <x:v>3.011</x:v>
      </x:c>
      <x:c r="C35" s="288" t="n">
        <x:f>'P3 Port Drivers'!E8</x:f>
        <x:v>2908.540764</x:v>
      </x:c>
      <x:c r="D35" s="401" t="n">
        <x:f>'P3 Port Drivers'!E12</x:f>
        <x:v>1083.302</x:v>
      </x:c>
      <x:c r="F35" s="88" t="str">
        <x:v>2023A</x:v>
      </x:c>
      <x:c r="G35" s="288" t="n">
        <x:f>'P3 Associates'!E6</x:f>
        <x:v>274.234816173</x:v>
      </x:c>
      <x:c r="H35" s="401" t="n">
        <x:f>'P3 Historical IS'!E25-'P3 Associates'!E6</x:f>
        <x:v>1032.7651838269999</x:v>
      </x:c>
    </x:row>
    <x:row r="36" ht="25" customHeight="1">
      <x:c r="A36" s="88" t="str">
        <x:v>2024A</x:v>
      </x:c>
      <x:c r="B36" s="348" t="n">
        <x:f>'P3 Port Drivers'!F6</x:f>
        <x:v>4.435</x:v>
      </x:c>
      <x:c r="C36" s="288" t="n">
        <x:f>'P3 Port Drivers'!F8</x:f>
        <x:v>4190.786438</x:v>
      </x:c>
      <x:c r="D36" s="401" t="n">
        <x:f>'P3 Port Drivers'!F12</x:f>
        <x:v>1556.966</x:v>
      </x:c>
      <x:c r="F36" s="88" t="str">
        <x:v>2024A</x:v>
      </x:c>
      <x:c r="G36" s="288" t="n">
        <x:f>'P3 Associates'!F6</x:f>
        <x:v>829.308422992</x:v>
      </x:c>
      <x:c r="H36" s="401" t="n">
        <x:f>'P3 Historical IS'!F25-'P3 Associates'!F6</x:f>
        <x:v>951.691577008</x:v>
      </x:c>
    </x:row>
    <x:row r="37" ht="25" customHeight="1">
      <x:c r="A37" s="91" t="str">
        <x:v>2025A</x:v>
      </x:c>
      <x:c r="B37" s="349" t="n">
        <x:f>'P3 Port Drivers'!G6</x:f>
        <x:v>5.079</x:v>
      </x:c>
      <x:c r="C37" s="360" t="n">
        <x:f>'P3 Port Drivers'!G8</x:f>
        <x:v>5254.22761</x:v>
      </x:c>
      <x:c r="D37" s="402" t="n">
        <x:f>'P3 Port Drivers'!G12</x:f>
        <x:v>1880.805</x:v>
      </x:c>
      <x:c r="F37" s="91" t="str">
        <x:v>2025A</x:v>
      </x:c>
      <x:c r="G37" s="360" t="n">
        <x:f>'P3 Associates'!G6</x:f>
        <x:v>1157.659377947</x:v>
      </x:c>
      <x:c r="H37" s="402" t="n">
        <x:f>'P3 Historical IS'!G25-'P3 Associates'!G6</x:f>
        <x:v>1363.1676220530003</x:v>
      </x:c>
    </x:row>
  </x:sheetData>
  <x:mergeCells>
    <x:mergeCell ref="A1:N1"/>
    <x:mergeCell ref="A2:N2"/>
    <x:mergeCell ref="A4:F4"/>
    <x:mergeCell ref="A14:F14"/>
    <x:mergeCell ref="A22:F22"/>
    <x:mergeCell ref="A29:F29"/>
  </x:mergeCells>
  <x:pageMargins left="0.7" right="0.7" top="0.75" bottom="0.75" header="0.3" footer="0.3"/>
  <x:drawing xmlns:r="http://schemas.openxmlformats.org/officeDocument/2006/relationships" r:id="Rad778edfb2b94ae1"/>
</x:worksheet>
</file>

<file path=xl/worksheets/sheet21.xml><?xml version="1.0" encoding="utf-8"?>
<x:worksheet xmlns:x="http://schemas.openxmlformats.org/spreadsheetml/2006/main">
  <x:sheetViews>
    <x:sheetView showGridLines="0" workbookViewId="0"/>
  </x:sheetViews>
  <x:sheetFormatPr defaultRowHeight="15"/>
  <x:cols>
    <x:col min="1" max="1" width="48" hidden="0" customWidth="1"/>
    <x:col min="2" max="2" width="15" hidden="0" customWidth="1"/>
    <x:col min="3" max="3" width="16" hidden="0" customWidth="1"/>
    <x:col min="4" max="4" width="16" hidden="0" customWidth="1"/>
    <x:col min="5" max="5" width="16" hidden="0" customWidth="1"/>
    <x:col min="6" max="6" width="16" hidden="0" customWidth="1"/>
    <x:col min="7" max="7" width="16" hidden="0" customWidth="1"/>
    <x:col min="8" max="8" width="31" hidden="0" customWidth="1"/>
    <x:col min="9" max="9" width="28" hidden="0" customWidth="1"/>
    <x:col min="10" max="10" width="66" hidden="0" customWidth="1"/>
  </x:cols>
  <x:sheetData>
    <x:row r="1" ht="30" customHeight="1">
      <x:c r="A1" s="264" t="str">
        <x:v>Phase 3 — GMD Five-Year Historical Income Statement &amp; Earnings Bridge</x:v>
      </x:c>
      <x:c r="B1" s="264" t="str">
        <x:v>Phase 3 — GMD Five-Year Historical Income Statement &amp; Earnings Bridge</x:v>
      </x:c>
      <x:c r="C1" s="264" t="str">
        <x:v>Phase 3 — GMD Five-Year Historical Income Statement &amp; Earnings Bridge</x:v>
      </x:c>
      <x:c r="D1" s="264" t="str">
        <x:v>Phase 3 — GMD Five-Year Historical Income Statement &amp; Earnings Bridge</x:v>
      </x:c>
      <x:c r="E1" s="264" t="str">
        <x:v>Phase 3 — GMD Five-Year Historical Income Statement &amp; Earnings Bridge</x:v>
      </x:c>
      <x:c r="F1" s="264" t="str">
        <x:v>Phase 3 — GMD Five-Year Historical Income Statement &amp; Earnings Bridge</x:v>
      </x:c>
      <x:c r="G1" s="264" t="str">
        <x:v>Phase 3 — GMD Five-Year Historical Income Statement &amp; Earnings Bridge</x:v>
      </x:c>
      <x:c r="H1" s="264" t="str">
        <x:v>Phase 3 — GMD Five-Year Historical Income Statement &amp; Earnings Bridge</x:v>
      </x:c>
      <x:c r="I1" s="264" t="str">
        <x:v>Phase 3 — GMD Five-Year Historical Income Statement &amp; Earnings Bridge</x:v>
      </x:c>
      <x:c r="J1" s="264" t="str">
        <x:v>Phase 3 — GMD Five-Year Historical Income Statement &amp; Earnings Bridge</x:v>
      </x:c>
    </x:row>
    <x:row r="2" ht="34" customHeight="1">
      <x:c r="A2" s="268" t="str">
        <x:v>VND bn unless stated. FY2021–FY2025 financial-statement values link to Raw GMD VNStock; core PBT and segment data link to Raw GMD Disclosures.</x:v>
      </x:c>
      <x:c r="B2" s="268" t="str">
        <x:v>VND bn unless stated. FY2021–FY2025 financial-statement values link to Raw GMD VNStock; core PBT and segment data link to Raw GMD Disclosures.</x:v>
      </x:c>
      <x:c r="C2" s="268" t="str">
        <x:v>VND bn unless stated. FY2021–FY2025 financial-statement values link to Raw GMD VNStock; core PBT and segment data link to Raw GMD Disclosures.</x:v>
      </x:c>
      <x:c r="D2" s="268" t="str">
        <x:v>VND bn unless stated. FY2021–FY2025 financial-statement values link to Raw GMD VNStock; core PBT and segment data link to Raw GMD Disclosures.</x:v>
      </x:c>
      <x:c r="E2" s="268" t="str">
        <x:v>VND bn unless stated. FY2021–FY2025 financial-statement values link to Raw GMD VNStock; core PBT and segment data link to Raw GMD Disclosures.</x:v>
      </x:c>
      <x:c r="F2" s="268" t="str">
        <x:v>VND bn unless stated. FY2021–FY2025 financial-statement values link to Raw GMD VNStock; core PBT and segment data link to Raw GMD Disclosures.</x:v>
      </x:c>
      <x:c r="G2" s="268" t="str">
        <x:v>VND bn unless stated. FY2021–FY2025 financial-statement values link to Raw GMD VNStock; core PBT and segment data link to Raw GMD Disclosures.</x:v>
      </x:c>
      <x:c r="H2" s="268" t="str">
        <x:v>VND bn unless stated. FY2021–FY2025 financial-statement values link to Raw GMD VNStock; core PBT and segment data link to Raw GMD Disclosures.</x:v>
      </x:c>
      <x:c r="I2" s="268" t="str">
        <x:v>VND bn unless stated. FY2021–FY2025 financial-statement values link to Raw GMD VNStock; core PBT and segment data link to Raw GMD Disclosures.</x:v>
      </x:c>
      <x:c r="J2" s="268" t="str">
        <x:v>VND bn unless stated. FY2021–FY2025 financial-statement values link to Raw GMD VNStock; core PBT and segment data link to Raw GMD Disclosures.</x:v>
      </x:c>
    </x:row>
    <x:row r="4" ht="21" customHeight="1">
      <x:c r="A4" s="286" t="str">
        <x:v>Consolidated operations before financial, associate and other items</x:v>
      </x:c>
      <x:c r="B4" s="286" t="str">
        <x:v>Consolidated operations before financial, associate and other items</x:v>
      </x:c>
      <x:c r="C4" s="286" t="str">
        <x:v>Consolidated operations before financial, associate and other items</x:v>
      </x:c>
      <x:c r="D4" s="286" t="str">
        <x:v>Consolidated operations before financial, associate and other items</x:v>
      </x:c>
      <x:c r="E4" s="286" t="str">
        <x:v>Consolidated operations before financial, associate and other items</x:v>
      </x:c>
      <x:c r="F4" s="286" t="str">
        <x:v>Consolidated operations before financial, associate and other items</x:v>
      </x:c>
      <x:c r="G4" s="286" t="str">
        <x:v>Consolidated operations before financial, associate and other items</x:v>
      </x:c>
      <x:c r="H4" s="286" t="str">
        <x:v>Consolidated operations before financial, associate and other items</x:v>
      </x:c>
      <x:c r="I4" s="286" t="str">
        <x:v>Consolidated operations before financial, associate and other items</x:v>
      </x:c>
      <x:c r="J4" s="286" t="str">
        <x:v>Consolidated operations before financial, associate and other items</x:v>
      </x:c>
    </x:row>
    <x:row r="5" ht="32" customHeight="1">
      <x:c r="A5" s="278" t="str">
        <x:v>Metric</x:v>
      </x:c>
      <x:c r="B5" s="278" t="str">
        <x:v>Unit</x:v>
      </x:c>
      <x:c r="C5" s="280" t="n">
        <x:v>44561</x:v>
      </x:c>
      <x:c r="D5" s="280" t="n">
        <x:v>44926</x:v>
      </x:c>
      <x:c r="E5" s="280" t="n">
        <x:v>45291</x:v>
      </x:c>
      <x:c r="F5" s="280" t="n">
        <x:v>45657</x:v>
      </x:c>
      <x:c r="G5" s="280" t="n">
        <x:v>46022</x:v>
      </x:c>
      <x:c r="H5" s="278" t="str">
        <x:v>Source ID</x:v>
      </x:c>
      <x:c r="I5" s="278" t="str">
        <x:v>Data class</x:v>
      </x:c>
      <x:c r="J5" s="278" t="str">
        <x:v>Audit note</x:v>
      </x:c>
    </x:row>
    <x:row r="6" ht="31" customHeight="1">
      <x:c r="A6" s="85" t="str">
        <x:v>Net revenue</x:v>
      </x:c>
      <x:c r="B6" s="86" t="str">
        <x:v>VND bn</x:v>
      </x:c>
      <x:c r="C6" s="287" t="n">
        <x:f>'Raw GMD VNStock'!E8/'Raw GMD VNStock'!$B$3</x:f>
        <x:v>3206.290165333</x:v>
      </x:c>
      <x:c r="D6" s="287" t="n">
        <x:f>'Raw GMD VNStock'!F8/'Raw GMD VNStock'!$B$3</x:f>
        <x:v>3898.24360857</x:v>
      </x:c>
      <x:c r="E6" s="287" t="n">
        <x:f>'Raw GMD VNStock'!G8/'Raw GMD VNStock'!$B$3</x:f>
        <x:v>3845.826296568</x:v>
      </x:c>
      <x:c r="F6" s="287" t="n">
        <x:f>'Raw GMD VNStock'!H8/'Raw GMD VNStock'!$B$3</x:f>
        <x:v>4832.024798961</x:v>
      </x:c>
      <x:c r="G6" s="287" t="n">
        <x:f>'Raw GMD VNStock'!I8/'Raw GMD VNStock'!$B$3</x:f>
        <x:v>5956.025297015</x:v>
      </x:c>
      <x:c r="H6" s="86" t="str">
        <x:v>SRC-API01</x:v>
      </x:c>
      <x:c r="I6" s="86" t="str">
        <x:v>Linked API actual</x:v>
      </x:c>
      <x:c r="J6" s="87" t="str">
        <x:v>VNStock net_sales; reconciled to audited annual reports.</x:v>
      </x:c>
    </x:row>
    <x:row r="7" ht="31" customHeight="1">
      <x:c r="A7" s="88" t="str">
        <x:v>Cost of goods sold</x:v>
      </x:c>
      <x:c r="B7" s="89" t="str">
        <x:v>VND bn</x:v>
      </x:c>
      <x:c r="C7" s="288" t="n">
        <x:f>-'Raw GMD VNStock'!E9/'Raw GMD VNStock'!$B$3</x:f>
        <x:v>2064.489230639</x:v>
      </x:c>
      <x:c r="D7" s="288" t="n">
        <x:f>-'Raw GMD VNStock'!F9/'Raw GMD VNStock'!$B$3</x:f>
        <x:v>2180.183031483</x:v>
      </x:c>
      <x:c r="E7" s="288" t="n">
        <x:f>-'Raw GMD VNStock'!G9/'Raw GMD VNStock'!$B$3</x:f>
        <x:v>2067.811109265</x:v>
      </x:c>
      <x:c r="F7" s="288" t="n">
        <x:f>-'Raw GMD VNStock'!H9/'Raw GMD VNStock'!$B$3</x:f>
        <x:v>2696.544401941</x:v>
      </x:c>
      <x:c r="G7" s="288" t="n">
        <x:f>-'Raw GMD VNStock'!I9/'Raw GMD VNStock'!$B$3</x:f>
        <x:v>3216.552758085</x:v>
      </x:c>
      <x:c r="H7" s="89" t="str">
        <x:v>SRC-API01</x:v>
      </x:c>
      <x:c r="I7" s="89" t="str">
        <x:v>Linked API actual</x:v>
      </x:c>
      <x:c r="J7" s="90" t="str">
        <x:v>API expense sign is reversed for presentation.</x:v>
      </x:c>
    </x:row>
    <x:row r="8" ht="31" customHeight="1">
      <x:c r="A8" s="299" t="str">
        <x:v>Gross profit</x:v>
      </x:c>
      <x:c r="B8" s="300" t="str">
        <x:v>VND bn</x:v>
      </x:c>
      <x:c r="C8" s="301" t="n">
        <x:f>C6-C7</x:f>
        <x:v>1141.8009346939998</x:v>
      </x:c>
      <x:c r="D8" s="301" t="n">
        <x:f>D6-D7</x:f>
        <x:v>1718.0605770870002</x:v>
      </x:c>
      <x:c r="E8" s="301" t="n">
        <x:f>E6-E7</x:f>
        <x:v>1778.015187303</x:v>
      </x:c>
      <x:c r="F8" s="301" t="n">
        <x:f>F6-F7</x:f>
        <x:v>2135.4803970199996</x:v>
      </x:c>
      <x:c r="G8" s="301" t="n">
        <x:f>G6-G7</x:f>
        <x:v>2739.4725389300006</x:v>
      </x:c>
      <x:c r="H8" s="300" t="str">
        <x:v>Model formula</x:v>
      </x:c>
      <x:c r="I8" s="300" t="str">
        <x:v>Model output</x:v>
      </x:c>
      <x:c r="J8" s="300" t="str">
        <x:v>Net revenue less COGS.</x:v>
      </x:c>
    </x:row>
    <x:row r="9" ht="31" customHeight="1">
      <x:c r="A9" s="302" t="str">
        <x:v>Gross margin</x:v>
      </x:c>
      <x:c r="B9" s="303" t="str">
        <x:v>%</x:v>
      </x:c>
      <x:c r="C9" s="304" t="n">
        <x:f>C8/C6</x:f>
        <x:v>0.3561127894909082</x:v>
      </x:c>
      <x:c r="D9" s="304" t="n">
        <x:f>D8/D6</x:f>
        <x:v>0.4407268374172335</x:v>
      </x:c>
      <x:c r="E9" s="304" t="n">
        <x:f>E8/E6</x:f>
        <x:v>0.46232332149002503</x:v>
      </x:c>
      <x:c r="F9" s="304" t="n">
        <x:f>F8/F6</x:f>
        <x:v>0.4419431782467629</x:v>
      </x:c>
      <x:c r="G9" s="304" t="n">
        <x:f>G8/G6</x:f>
        <x:v>0.4599497823326826</x:v>
      </x:c>
      <x:c r="H9" s="303" t="str">
        <x:v>Model formula</x:v>
      </x:c>
      <x:c r="I9" s="303" t="str">
        <x:v>Model output</x:v>
      </x:c>
      <x:c r="J9" s="303" t="str">
        <x:v>Gross profit divided by revenue.</x:v>
      </x:c>
    </x:row>
    <x:row r="10" ht="31" customHeight="1">
      <x:c r="A10" s="88" t="str">
        <x:v>Selling expense</x:v>
      </x:c>
      <x:c r="B10" s="89" t="str">
        <x:v>VND bn</x:v>
      </x:c>
      <x:c r="C10" s="288" t="n">
        <x:f>-'Raw GMD VNStock'!E14/'Raw GMD VNStock'!$B$3</x:f>
        <x:v>154.146091638</x:v>
      </x:c>
      <x:c r="D10" s="288" t="n">
        <x:f>-'Raw GMD VNStock'!F14/'Raw GMD VNStock'!$B$3</x:f>
        <x:v>142.172449496</x:v>
      </x:c>
      <x:c r="E10" s="288" t="n">
        <x:f>-'Raw GMD VNStock'!G14/'Raw GMD VNStock'!$B$3</x:f>
        <x:v>109.543154417</x:v>
      </x:c>
      <x:c r="F10" s="288" t="n">
        <x:f>-'Raw GMD VNStock'!H14/'Raw GMD VNStock'!$B$3</x:f>
        <x:v>247.200313981</x:v>
      </x:c>
      <x:c r="G10" s="288" t="n">
        <x:f>-'Raw GMD VNStock'!I14/'Raw GMD VNStock'!$B$3</x:f>
        <x:v>481.965603944</x:v>
      </x:c>
      <x:c r="H10" s="89" t="str">
        <x:v>SRC-API01</x:v>
      </x:c>
      <x:c r="I10" s="89" t="str">
        <x:v>Linked API actual</x:v>
      </x:c>
      <x:c r="J10" s="90" t="str">
        <x:v>API expense sign is reversed for presentation.</x:v>
      </x:c>
    </x:row>
    <x:row r="11" ht="31" customHeight="1">
      <x:c r="A11" s="88" t="str">
        <x:v>G&amp;A expense</x:v>
      </x:c>
      <x:c r="B11" s="89" t="str">
        <x:v>VND bn</x:v>
      </x:c>
      <x:c r="C11" s="288" t="n">
        <x:f>-'Raw GMD VNStock'!E15/'Raw GMD VNStock'!$B$3</x:f>
        <x:v>294.784653891</x:v>
      </x:c>
      <x:c r="D11" s="288" t="n">
        <x:f>-'Raw GMD VNStock'!F15/'Raw GMD VNStock'!$B$3</x:f>
        <x:v>524.441250459</x:v>
      </x:c>
      <x:c r="E11" s="288" t="n">
        <x:f>-'Raw GMD VNStock'!G15/'Raw GMD VNStock'!$B$3</x:f>
        <x:v>551.943343263</x:v>
      </x:c>
      <x:c r="F11" s="288" t="n">
        <x:f>-'Raw GMD VNStock'!H15/'Raw GMD VNStock'!$B$3</x:f>
        <x:v>574.83848571</x:v>
      </x:c>
      <x:c r="G11" s="288" t="n">
        <x:f>-'Raw GMD VNStock'!I15/'Raw GMD VNStock'!$B$3</x:f>
        <x:v>610.544456639</x:v>
      </x:c>
      <x:c r="H11" s="89" t="str">
        <x:v>SRC-API01</x:v>
      </x:c>
      <x:c r="I11" s="89" t="str">
        <x:v>Linked API actual</x:v>
      </x:c>
      <x:c r="J11" s="90" t="str">
        <x:v>API expense sign is reversed for presentation.</x:v>
      </x:c>
    </x:row>
    <x:row r="12" ht="31" customHeight="1">
      <x:c r="A12" s="299" t="str">
        <x:v>Operating profit before financial/associate/other items</x:v>
      </x:c>
      <x:c r="B12" s="300" t="str">
        <x:v>VND bn</x:v>
      </x:c>
      <x:c r="C12" s="301" t="n">
        <x:f>C8-C10-C11</x:f>
        <x:v>692.8701891649998</x:v>
      </x:c>
      <x:c r="D12" s="301" t="n">
        <x:f>D8-D10-D11</x:f>
        <x:v>1051.4468771320003</x:v>
      </x:c>
      <x:c r="E12" s="301" t="n">
        <x:f>E8-E10-E11</x:f>
        <x:v>1116.528689623</x:v>
      </x:c>
      <x:c r="F12" s="301" t="n">
        <x:f>F8-F10-F11</x:f>
        <x:v>1313.4415973289997</x:v>
      </x:c>
      <x:c r="G12" s="301" t="n">
        <x:f>G8-G10-G11</x:f>
        <x:v>1646.9624783470003</x:v>
      </x:c>
      <x:c r="H12" s="300" t="str">
        <x:v>Model formula</x:v>
      </x:c>
      <x:c r="I12" s="300" t="str">
        <x:v>Model output</x:v>
      </x:c>
      <x:c r="J12" s="300" t="str">
        <x:v>Gross profit less selling and G&amp;A expenses.</x:v>
      </x:c>
    </x:row>
    <x:row r="13" ht="31" customHeight="1">
      <x:c r="A13" s="302" t="str">
        <x:v>Operating margin before financial/associate/other items</x:v>
      </x:c>
      <x:c r="B13" s="303" t="str">
        <x:v>%</x:v>
      </x:c>
      <x:c r="C13" s="304" t="n">
        <x:f>C12/C6</x:f>
        <x:v>0.2160971569748864</x:v>
      </x:c>
      <x:c r="D13" s="304" t="n">
        <x:f>D12/D6</x:f>
        <x:v>0.2697232350539797</x:v>
      </x:c>
      <x:c r="E13" s="304" t="n">
        <x:f>E12/E6</x:f>
        <x:v>0.2903221839788723</x:v>
      </x:c>
      <x:c r="F13" s="304" t="n">
        <x:f>F12/F6</x:f>
        <x:v>0.27182012758117896</x:v>
      </x:c>
      <x:c r="G13" s="304" t="n">
        <x:f>G12/G6</x:f>
        <x:v>0.27652039677743034</x:v>
      </x:c>
      <x:c r="H13" s="303" t="str">
        <x:v>Model formula</x:v>
      </x:c>
      <x:c r="I13" s="303" t="str">
        <x:v>Model output</x:v>
      </x:c>
      <x:c r="J13" s="303" t="str">
        <x:v>Operating profit divided by net revenue.</x:v>
      </x:c>
    </x:row>
    <x:row r="15" ht="21" customHeight="1">
      <x:c r="A15" s="286" t="str">
        <x:v>Reported PBT bridge and core normalization</x:v>
      </x:c>
      <x:c r="B15" s="286" t="str">
        <x:v>Reported PBT bridge and core normalization</x:v>
      </x:c>
      <x:c r="C15" s="286" t="str">
        <x:v>Reported PBT bridge and core normalization</x:v>
      </x:c>
      <x:c r="D15" s="286" t="str">
        <x:v>Reported PBT bridge and core normalization</x:v>
      </x:c>
      <x:c r="E15" s="286" t="str">
        <x:v>Reported PBT bridge and core normalization</x:v>
      </x:c>
      <x:c r="F15" s="286" t="str">
        <x:v>Reported PBT bridge and core normalization</x:v>
      </x:c>
      <x:c r="G15" s="286" t="str">
        <x:v>Reported PBT bridge and core normalization</x:v>
      </x:c>
      <x:c r="H15" s="286" t="str">
        <x:v>Reported PBT bridge and core normalization</x:v>
      </x:c>
      <x:c r="I15" s="286" t="str">
        <x:v>Reported PBT bridge and core normalization</x:v>
      </x:c>
      <x:c r="J15" s="286" t="str">
        <x:v>Reported PBT bridge and core normalization</x:v>
      </x:c>
    </x:row>
    <x:row r="16" ht="32" customHeight="1">
      <x:c r="A16" s="278" t="str">
        <x:v>Metric</x:v>
      </x:c>
      <x:c r="B16" s="278" t="str">
        <x:v>Unit</x:v>
      </x:c>
      <x:c r="C16" s="280" t="n">
        <x:v>44561</x:v>
      </x:c>
      <x:c r="D16" s="280" t="n">
        <x:v>44926</x:v>
      </x:c>
      <x:c r="E16" s="280" t="n">
        <x:v>45291</x:v>
      </x:c>
      <x:c r="F16" s="280" t="n">
        <x:v>45657</x:v>
      </x:c>
      <x:c r="G16" s="280" t="n">
        <x:v>46022</x:v>
      </x:c>
      <x:c r="H16" s="278" t="str">
        <x:v>Source ID</x:v>
      </x:c>
      <x:c r="I16" s="278" t="str">
        <x:v>Data class</x:v>
      </x:c>
      <x:c r="J16" s="278" t="str">
        <x:v>Audit note</x:v>
      </x:c>
    </x:row>
    <x:row r="17" ht="31" customHeight="1">
      <x:c r="A17" s="85" t="str">
        <x:v>Financial income</x:v>
      </x:c>
      <x:c r="B17" s="86" t="str">
        <x:v>VND bn</x:v>
      </x:c>
      <x:c r="C17" s="287" t="n">
        <x:f>'Raw GMD VNStock'!E11/'Raw GMD VNStock'!$B$3</x:f>
        <x:v>39.669204911</x:v>
      </x:c>
      <x:c r="D17" s="287" t="n">
        <x:f>'Raw GMD VNStock'!F11/'Raw GMD VNStock'!$B$3</x:f>
        <x:v>23.947233662</x:v>
      </x:c>
      <x:c r="E17" s="287" t="n">
        <x:f>'Raw GMD VNStock'!G11/'Raw GMD VNStock'!$B$3</x:f>
        <x:v>1940.961393455</x:v>
      </x:c>
      <x:c r="F17" s="287" t="n">
        <x:f>'Raw GMD VNStock'!H11/'Raw GMD VNStock'!$B$3</x:f>
        <x:v>426.126464636</x:v>
      </x:c>
      <x:c r="G17" s="287" t="n">
        <x:f>'Raw GMD VNStock'!I11/'Raw GMD VNStock'!$B$3</x:f>
        <x:v>228.485206429</x:v>
      </x:c>
      <x:c r="H17" s="86" t="str">
        <x:v>SRC-API01</x:v>
      </x:c>
      <x:c r="I17" s="86" t="str">
        <x:v>Linked API actual</x:v>
      </x:c>
      <x:c r="J17" s="87" t="str">
        <x:v>Audited financial income.</x:v>
      </x:c>
    </x:row>
    <x:row r="18" ht="31" customHeight="1">
      <x:c r="A18" s="88" t="str">
        <x:v>Financial expense</x:v>
      </x:c>
      <x:c r="B18" s="89" t="str">
        <x:v>VND bn</x:v>
      </x:c>
      <x:c r="C18" s="288" t="n">
        <x:f>-'Raw GMD VNStock'!E12/'Raw GMD VNStock'!$B$3</x:f>
        <x:v>107.985849517</x:v>
      </x:c>
      <x:c r="D18" s="288" t="n">
        <x:f>-'Raw GMD VNStock'!F12/'Raw GMD VNStock'!$B$3</x:f>
        <x:v>165.69083967</x:v>
      </x:c>
      <x:c r="E18" s="288" t="n">
        <x:f>-'Raw GMD VNStock'!G12/'Raw GMD VNStock'!$B$3</x:f>
        <x:v>154.695013336</x:v>
      </x:c>
      <x:c r="F18" s="288" t="n">
        <x:f>-'Raw GMD VNStock'!H12/'Raw GMD VNStock'!$B$3</x:f>
        <x:v>150.292456722</x:v>
      </x:c>
      <x:c r="G18" s="288" t="n">
        <x:f>-'Raw GMD VNStock'!I12/'Raw GMD VNStock'!$B$3</x:f>
        <x:v>118.711817693</x:v>
      </x:c>
      <x:c r="H18" s="89" t="str">
        <x:v>SRC-API01</x:v>
      </x:c>
      <x:c r="I18" s="89" t="str">
        <x:v>Linked API actual</x:v>
      </x:c>
      <x:c r="J18" s="90" t="str">
        <x:v>API expense sign is reversed for bridge subtraction.</x:v>
      </x:c>
    </x:row>
    <x:row r="19" ht="31" customHeight="1">
      <x:c r="A19" s="88" t="str">
        <x:v>Of which: interest expense</x:v>
      </x:c>
      <x:c r="B19" s="89" t="str">
        <x:v>VND bn</x:v>
      </x:c>
      <x:c r="C19" s="288" t="n">
        <x:f>-'Raw GMD VNStock'!E13/'Raw GMD VNStock'!$B$3</x:f>
        <x:v>119.252955378</x:v>
      </x:c>
      <x:c r="D19" s="288" t="n">
        <x:f>-'Raw GMD VNStock'!F13/'Raw GMD VNStock'!$B$3</x:f>
        <x:v>130.756997659</x:v>
      </x:c>
      <x:c r="E19" s="288" t="n">
        <x:f>-'Raw GMD VNStock'!G13/'Raw GMD VNStock'!$B$3</x:f>
        <x:v>134.993138662</x:v>
      </x:c>
      <x:c r="F19" s="288" t="n">
        <x:f>-'Raw GMD VNStock'!H13/'Raw GMD VNStock'!$B$3</x:f>
        <x:v>139.487501839</x:v>
      </x:c>
      <x:c r="G19" s="288" t="n">
        <x:f>-'Raw GMD VNStock'!I13/'Raw GMD VNStock'!$B$3</x:f>
        <x:v>112.580748513</x:v>
      </x:c>
      <x:c r="H19" s="89" t="str">
        <x:v>SRC-API01</x:v>
      </x:c>
      <x:c r="I19" s="89" t="str">
        <x:v>Linked API actual</x:v>
      </x:c>
      <x:c r="J19" s="90" t="str">
        <x:v>Used in the non-standard core EBIT proxy.</x:v>
      </x:c>
    </x:row>
    <x:row r="20" ht="31" customHeight="1">
      <x:c r="A20" s="88" t="str">
        <x:v>Share of profit from associates/JVs</x:v>
      </x:c>
      <x:c r="B20" s="89" t="str">
        <x:v>VND bn</x:v>
      </x:c>
      <x:c r="C20" s="288" t="n">
        <x:f>'Raw GMD VNStock'!E30/'Raw GMD VNStock'!$B$3</x:f>
        <x:v>236.913674177</x:v>
      </x:c>
      <x:c r="D20" s="288" t="n">
        <x:f>'Raw GMD VNStock'!F30/'Raw GMD VNStock'!$B$3</x:f>
        <x:v>399.148325174</x:v>
      </x:c>
      <x:c r="E20" s="288" t="n">
        <x:f>'Raw GMD VNStock'!G30/'Raw GMD VNStock'!$B$3</x:f>
        <x:v>274.234816173</x:v>
      </x:c>
      <x:c r="F20" s="288" t="n">
        <x:f>'Raw GMD VNStock'!H30/'Raw GMD VNStock'!$B$3</x:f>
        <x:v>829.308422992</x:v>
      </x:c>
      <x:c r="G20" s="288" t="n">
        <x:f>'Raw GMD VNStock'!I30/'Raw GMD VNStock'!$B$3</x:f>
        <x:v>1157.659377947</x:v>
      </x:c>
      <x:c r="H20" s="89" t="str">
        <x:v>SRC-API01</x:v>
      </x:c>
      <x:c r="I20" s="89" t="str">
        <x:v>Linked API actual</x:v>
      </x:c>
      <x:c r="J20" s="90" t="str">
        <x:v>Includes Gemalink, SCS, CJ-linked and other associates.</x:v>
      </x:c>
    </x:row>
    <x:row r="21" ht="31" customHeight="1">
      <x:c r="A21" s="88" t="str">
        <x:v>Other profit/(loss)</x:v>
      </x:c>
      <x:c r="B21" s="89" t="str">
        <x:v>VND bn</x:v>
      </x:c>
      <x:c r="C21" s="288" t="n">
        <x:f>'Raw GMD VNStock'!E19/'Raw GMD VNStock'!$B$3</x:f>
        <x:v>-55.25506372</x:v>
      </x:c>
      <x:c r="D21" s="288" t="n">
        <x:f>'Raw GMD VNStock'!F19/'Raw GMD VNStock'!$B$3</x:f>
        <x:v>-0.373646493</x:v>
      </x:c>
      <x:c r="E21" s="288" t="n">
        <x:f>'Raw GMD VNStock'!G19/'Raw GMD VNStock'!$B$3</x:f>
        <x:v>-29.542672972</x:v>
      </x:c>
      <x:c r="F21" s="288" t="n">
        <x:f>'Raw GMD VNStock'!H19/'Raw GMD VNStock'!$B$3</x:f>
        <x:v>-319.993718619</x:v>
      </x:c>
      <x:c r="G21" s="288" t="n">
        <x:f>'Raw GMD VNStock'!I19/'Raw GMD VNStock'!$B$3</x:f>
        <x:v>-393.56809844</x:v>
      </x:c>
      <x:c r="H21" s="89" t="str">
        <x:v>SRC-API01</x:v>
      </x:c>
      <x:c r="I21" s="89" t="str">
        <x:v>Linked API actual</x:v>
      </x:c>
      <x:c r="J21" s="90" t="str">
        <x:v>Net other income and expenses; negative values are losses.</x:v>
      </x:c>
    </x:row>
    <x:row r="22" ht="31" customHeight="1">
      <x:c r="A22" s="299" t="str">
        <x:v>Calculated reported PBT</x:v>
      </x:c>
      <x:c r="B22" s="300" t="str">
        <x:v>VND bn</x:v>
      </x:c>
      <x:c r="C22" s="301" t="n">
        <x:f>C12+C17-C18+C20+C21</x:f>
        <x:v>806.2121550159998</x:v>
      </x:c>
      <x:c r="D22" s="301" t="n">
        <x:f>D12+D17-D18+D20+D21</x:f>
        <x:v>1308.477949805</x:v>
      </x:c>
      <x:c r="E22" s="301" t="n">
        <x:f>E12+E17-E18+E20+E21</x:f>
        <x:v>3147.4872129429996</x:v>
      </x:c>
      <x:c r="F22" s="301" t="n">
        <x:f>F12+F17-F18+F20+F21</x:f>
        <x:v>2098.590309616</x:v>
      </x:c>
      <x:c r="G22" s="301" t="n">
        <x:f>G12+G17-G18+G20+G21</x:f>
        <x:v>2520.82714659</x:v>
      </x:c>
      <x:c r="H22" s="300" t="str">
        <x:v>Model formula</x:v>
      </x:c>
      <x:c r="I22" s="300" t="str">
        <x:v>Model output</x:v>
      </x:c>
      <x:c r="J22" s="300" t="str">
        <x:v>Operating profit + financial income - financial expense + associates + other profit/loss.</x:v>
      </x:c>
    </x:row>
    <x:row r="23" ht="31" customHeight="1">
      <x:c r="A23" s="294" t="str">
        <x:v>Disclosed reported PBT</x:v>
      </x:c>
      <x:c r="B23" s="295" t="str">
        <x:v>VND bn</x:v>
      </x:c>
      <x:c r="C23" s="296" t="n">
        <x:f>'Raw GMD VNStock'!E21/'Raw GMD VNStock'!$B$3</x:f>
        <x:v>806.212155016</x:v>
      </x:c>
      <x:c r="D23" s="296" t="n">
        <x:f>'Raw GMD VNStock'!F21/'Raw GMD VNStock'!$B$3</x:f>
        <x:v>1308.477949805</x:v>
      </x:c>
      <x:c r="E23" s="296" t="n">
        <x:f>'Raw GMD VNStock'!G21/'Raw GMD VNStock'!$B$3</x:f>
        <x:v>3147.487212943</x:v>
      </x:c>
      <x:c r="F23" s="296" t="n">
        <x:f>'Raw GMD VNStock'!H21/'Raw GMD VNStock'!$B$3</x:f>
        <x:v>2098.590309616</x:v>
      </x:c>
      <x:c r="G23" s="296" t="n">
        <x:f>'Raw GMD VNStock'!I21/'Raw GMD VNStock'!$B$3</x:f>
        <x:v>2520.82714659</x:v>
      </x:c>
      <x:c r="H23" s="295" t="str">
        <x:v>SRC-API01</x:v>
      </x:c>
      <x:c r="I23" s="295" t="str">
        <x:v>Linked API actual</x:v>
      </x:c>
      <x:c r="J23" s="295" t="str">
        <x:v>Audited net accounting PBT.</x:v>
      </x:c>
    </x:row>
    <x:row r="24" ht="31" customHeight="1">
      <x:c r="A24" s="294" t="str">
        <x:v>PBT bridge check</x:v>
      </x:c>
      <x:c r="B24" s="295" t="str">
        <x:v>VND bn</x:v>
      </x:c>
      <x:c r="C24" s="296" t="n">
        <x:f>C22-C23</x:f>
        <x:v>-2.2737367544323206e-13</x:v>
      </x:c>
      <x:c r="D24" s="296" t="n">
        <x:f>D22-D23</x:f>
        <x:v>0</x:v>
      </x:c>
      <x:c r="E24" s="296" t="n">
        <x:f>E22-E23</x:f>
        <x:v>-4.547473508864641e-13</x:v>
      </x:c>
      <x:c r="F24" s="296" t="n">
        <x:f>F22-F23</x:f>
        <x:v>0</x:v>
      </x:c>
      <x:c r="G24" s="296" t="n">
        <x:f>G22-G23</x:f>
        <x:v>0</x:v>
      </x:c>
      <x:c r="H24" s="295" t="str">
        <x:v>Model formula</x:v>
      </x:c>
      <x:c r="I24" s="295" t="str">
        <x:v>Check</x:v>
      </x:c>
      <x:c r="J24" s="295" t="str">
        <x:v>Calculated PBT less disclosed PBT.</x:v>
      </x:c>
    </x:row>
    <x:row r="25" ht="31" customHeight="1">
      <x:c r="A25" s="294" t="str">
        <x:v>Issuer core PBT</x:v>
      </x:c>
      <x:c r="B25" s="295" t="str">
        <x:v>VND bn</x:v>
      </x:c>
      <x:c r="C25" s="296" t="n">
        <x:f>'Raw GMD Disclosures'!D5</x:f>
        <x:v>806.212</x:v>
      </x:c>
      <x:c r="D25" s="296" t="n">
        <x:f>'Raw GMD Disclosures'!E5</x:f>
        <x:v>1308.478</x:v>
      </x:c>
      <x:c r="E25" s="296" t="n">
        <x:f>'Raw GMD Disclosures'!F5</x:f>
        <x:v>1307</x:v>
      </x:c>
      <x:c r="F25" s="296" t="n">
        <x:f>'Raw GMD Disclosures'!G5</x:f>
        <x:v>1781</x:v>
      </x:c>
      <x:c r="G25" s="296" t="n">
        <x:f>'Raw GMD Disclosures'!H5</x:f>
        <x:v>2520.827</x:v>
      </x:c>
      <x:c r="H25" s="295" t="str">
        <x:v>SRC-G01 / SRC-G10</x:v>
      </x:c>
      <x:c r="I25" s="295" t="str">
        <x:v>Linked issuer normalized actual</x:v>
      </x:c>
      <x:c r="J25" s="295" t="str">
        <x:v>2023–2024 exclude capital-transfer gains; other years equal reported PBT.</x:v>
      </x:c>
    </x:row>
    <x:row r="26" ht="31" customHeight="1">
      <x:c r="A26" s="294" t="str">
        <x:v>Non-core / capital-transfer adjustment</x:v>
      </x:c>
      <x:c r="B26" s="295" t="str">
        <x:v>VND bn</x:v>
      </x:c>
      <x:c r="C26" s="296" t="n">
        <x:f>C23-C25</x:f>
        <x:v>0.0001550160000078904</x:v>
      </x:c>
      <x:c r="D26" s="296" t="n">
        <x:f>D23-D25</x:f>
        <x:v>-0.00005019500008529576</x:v>
      </x:c>
      <x:c r="E26" s="296" t="n">
        <x:f>E23-E25</x:f>
        <x:v>1840.487212943</x:v>
      </x:c>
      <x:c r="F26" s="296" t="n">
        <x:f>F23-F25</x:f>
        <x:v>317.590309616</x:v>
      </x:c>
      <x:c r="G26" s="296" t="n">
        <x:f>G23-G25</x:f>
        <x:v>0.00014658999998573563</x:v>
      </x:c>
      <x:c r="H26" s="295" t="str">
        <x:v>Model formula</x:v>
      </x:c>
      <x:c r="I26" s="295" t="str">
        <x:v>Model output</x:v>
      </x:c>
      <x:c r="J26" s="295" t="str">
        <x:v>Reported PBT less issuer core PBT.</x:v>
      </x:c>
    </x:row>
    <x:row r="27" ht="31" customHeight="1">
      <x:c r="A27" s="302" t="str">
        <x:v>Core PBT margin</x:v>
      </x:c>
      <x:c r="B27" s="303" t="str">
        <x:v>%</x:v>
      </x:c>
      <x:c r="C27" s="304" t="n">
        <x:f>C25/C6</x:f>
        <x:v>0.25144698652570896</x:v>
      </x:c>
      <x:c r="D27" s="304" t="n">
        <x:f>D25/D6</x:f>
        <x:v>0.3356583454978052</x:v>
      </x:c>
      <x:c r="E27" s="304" t="n">
        <x:f>E25/E6</x:f>
        <x:v>0.3398489425188968</x:v>
      </x:c>
      <x:c r="F27" s="304" t="n">
        <x:f>F25/F6</x:f>
        <x:v>0.36858254543373975</x:v>
      </x:c>
      <x:c r="G27" s="304" t="n">
        <x:f>G25/G6</x:f>
        <x:v>0.42323980747082635</x:v>
      </x:c>
      <x:c r="H27" s="303" t="str">
        <x:v>Model formula</x:v>
      </x:c>
      <x:c r="I27" s="303" t="str">
        <x:v>Model output</x:v>
      </x:c>
      <x:c r="J27" s="303" t="str">
        <x:v>Issuer core PBT divided by consolidated net revenue.</x:v>
      </x:c>
    </x:row>
    <x:row r="29" ht="21" customHeight="1">
      <x:c r="A29" s="286" t="str">
        <x:v>Core EBITDA proxy — explicit and non-standard</x:v>
      </x:c>
      <x:c r="B29" s="286" t="str">
        <x:v>Core EBITDA proxy — explicit and non-standard</x:v>
      </x:c>
      <x:c r="C29" s="286" t="str">
        <x:v>Core EBITDA proxy — explicit and non-standard</x:v>
      </x:c>
      <x:c r="D29" s="286" t="str">
        <x:v>Core EBITDA proxy — explicit and non-standard</x:v>
      </x:c>
      <x:c r="E29" s="286" t="str">
        <x:v>Core EBITDA proxy — explicit and non-standard</x:v>
      </x:c>
      <x:c r="F29" s="286" t="str">
        <x:v>Core EBITDA proxy — explicit and non-standard</x:v>
      </x:c>
      <x:c r="G29" s="286" t="str">
        <x:v>Core EBITDA proxy — explicit and non-standard</x:v>
      </x:c>
      <x:c r="H29" s="286" t="str">
        <x:v>Core EBITDA proxy — explicit and non-standard</x:v>
      </x:c>
      <x:c r="I29" s="286" t="str">
        <x:v>Core EBITDA proxy — explicit and non-standard</x:v>
      </x:c>
      <x:c r="J29" s="286" t="str">
        <x:v>Core EBITDA proxy — explicit and non-standard</x:v>
      </x:c>
    </x:row>
    <x:row r="30" ht="32" customHeight="1">
      <x:c r="A30" s="278" t="str">
        <x:v>Metric</x:v>
      </x:c>
      <x:c r="B30" s="278" t="str">
        <x:v>Unit</x:v>
      </x:c>
      <x:c r="C30" s="280" t="n">
        <x:v>44561</x:v>
      </x:c>
      <x:c r="D30" s="280" t="n">
        <x:v>44926</x:v>
      </x:c>
      <x:c r="E30" s="280" t="n">
        <x:v>45291</x:v>
      </x:c>
      <x:c r="F30" s="280" t="n">
        <x:v>45657</x:v>
      </x:c>
      <x:c r="G30" s="280" t="n">
        <x:v>46022</x:v>
      </x:c>
      <x:c r="H30" s="278" t="str">
        <x:v>Source ID</x:v>
      </x:c>
      <x:c r="I30" s="278" t="str">
        <x:v>Data class</x:v>
      </x:c>
      <x:c r="J30" s="278" t="str">
        <x:v>Audit note</x:v>
      </x:c>
    </x:row>
    <x:row r="31" ht="31" customHeight="1">
      <x:c r="A31" s="85" t="str">
        <x:v>D&amp;A from cash flow statement</x:v>
      </x:c>
      <x:c r="B31" s="86" t="str">
        <x:v>VND bn</x:v>
      </x:c>
      <x:c r="C31" s="287" t="n">
        <x:f>'Raw GMD VNStock'!E154/'Raw GMD VNStock'!$B$3</x:f>
        <x:v>379.546125928</x:v>
      </x:c>
      <x:c r="D31" s="287" t="n">
        <x:f>'Raw GMD VNStock'!F154/'Raw GMD VNStock'!$B$3</x:f>
        <x:v>393.185025852</x:v>
      </x:c>
      <x:c r="E31" s="287" t="n">
        <x:f>'Raw GMD VNStock'!G154/'Raw GMD VNStock'!$B$3</x:f>
        <x:v>396.417877879</x:v>
      </x:c>
      <x:c r="F31" s="287" t="n">
        <x:f>'Raw GMD VNStock'!H154/'Raw GMD VNStock'!$B$3</x:f>
        <x:v>405.544194113</x:v>
      </x:c>
      <x:c r="G31" s="287" t="n">
        <x:f>'Raw GMD VNStock'!I154/'Raw GMD VNStock'!$B$3</x:f>
        <x:v>415.219036556</x:v>
      </x:c>
      <x:c r="H31" s="86" t="str">
        <x:v>SRC-API01</x:v>
      </x:c>
      <x:c r="I31" s="86" t="str">
        <x:v>Linked API actual</x:v>
      </x:c>
      <x:c r="J31" s="87" t="str">
        <x:v>Depreciation and amortization from the cash-flow statement.</x:v>
      </x:c>
    </x:row>
    <x:row r="32" ht="31" customHeight="1">
      <x:c r="A32" s="299" t="str">
        <x:v>Core EBIT proxy</x:v>
      </x:c>
      <x:c r="B32" s="300" t="str">
        <x:v>VND bn</x:v>
      </x:c>
      <x:c r="C32" s="301" t="n">
        <x:f>C25+C19</x:f>
        <x:v>925.464955378</x:v>
      </x:c>
      <x:c r="D32" s="301" t="n">
        <x:f>D25+D19</x:f>
        <x:v>1439.234997659</x:v>
      </x:c>
      <x:c r="E32" s="301" t="n">
        <x:f>E25+E19</x:f>
        <x:v>1441.993138662</x:v>
      </x:c>
      <x:c r="F32" s="301" t="n">
        <x:f>F25+F19</x:f>
        <x:v>1920.487501839</x:v>
      </x:c>
      <x:c r="G32" s="301" t="n">
        <x:f>G25+G19</x:f>
        <x:v>2633.407748513</x:v>
      </x:c>
      <x:c r="H32" s="300" t="str">
        <x:v>Model formula</x:v>
      </x:c>
      <x:c r="I32" s="300" t="str">
        <x:v>Model output</x:v>
      </x:c>
      <x:c r="J32" s="300" t="str">
        <x:v>Issuer core PBT plus interest expense.</x:v>
      </x:c>
    </x:row>
    <x:row r="33" ht="31" customHeight="1">
      <x:c r="A33" s="294" t="str">
        <x:v>Core EBITDA proxy</x:v>
      </x:c>
      <x:c r="B33" s="295" t="str">
        <x:v>VND bn</x:v>
      </x:c>
      <x:c r="C33" s="296" t="n">
        <x:f>C32+C31</x:f>
        <x:v>1305.011081306</x:v>
      </x:c>
      <x:c r="D33" s="296" t="n">
        <x:f>D32+D31</x:f>
        <x:v>1832.4200235110002</x:v>
      </x:c>
      <x:c r="E33" s="296" t="n">
        <x:f>E32+E31</x:f>
        <x:v>1838.4110165410002</x:v>
      </x:c>
      <x:c r="F33" s="296" t="n">
        <x:f>F32+F31</x:f>
        <x:v>2326.031695952</x:v>
      </x:c>
      <x:c r="G33" s="296" t="n">
        <x:f>G32+G31</x:f>
        <x:v>3048.626785069</x:v>
      </x:c>
      <x:c r="H33" s="295" t="str">
        <x:v>Model formula</x:v>
      </x:c>
      <x:c r="I33" s="295" t="str">
        <x:v>Model output</x:v>
      </x:c>
      <x:c r="J33" s="295" t="str">
        <x:v>Core EBIT proxy plus cash-flow D&amp;A; associate earnings remain embedded.</x:v>
      </x:c>
    </x:row>
    <x:row r="34" ht="31" customHeight="1">
      <x:c r="A34" s="302" t="str">
        <x:v>Core EBITDA proxy margin</x:v>
      </x:c>
      <x:c r="B34" s="303" t="str">
        <x:v>%</x:v>
      </x:c>
      <x:c r="C34" s="304" t="n">
        <x:f>C33/C6</x:f>
        <x:v>0.4070159012481217</x:v>
      </x:c>
      <x:c r="D34" s="304" t="n">
        <x:f>D33/D6</x:f>
        <x:v>0.47006298413022735</x:v>
      </x:c>
      <x:c r="E34" s="304" t="n">
        <x:f>E33/E6</x:f>
        <x:v>0.4780275745115142</x:v>
      </x:c>
      <x:c r="F34" s="304" t="n">
        <x:f>F33/F6</x:f>
        <x:v>0.48137826123163774</x:v>
      </x:c>
      <x:c r="G34" s="304" t="n">
        <x:f>G33/G6</x:f>
        <x:v>0.5118559161588668</x:v>
      </x:c>
      <x:c r="H34" s="303" t="str">
        <x:v>Model formula</x:v>
      </x:c>
      <x:c r="I34" s="303" t="str">
        <x:v>Model output</x:v>
      </x:c>
      <x:c r="J34" s="303" t="str">
        <x:v>Not a company-reported EBITDA margin.</x:v>
      </x:c>
    </x:row>
    <x:row r="36" ht="21" customHeight="1">
      <x:c r="A36" s="286" t="str">
        <x:v>Tax, PAT and attribution</x:v>
      </x:c>
      <x:c r="B36" s="286" t="str">
        <x:v>Tax, PAT and attribution</x:v>
      </x:c>
      <x:c r="C36" s="286" t="str">
        <x:v>Tax, PAT and attribution</x:v>
      </x:c>
      <x:c r="D36" s="286" t="str">
        <x:v>Tax, PAT and attribution</x:v>
      </x:c>
      <x:c r="E36" s="286" t="str">
        <x:v>Tax, PAT and attribution</x:v>
      </x:c>
      <x:c r="F36" s="286" t="str">
        <x:v>Tax, PAT and attribution</x:v>
      </x:c>
      <x:c r="G36" s="286" t="str">
        <x:v>Tax, PAT and attribution</x:v>
      </x:c>
      <x:c r="H36" s="286" t="str">
        <x:v>Tax, PAT and attribution</x:v>
      </x:c>
      <x:c r="I36" s="286" t="str">
        <x:v>Tax, PAT and attribution</x:v>
      </x:c>
      <x:c r="J36" s="286" t="str">
        <x:v>Tax, PAT and attribution</x:v>
      </x:c>
    </x:row>
    <x:row r="37" ht="32" customHeight="1">
      <x:c r="A37" s="278" t="str">
        <x:v>Metric</x:v>
      </x:c>
      <x:c r="B37" s="278" t="str">
        <x:v>Unit</x:v>
      </x:c>
      <x:c r="C37" s="280" t="n">
        <x:v>44561</x:v>
      </x:c>
      <x:c r="D37" s="280" t="n">
        <x:v>44926</x:v>
      </x:c>
      <x:c r="E37" s="280" t="n">
        <x:v>45291</x:v>
      </x:c>
      <x:c r="F37" s="280" t="n">
        <x:v>45657</x:v>
      </x:c>
      <x:c r="G37" s="280" t="n">
        <x:v>46022</x:v>
      </x:c>
      <x:c r="H37" s="278" t="str">
        <x:v>Source ID</x:v>
      </x:c>
      <x:c r="I37" s="278" t="str">
        <x:v>Data class</x:v>
      </x:c>
      <x:c r="J37" s="278" t="str">
        <x:v>Audit note</x:v>
      </x:c>
    </x:row>
    <x:row r="38" ht="31" customHeight="1">
      <x:c r="A38" s="85" t="str">
        <x:v>Current income tax expense</x:v>
      </x:c>
      <x:c r="B38" s="86" t="str">
        <x:v>VND bn</x:v>
      </x:c>
      <x:c r="C38" s="287" t="n">
        <x:f>-'Raw GMD VNStock'!E22/'Raw GMD VNStock'!$B$3</x:f>
        <x:v>107.478849502</x:v>
      </x:c>
      <x:c r="D38" s="287" t="n">
        <x:f>-'Raw GMD VNStock'!F22/'Raw GMD VNStock'!$B$3</x:f>
        <x:v>165.958294398</x:v>
      </x:c>
      <x:c r="E38" s="287" t="n">
        <x:f>-'Raw GMD VNStock'!G22/'Raw GMD VNStock'!$B$3</x:f>
        <x:v>651.638842548</x:v>
      </x:c>
      <x:c r="F38" s="287" t="n">
        <x:f>-'Raw GMD VNStock'!H22/'Raw GMD VNStock'!$B$3</x:f>
        <x:v>236.733263089</x:v>
      </x:c>
      <x:c r="G38" s="287" t="n">
        <x:f>-'Raw GMD VNStock'!I22/'Raw GMD VNStock'!$B$3</x:f>
        <x:v>329.165841663</x:v>
      </x:c>
      <x:c r="H38" s="86" t="str">
        <x:v>SRC-API01</x:v>
      </x:c>
      <x:c r="I38" s="86" t="str">
        <x:v>Linked API actual</x:v>
      </x:c>
      <x:c r="J38" s="87" t="str">
        <x:v>API expense sign is reversed for presentation.</x:v>
      </x:c>
    </x:row>
    <x:row r="39" ht="31" customHeight="1">
      <x:c r="A39" s="88" t="str">
        <x:v>Deferred income tax benefit/(expense)</x:v>
      </x:c>
      <x:c r="B39" s="89" t="str">
        <x:v>VND bn</x:v>
      </x:c>
      <x:c r="C39" s="288" t="n">
        <x:f>'Raw GMD VNStock'!E23/'Raw GMD VNStock'!$B$3</x:f>
        <x:v>21.828510661</x:v>
      </x:c>
      <x:c r="D39" s="288" t="n">
        <x:f>'Raw GMD VNStock'!F23/'Raw GMD VNStock'!$B$3</x:f>
        <x:v>18.774141617</x:v>
      </x:c>
      <x:c r="E39" s="288" t="n">
        <x:f>'Raw GMD VNStock'!G23/'Raw GMD VNStock'!$B$3</x:f>
        <x:v>38.085876028</x:v>
      </x:c>
      <x:c r="F39" s="288" t="n">
        <x:f>'Raw GMD VNStock'!H23/'Raw GMD VNStock'!$B$3</x:f>
        <x:v>61.726436884</x:v>
      </x:c>
      <x:c r="G39" s="288" t="n">
        <x:f>'Raw GMD VNStock'!I23/'Raw GMD VNStock'!$B$3</x:f>
        <x:v>110.861876425</x:v>
      </x:c>
      <x:c r="H39" s="89" t="str">
        <x:v>SRC-API01</x:v>
      </x:c>
      <x:c r="I39" s="89" t="str">
        <x:v>Linked API actual</x:v>
      </x:c>
      <x:c r="J39" s="90" t="str">
        <x:v>Signed API value; positive is a tax benefit.</x:v>
      </x:c>
    </x:row>
    <x:row r="40" ht="31" customHeight="1">
      <x:c r="A40" s="299" t="str">
        <x:v>Calculated PAT</x:v>
      </x:c>
      <x:c r="B40" s="300" t="str">
        <x:v>VND bn</x:v>
      </x:c>
      <x:c r="C40" s="301" t="n">
        <x:f>C23-C38+C39</x:f>
        <x:v>720.561816175</x:v>
      </x:c>
      <x:c r="D40" s="301" t="n">
        <x:f>D23-D38+D39</x:f>
        <x:v>1161.293797024</x:v>
      </x:c>
      <x:c r="E40" s="301" t="n">
        <x:f>E23-E38+E39</x:f>
        <x:v>2533.934246423</x:v>
      </x:c>
      <x:c r="F40" s="301" t="n">
        <x:f>F23-F38+F39</x:f>
        <x:v>1923.5834834109999</x:v>
      </x:c>
      <x:c r="G40" s="301" t="n">
        <x:f>G23-G38+G39</x:f>
        <x:v>2302.5231813520004</x:v>
      </x:c>
      <x:c r="H40" s="300" t="str">
        <x:v>Model formula</x:v>
      </x:c>
      <x:c r="I40" s="300" t="str">
        <x:v>Model output</x:v>
      </x:c>
      <x:c r="J40" s="300" t="str">
        <x:v>Reported PBT less current tax plus deferred tax benefit.</x:v>
      </x:c>
    </x:row>
    <x:row r="41" ht="31" customHeight="1">
      <x:c r="A41" s="294" t="str">
        <x:v>Disclosed PAT</x:v>
      </x:c>
      <x:c r="B41" s="295" t="str">
        <x:v>VND bn</x:v>
      </x:c>
      <x:c r="C41" s="296" t="n">
        <x:f>'Raw GMD VNStock'!E25/'Raw GMD VNStock'!$B$3</x:f>
        <x:v>720.561816175</x:v>
      </x:c>
      <x:c r="D41" s="296" t="n">
        <x:f>'Raw GMD VNStock'!F25/'Raw GMD VNStock'!$B$3</x:f>
        <x:v>1161.293797024</x:v>
      </x:c>
      <x:c r="E41" s="296" t="n">
        <x:f>'Raw GMD VNStock'!G25/'Raw GMD VNStock'!$B$3</x:f>
        <x:v>2533.934246423</x:v>
      </x:c>
      <x:c r="F41" s="296" t="n">
        <x:f>'Raw GMD VNStock'!H25/'Raw GMD VNStock'!$B$3</x:f>
        <x:v>1923.583483411</x:v>
      </x:c>
      <x:c r="G41" s="296" t="n">
        <x:f>'Raw GMD VNStock'!I25/'Raw GMD VNStock'!$B$3</x:f>
        <x:v>2302.523181352</x:v>
      </x:c>
      <x:c r="H41" s="295" t="str">
        <x:v>SRC-API01</x:v>
      </x:c>
      <x:c r="I41" s="295" t="str">
        <x:v>Linked API actual</x:v>
      </x:c>
      <x:c r="J41" s="295" t="str">
        <x:v>Audited consolidated PAT.</x:v>
      </x:c>
    </x:row>
    <x:row r="42" ht="31" customHeight="1">
      <x:c r="A42" s="294" t="str">
        <x:v>PAT bridge check</x:v>
      </x:c>
      <x:c r="B42" s="295" t="str">
        <x:v>VND bn</x:v>
      </x:c>
      <x:c r="C42" s="296" t="n">
        <x:f>C40-C41</x:f>
        <x:v>0</x:v>
      </x:c>
      <x:c r="D42" s="296" t="n">
        <x:f>D40-D41</x:f>
        <x:v>0</x:v>
      </x:c>
      <x:c r="E42" s="296" t="n">
        <x:f>E40-E41</x:f>
        <x:v>0</x:v>
      </x:c>
      <x:c r="F42" s="296" t="n">
        <x:f>F40-F41</x:f>
        <x:v>-2.2737367544323206e-13</x:v>
      </x:c>
      <x:c r="G42" s="296" t="n">
        <x:f>G40-G41</x:f>
        <x:v>4.547473508864641e-13</x:v>
      </x:c>
      <x:c r="H42" s="295" t="str">
        <x:v>Model formula</x:v>
      </x:c>
      <x:c r="I42" s="295" t="str">
        <x:v>Check</x:v>
      </x:c>
      <x:c r="J42" s="295" t="str">
        <x:v>Calculated PAT less disclosed PAT.</x:v>
      </x:c>
    </x:row>
    <x:row r="43" ht="31" customHeight="1">
      <x:c r="A43" s="294" t="str">
        <x:v>Parent PAT</x:v>
      </x:c>
      <x:c r="B43" s="295" t="str">
        <x:v>VND bn</x:v>
      </x:c>
      <x:c r="C43" s="296" t="n">
        <x:f>'Raw GMD VNStock'!E27/'Raw GMD VNStock'!$B$3</x:f>
        <x:v>612.182073397</x:v>
      </x:c>
      <x:c r="D43" s="296" t="n">
        <x:f>'Raw GMD VNStock'!F27/'Raw GMD VNStock'!$B$3</x:f>
        <x:v>993.915564733</x:v>
      </x:c>
      <x:c r="E43" s="296" t="n">
        <x:f>'Raw GMD VNStock'!G27/'Raw GMD VNStock'!$B$3</x:f>
        <x:v>2250.57733992</x:v>
      </x:c>
      <x:c r="F43" s="296" t="n">
        <x:f>'Raw GMD VNStock'!H27/'Raw GMD VNStock'!$B$3</x:f>
        <x:v>1455.479595602</x:v>
      </x:c>
      <x:c r="G43" s="296" t="n">
        <x:f>'Raw GMD VNStock'!I27/'Raw GMD VNStock'!$B$3</x:f>
        <x:v>1755.629825296</x:v>
      </x:c>
      <x:c r="H43" s="295" t="str">
        <x:v>SRC-API01</x:v>
      </x:c>
      <x:c r="I43" s="295" t="str">
        <x:v>Linked API actual</x:v>
      </x:c>
      <x:c r="J43" s="295" t="str">
        <x:v>PAT attributable to owners of the parent.</x:v>
      </x:c>
    </x:row>
    <x:row r="44" ht="31" customHeight="1">
      <x:c r="A44" s="294" t="str">
        <x:v>NCI PAT</x:v>
      </x:c>
      <x:c r="B44" s="295" t="str">
        <x:v>VND bn</x:v>
      </x:c>
      <x:c r="C44" s="296" t="n">
        <x:f>'Raw GMD VNStock'!E26/'Raw GMD VNStock'!$B$3</x:f>
        <x:v>108.379742778</x:v>
      </x:c>
      <x:c r="D44" s="296" t="n">
        <x:f>'Raw GMD VNStock'!F26/'Raw GMD VNStock'!$B$3</x:f>
        <x:v>167.378232291</x:v>
      </x:c>
      <x:c r="E44" s="296" t="n">
        <x:f>'Raw GMD VNStock'!G26/'Raw GMD VNStock'!$B$3</x:f>
        <x:v>283.356906503</x:v>
      </x:c>
      <x:c r="F44" s="296" t="n">
        <x:f>'Raw GMD VNStock'!H26/'Raw GMD VNStock'!$B$3</x:f>
        <x:v>468.103887809</x:v>
      </x:c>
      <x:c r="G44" s="296" t="n">
        <x:f>'Raw GMD VNStock'!I26/'Raw GMD VNStock'!$B$3</x:f>
        <x:v>546.893356056</x:v>
      </x:c>
      <x:c r="H44" s="295" t="str">
        <x:v>SRC-API01</x:v>
      </x:c>
      <x:c r="I44" s="295" t="str">
        <x:v>Linked API actual</x:v>
      </x:c>
      <x:c r="J44" s="295" t="str">
        <x:v>Profit attributable to non-controlling interests.</x:v>
      </x:c>
    </x:row>
    <x:row r="45" ht="31" customHeight="1">
      <x:c r="A45" s="302" t="str">
        <x:v>PAT attribution check</x:v>
      </x:c>
      <x:c r="B45" s="303" t="str">
        <x:v>VND bn</x:v>
      </x:c>
      <x:c r="C45" s="316" t="n">
        <x:f>C43+C44-C41</x:f>
        <x:v>0</x:v>
      </x:c>
      <x:c r="D45" s="316" t="n">
        <x:f>D43+D44-D41</x:f>
        <x:v>0</x:v>
      </x:c>
      <x:c r="E45" s="316" t="n">
        <x:f>E43+E44-E41</x:f>
        <x:v>4.547473508864641e-13</x:v>
      </x:c>
      <x:c r="F45" s="316" t="n">
        <x:f>F43+F44-F41</x:f>
        <x:v>0</x:v>
      </x:c>
      <x:c r="G45" s="316" t="n">
        <x:f>G43+G44-G41</x:f>
        <x:v>0</x:v>
      </x:c>
      <x:c r="H45" s="303" t="str">
        <x:v>Model formula</x:v>
      </x:c>
      <x:c r="I45" s="303" t="str">
        <x:v>Check</x:v>
      </x:c>
      <x:c r="J45" s="303" t="str">
        <x:v>Parent PAT + NCI PAT - consolidated PAT.</x:v>
      </x:c>
    </x:row>
    <x:row r="47" ht="21" customHeight="1">
      <x:c r="A47" s="286" t="str">
        <x:v>External revenue by business segment</x:v>
      </x:c>
      <x:c r="B47" s="286" t="str">
        <x:v>External revenue by business segment</x:v>
      </x:c>
      <x:c r="C47" s="286" t="str">
        <x:v>External revenue by business segment</x:v>
      </x:c>
      <x:c r="D47" s="286" t="str">
        <x:v>External revenue by business segment</x:v>
      </x:c>
      <x:c r="E47" s="286" t="str">
        <x:v>External revenue by business segment</x:v>
      </x:c>
      <x:c r="F47" s="286" t="str">
        <x:v>External revenue by business segment</x:v>
      </x:c>
      <x:c r="G47" s="286" t="str">
        <x:v>External revenue by business segment</x:v>
      </x:c>
      <x:c r="H47" s="286" t="str">
        <x:v>External revenue by business segment</x:v>
      </x:c>
      <x:c r="I47" s="286" t="str">
        <x:v>External revenue by business segment</x:v>
      </x:c>
      <x:c r="J47" s="286" t="str">
        <x:v>External revenue by business segment</x:v>
      </x:c>
    </x:row>
    <x:row r="48" ht="32" customHeight="1">
      <x:c r="A48" s="278" t="str">
        <x:v>Metric</x:v>
      </x:c>
      <x:c r="B48" s="278" t="str">
        <x:v>Unit</x:v>
      </x:c>
      <x:c r="C48" s="280" t="n">
        <x:v>44561</x:v>
      </x:c>
      <x:c r="D48" s="280" t="n">
        <x:v>44926</x:v>
      </x:c>
      <x:c r="E48" s="280" t="n">
        <x:v>45291</x:v>
      </x:c>
      <x:c r="F48" s="280" t="n">
        <x:v>45657</x:v>
      </x:c>
      <x:c r="G48" s="280" t="n">
        <x:v>46022</x:v>
      </x:c>
      <x:c r="H48" s="278" t="str">
        <x:v>Source ID</x:v>
      </x:c>
      <x:c r="I48" s="278" t="str">
        <x:v>Data class</x:v>
      </x:c>
      <x:c r="J48" s="278" t="str">
        <x:v>Audit note</x:v>
      </x:c>
    </x:row>
    <x:row r="49" ht="31" customHeight="1">
      <x:c r="A49" s="85" t="str">
        <x:v>Port external revenue</x:v>
      </x:c>
      <x:c r="B49" s="86" t="str">
        <x:v>VND bn</x:v>
      </x:c>
      <x:c r="C49" s="287" t="n">
        <x:f>'Raw GMD Disclosures'!D7</x:f>
        <x:v>2762.788218</x:v>
      </x:c>
      <x:c r="D49" s="287" t="n">
        <x:f>'Raw GMD Disclosures'!E7</x:f>
        <x:v>3086.178236</x:v>
      </x:c>
      <x:c r="E49" s="287" t="n">
        <x:f>'Raw GMD Disclosures'!F7</x:f>
        <x:v>2908.540764</x:v>
      </x:c>
      <x:c r="F49" s="287" t="n">
        <x:f>'Raw GMD Disclosures'!G7</x:f>
        <x:v>4190.786438</x:v>
      </x:c>
      <x:c r="G49" s="287" t="n">
        <x:f>'Raw GMD Disclosures'!H7</x:f>
        <x:v>5254.22761</x:v>
      </x:c>
      <x:c r="H49" s="86" t="str">
        <x:v>SRC-G10 / SRC-G08 / SRC-G01</x:v>
      </x:c>
      <x:c r="I49" s="86" t="str">
        <x:v>Linked issuer actual</x:v>
      </x:c>
      <x:c r="J49" s="87" t="str">
        <x:v>Audited external segment revenue.</x:v>
      </x:c>
    </x:row>
    <x:row r="50" ht="31" customHeight="1">
      <x:c r="A50" s="88" t="str">
        <x:v>Logistics external revenue</x:v>
      </x:c>
      <x:c r="B50" s="89" t="str">
        <x:v>VND bn</x:v>
      </x:c>
      <x:c r="C50" s="288" t="n">
        <x:f>'Raw GMD Disclosures'!D8</x:f>
        <x:v>429.904936</x:v>
      </x:c>
      <x:c r="D50" s="288" t="n">
        <x:f>'Raw GMD Disclosures'!E8</x:f>
        <x:v>810.822008</x:v>
      </x:c>
      <x:c r="E50" s="288" t="n">
        <x:f>'Raw GMD Disclosures'!F8</x:f>
        <x:v>935.815647</x:v>
      </x:c>
      <x:c r="F50" s="288" t="n">
        <x:f>'Raw GMD Disclosures'!G8</x:f>
        <x:v>630.775427</x:v>
      </x:c>
      <x:c r="G50" s="288" t="n">
        <x:f>'Raw GMD Disclosures'!H8</x:f>
        <x:v>693.74057</x:v>
      </x:c>
      <x:c r="H50" s="89" t="str">
        <x:v>SRC-G10 / SRC-G08 / SRC-G01</x:v>
      </x:c>
      <x:c r="I50" s="89" t="str">
        <x:v>Linked issuer actual</x:v>
      </x:c>
      <x:c r="J50" s="90" t="str">
        <x:v>Audited external segment revenue.</x:v>
      </x:c>
    </x:row>
    <x:row r="51" ht="31" customHeight="1">
      <x:c r="A51" s="88" t="str">
        <x:v>Other external revenue</x:v>
      </x:c>
      <x:c r="B51" s="89" t="str">
        <x:v>VND bn</x:v>
      </x:c>
      <x:c r="C51" s="288" t="n">
        <x:f>'Raw GMD Disclosures'!D9</x:f>
        <x:v>13.597011</x:v>
      </x:c>
      <x:c r="D51" s="288" t="n">
        <x:f>'Raw GMD Disclosures'!E9</x:f>
        <x:v>1.243365</x:v>
      </x:c>
      <x:c r="E51" s="288" t="n">
        <x:f>'Raw GMD Disclosures'!F9</x:f>
        <x:v>1.469885</x:v>
      </x:c>
      <x:c r="F51" s="288" t="n">
        <x:f>'Raw GMD Disclosures'!G9</x:f>
        <x:v>10.462934</x:v>
      </x:c>
      <x:c r="G51" s="288" t="n">
        <x:f>'Raw GMD Disclosures'!H9</x:f>
        <x:v>8.057116</x:v>
      </x:c>
      <x:c r="H51" s="89" t="str">
        <x:v>SRC-G10 / SRC-G08 / SRC-G01</x:v>
      </x:c>
      <x:c r="I51" s="89" t="str">
        <x:v>Linked issuer actual</x:v>
      </x:c>
      <x:c r="J51" s="90" t="str">
        <x:v>Audited external segment revenue.</x:v>
      </x:c>
    </x:row>
    <x:row r="52" ht="31" customHeight="1">
      <x:c r="A52" s="299" t="str">
        <x:v>Calculated consolidated revenue</x:v>
      </x:c>
      <x:c r="B52" s="300" t="str">
        <x:v>VND bn</x:v>
      </x:c>
      <x:c r="C52" s="301" t="n">
        <x:f>SUM(C49:C51)</x:f>
        <x:v>3206.290165</x:v>
      </x:c>
      <x:c r="D52" s="301" t="n">
        <x:f>SUM(D49:D51)</x:f>
        <x:v>3898.243609</x:v>
      </x:c>
      <x:c r="E52" s="301" t="n">
        <x:f>SUM(E49:E51)</x:f>
        <x:v>3845.8262959999997</x:v>
      </x:c>
      <x:c r="F52" s="301" t="n">
        <x:f>SUM(F49:F51)</x:f>
        <x:v>4832.024799</x:v>
      </x:c>
      <x:c r="G52" s="301" t="n">
        <x:f>SUM(G49:G51)</x:f>
        <x:v>5956.025296</x:v>
      </x:c>
      <x:c r="H52" s="300" t="str">
        <x:v>Model formula</x:v>
      </x:c>
      <x:c r="I52" s="300" t="str">
        <x:v>Model output</x:v>
      </x:c>
      <x:c r="J52" s="300" t="str">
        <x:v>Sum of external segment revenue.</x:v>
      </x:c>
    </x:row>
    <x:row r="53" ht="31" customHeight="1">
      <x:c r="A53" s="294" t="str">
        <x:v>Linked consolidated revenue</x:v>
      </x:c>
      <x:c r="B53" s="295" t="str">
        <x:v>VND bn</x:v>
      </x:c>
      <x:c r="C53" s="296" t="n">
        <x:f>C6</x:f>
        <x:v>3206.290165333</x:v>
      </x:c>
      <x:c r="D53" s="296" t="n">
        <x:f>D6</x:f>
        <x:v>3898.24360857</x:v>
      </x:c>
      <x:c r="E53" s="296" t="n">
        <x:f>E6</x:f>
        <x:v>3845.826296568</x:v>
      </x:c>
      <x:c r="F53" s="296" t="n">
        <x:f>F6</x:f>
        <x:v>4832.024798961</x:v>
      </x:c>
      <x:c r="G53" s="296" t="n">
        <x:f>G6</x:f>
        <x:v>5956.025297015</x:v>
      </x:c>
      <x:c r="H53" s="295" t="str">
        <x:v>Linked formula</x:v>
      </x:c>
      <x:c r="I53" s="295" t="str">
        <x:v>Linked API actual</x:v>
      </x:c>
      <x:c r="J53" s="295" t="str">
        <x:v>Links to the VNStock net-sales row above.</x:v>
      </x:c>
    </x:row>
    <x:row r="54" ht="31" customHeight="1">
      <x:c r="A54" s="302" t="str">
        <x:v>Segment revenue tie check</x:v>
      </x:c>
      <x:c r="B54" s="303" t="str">
        <x:v>VND bn</x:v>
      </x:c>
      <x:c r="C54" s="316" t="n">
        <x:f>C52-C53</x:f>
        <x:v>-3.330001163703855e-7</x:v>
      </x:c>
      <x:c r="D54" s="316" t="n">
        <x:f>D52-D53</x:f>
        <x:v>4.3000000005122274e-7</x:v>
      </x:c>
      <x:c r="E54" s="316" t="n">
        <x:f>E52-E53</x:f>
        <x:v>-5.680003596353345e-7</x:v>
      </x:c>
      <x:c r="F54" s="316" t="n">
        <x:f>F52-F53</x:f>
        <x:v>3.9000042306724936e-8</x:v>
      </x:c>
      <x:c r="G54" s="316" t="n">
        <x:f>G52-G53</x:f>
        <x:v>-0.0000010150006346520968</x:v>
      </x:c>
      <x:c r="H54" s="303" t="str">
        <x:v>Model formula</x:v>
      </x:c>
      <x:c r="I54" s="303" t="str">
        <x:v>Check</x:v>
      </x:c>
      <x:c r="J54" s="303" t="str">
        <x:v>Calculated segment revenue less linked consolidated revenue.</x:v>
      </x:c>
    </x:row>
  </x:sheetData>
  <x:mergeCells>
    <x:mergeCell ref="A1:J1"/>
    <x:mergeCell ref="A2:J2"/>
    <x:mergeCell ref="A4:J4"/>
    <x:mergeCell ref="A15:J15"/>
    <x:mergeCell ref="A29:J29"/>
    <x:mergeCell ref="A36:J36"/>
    <x:mergeCell ref="A47:J47"/>
  </x:mergeCells>
  <x:pageMargins left="0.7" right="0.7" top="0.75" bottom="0.75" header="0.3" footer="0.3"/>
  <x:legacyDrawing xmlns:r="http://schemas.openxmlformats.org/officeDocument/2006/relationships" r:id="Rbc5ac12ec32f4e4a"/>
</x:worksheet>
</file>

<file path=xl/worksheets/sheet22.xml><?xml version="1.0" encoding="utf-8"?>
<x:worksheet xmlns:x="http://schemas.openxmlformats.org/spreadsheetml/2006/main">
  <x:sheetViews>
    <x:sheetView showGridLines="0" workbookViewId="0"/>
  </x:sheetViews>
  <x:sheetFormatPr defaultRowHeight="15"/>
  <x:cols>
    <x:col min="1" max="1" width="43" hidden="0" customWidth="1"/>
    <x:col min="2" max="2" width="31" hidden="0" customWidth="1"/>
    <x:col min="3" max="3" width="16" hidden="0" customWidth="1"/>
    <x:col min="4" max="4" width="16" hidden="0" customWidth="1"/>
    <x:col min="5" max="5" width="16" hidden="0" customWidth="1"/>
    <x:col min="6" max="6" width="16" hidden="0" customWidth="1"/>
    <x:col min="7" max="7" width="16" hidden="0" customWidth="1"/>
    <x:col min="8" max="8" width="22" hidden="0" customWidth="1"/>
    <x:col min="9" max="9" width="34" hidden="0" customWidth="1"/>
    <x:col min="10" max="10" width="55" hidden="0" customWidth="1"/>
    <x:col min="11" max="11" width="31" hidden="0" customWidth="1"/>
    <x:col min="12" max="12" width="28" hidden="0" customWidth="1"/>
  </x:cols>
  <x:sheetData>
    <x:row r="1" ht="30" customHeight="1">
      <x:c r="A1" s="264" t="str">
        <x:v>Phase 3 — Five-Year Historical Port Drivers &amp; Revenue Bridge</x:v>
      </x:c>
      <x:c r="B1" s="264" t="str">
        <x:v>Phase 3 — Five-Year Historical Port Drivers &amp; Revenue Bridge</x:v>
      </x:c>
      <x:c r="C1" s="264" t="str">
        <x:v>Phase 3 — Five-Year Historical Port Drivers &amp; Revenue Bridge</x:v>
      </x:c>
      <x:c r="D1" s="264" t="str">
        <x:v>Phase 3 — Five-Year Historical Port Drivers &amp; Revenue Bridge</x:v>
      </x:c>
      <x:c r="E1" s="264" t="str">
        <x:v>Phase 3 — Five-Year Historical Port Drivers &amp; Revenue Bridge</x:v>
      </x:c>
      <x:c r="F1" s="264" t="str">
        <x:v>Phase 3 — Five-Year Historical Port Drivers &amp; Revenue Bridge</x:v>
      </x:c>
      <x:c r="G1" s="264" t="str">
        <x:v>Phase 3 — Five-Year Historical Port Drivers &amp; Revenue Bridge</x:v>
      </x:c>
      <x:c r="H1" s="264" t="str">
        <x:v>Phase 3 — Five-Year Historical Port Drivers &amp; Revenue Bridge</x:v>
      </x:c>
      <x:c r="I1" s="264" t="str">
        <x:v>Phase 3 — Five-Year Historical Port Drivers &amp; Revenue Bridge</x:v>
      </x:c>
      <x:c r="J1" s="264" t="str">
        <x:v>Phase 3 — Five-Year Historical Port Drivers &amp; Revenue Bridge</x:v>
      </x:c>
    </x:row>
    <x:row r="2" ht="34" customHeight="1">
      <x:c r="A2" s="268" t="str">
        <x:v>System throughput uses issuer scope. 2021–2022 are chart-derived from rounded growth labels; the implied revenue-per-TEU measure is a price/mix/scope proxy, not a clean tariff.</x:v>
      </x:c>
      <x:c r="B2" s="268" t="str">
        <x:v>System throughput uses issuer scope. 2021–2022 are chart-derived from rounded growth labels; the implied revenue-per-TEU measure is a price/mix/scope proxy, not a clean tariff.</x:v>
      </x:c>
      <x:c r="C2" s="268" t="str">
        <x:v>System throughput uses issuer scope. 2021–2022 are chart-derived from rounded growth labels; the implied revenue-per-TEU measure is a price/mix/scope proxy, not a clean tariff.</x:v>
      </x:c>
      <x:c r="D2" s="268" t="str">
        <x:v>System throughput uses issuer scope. 2021–2022 are chart-derived from rounded growth labels; the implied revenue-per-TEU measure is a price/mix/scope proxy, not a clean tariff.</x:v>
      </x:c>
      <x:c r="E2" s="268" t="str">
        <x:v>System throughput uses issuer scope. 2021–2022 are chart-derived from rounded growth labels; the implied revenue-per-TEU measure is a price/mix/scope proxy, not a clean tariff.</x:v>
      </x:c>
      <x:c r="F2" s="268" t="str">
        <x:v>System throughput uses issuer scope. 2021–2022 are chart-derived from rounded growth labels; the implied revenue-per-TEU measure is a price/mix/scope proxy, not a clean tariff.</x:v>
      </x:c>
      <x:c r="G2" s="268" t="str">
        <x:v>System throughput uses issuer scope. 2021–2022 are chart-derived from rounded growth labels; the implied revenue-per-TEU measure is a price/mix/scope proxy, not a clean tariff.</x:v>
      </x:c>
      <x:c r="H2" s="268" t="str">
        <x:v>System throughput uses issuer scope. 2021–2022 are chart-derived from rounded growth labels; the implied revenue-per-TEU measure is a price/mix/scope proxy, not a clean tariff.</x:v>
      </x:c>
      <x:c r="I2" s="268" t="str">
        <x:v>System throughput uses issuer scope. 2021–2022 are chart-derived from rounded growth labels; the implied revenue-per-TEU measure is a price/mix/scope proxy, not a clean tariff.</x:v>
      </x:c>
      <x:c r="J2" s="268" t="str">
        <x:v>System throughput uses issuer scope. 2021–2022 are chart-derived from rounded growth labels; the implied revenue-per-TEU measure is a price/mix/scope proxy, not a clean tariff.</x:v>
      </x:c>
    </x:row>
    <x:row r="4" ht="21" customHeight="1">
      <x:c r="A4" s="286" t="str">
        <x:v>System throughput → external port revenue → segment profit</x:v>
      </x:c>
      <x:c r="B4" s="286" t="str">
        <x:v>System throughput → external port revenue → segment profit</x:v>
      </x:c>
      <x:c r="C4" s="286" t="str">
        <x:v>System throughput → external port revenue → segment profit</x:v>
      </x:c>
      <x:c r="D4" s="286" t="str">
        <x:v>System throughput → external port revenue → segment profit</x:v>
      </x:c>
      <x:c r="E4" s="286" t="str">
        <x:v>System throughput → external port revenue → segment profit</x:v>
      </x:c>
      <x:c r="F4" s="286" t="str">
        <x:v>System throughput → external port revenue → segment profit</x:v>
      </x:c>
      <x:c r="G4" s="286" t="str">
        <x:v>System throughput → external port revenue → segment profit</x:v>
      </x:c>
      <x:c r="H4" s="286" t="str">
        <x:v>System throughput → external port revenue → segment profit</x:v>
      </x:c>
      <x:c r="I4" s="286" t="str">
        <x:v>System throughput → external port revenue → segment profit</x:v>
      </x:c>
      <x:c r="J4" s="286" t="str">
        <x:v>System throughput → external port revenue → segment profit</x:v>
      </x:c>
    </x:row>
    <x:row r="5" ht="32" customHeight="1">
      <x:c r="A5" s="278" t="str">
        <x:v>Metric</x:v>
      </x:c>
      <x:c r="B5" s="278" t="str">
        <x:v>Unit</x:v>
      </x:c>
      <x:c r="C5" s="280" t="n">
        <x:v>44561</x:v>
      </x:c>
      <x:c r="D5" s="280" t="n">
        <x:v>44926</x:v>
      </x:c>
      <x:c r="E5" s="280" t="n">
        <x:v>45291</x:v>
      </x:c>
      <x:c r="F5" s="280" t="n">
        <x:v>45657</x:v>
      </x:c>
      <x:c r="G5" s="280" t="n">
        <x:v>46022</x:v>
      </x:c>
      <x:c r="H5" s="278" t="str">
        <x:v>Source ID</x:v>
      </x:c>
      <x:c r="I5" s="278" t="str">
        <x:v>Data class</x:v>
      </x:c>
      <x:c r="J5" s="278" t="str">
        <x:v>Audit note</x:v>
      </x:c>
    </x:row>
    <x:row r="6" ht="32" customHeight="1">
      <x:c r="A6" s="85" t="str">
        <x:v>System container throughput</x:v>
      </x:c>
      <x:c r="B6" s="86" t="str">
        <x:v>m TEU</x:v>
      </x:c>
      <x:c r="C6" s="317" t="n">
        <x:f>'Raw GMD Disclosures'!D6</x:f>
        <x:v>2.627</x:v>
      </x:c>
      <x:c r="D6" s="317" t="n">
        <x:f>'Raw GMD Disclosures'!E6</x:f>
        <x:v>3.1</x:v>
      </x:c>
      <x:c r="E6" s="317" t="n">
        <x:f>'Raw GMD Disclosures'!F6</x:f>
        <x:v>3.011</x:v>
      </x:c>
      <x:c r="F6" s="317" t="n">
        <x:f>'Raw GMD Disclosures'!G6</x:f>
        <x:v>4.435</x:v>
      </x:c>
      <x:c r="G6" s="317" t="n">
        <x:f>'Raw GMD Disclosures'!H6</x:f>
        <x:v>5.079</x:v>
      </x:c>
      <x:c r="H6" s="86" t="str">
        <x:v>SRC-G01 / SRC-G09</x:v>
      </x:c>
      <x:c r="I6" s="86" t="str">
        <x:v>Linked issuer disclosure</x:v>
      </x:c>
      <x:c r="J6" s="87" t="str">
        <x:v>2021–2022 derived from rounded chart growth labels; 2023–2025 exact.</x:v>
      </x:c>
    </x:row>
    <x:row r="7" ht="32" customHeight="1">
      <x:c r="A7" s="88" t="str">
        <x:v>Throughput YoY</x:v>
      </x:c>
      <x:c r="B7" s="89" t="str">
        <x:v>%</x:v>
      </x:c>
      <x:c r="C7" s="89"/>
      <x:c r="D7" s="109" t="n">
        <x:f>D6/C6-1</x:f>
        <x:v>0.18005329272934922</x:v>
      </x:c>
      <x:c r="E7" s="109" t="n">
        <x:f>E6/D6-1</x:f>
        <x:v>-0.028709677419354818</x:v>
      </x:c>
      <x:c r="F7" s="109" t="n">
        <x:f>F6/E6-1</x:f>
        <x:v>0.4729325805380271</x:v>
      </x:c>
      <x:c r="G7" s="109" t="n">
        <x:f>G6/F6-1</x:f>
        <x:v>0.14520856820744088</x:v>
      </x:c>
      <x:c r="H7" s="89" t="str">
        <x:v>Model formula</x:v>
      </x:c>
      <x:c r="I7" s="89" t="str">
        <x:v>Model output</x:v>
      </x:c>
      <x:c r="J7" s="90" t="str">
        <x:v>Historical system growth.</x:v>
      </x:c>
    </x:row>
    <x:row r="8" ht="32" customHeight="1">
      <x:c r="A8" s="299" t="str">
        <x:v>Port external revenue</x:v>
      </x:c>
      <x:c r="B8" s="300" t="str">
        <x:v>VND bn</x:v>
      </x:c>
      <x:c r="C8" s="301" t="n">
        <x:f>'Raw GMD Disclosures'!D7</x:f>
        <x:v>2762.788218</x:v>
      </x:c>
      <x:c r="D8" s="301" t="n">
        <x:f>'Raw GMD Disclosures'!E7</x:f>
        <x:v>3086.178236</x:v>
      </x:c>
      <x:c r="E8" s="301" t="n">
        <x:f>'Raw GMD Disclosures'!F7</x:f>
        <x:v>2908.540764</x:v>
      </x:c>
      <x:c r="F8" s="301" t="n">
        <x:f>'Raw GMD Disclosures'!G7</x:f>
        <x:v>4190.786438</x:v>
      </x:c>
      <x:c r="G8" s="301" t="n">
        <x:f>'Raw GMD Disclosures'!H7</x:f>
        <x:v>5254.22761</x:v>
      </x:c>
      <x:c r="H8" s="300" t="str">
        <x:v>SRC-G10 / SRC-G08 / SRC-G01</x:v>
      </x:c>
      <x:c r="I8" s="300" t="str">
        <x:v>Linked issuer actual</x:v>
      </x:c>
      <x:c r="J8" s="300" t="str">
        <x:v>Consolidated external revenue from port operations.</x:v>
      </x:c>
    </x:row>
    <x:row r="9" ht="32" customHeight="1">
      <x:c r="A9" s="294" t="str">
        <x:v>Port revenue YoY</x:v>
      </x:c>
      <x:c r="B9" s="295" t="str">
        <x:v>%</x:v>
      </x:c>
      <x:c r="C9" s="295"/>
      <x:c r="D9" s="298" t="n">
        <x:f>D8/C8-1</x:f>
        <x:v>0.11705204759925603</x:v>
      </x:c>
      <x:c r="E9" s="298" t="n">
        <x:f>E8/D8-1</x:f>
        <x:v>-0.05755904501168296</x:v>
      </x:c>
      <x:c r="F9" s="298" t="n">
        <x:f>F8/E8-1</x:f>
        <x:v>0.4408553216344058</x:v>
      </x:c>
      <x:c r="G9" s="298" t="n">
        <x:f>G8/F8-1</x:f>
        <x:v>0.25375694699143714</x:v>
      </x:c>
      <x:c r="H9" s="295" t="str">
        <x:v>Model formula</x:v>
      </x:c>
      <x:c r="I9" s="295" t="str">
        <x:v>Model output</x:v>
      </x:c>
      <x:c r="J9" s="295" t="str">
        <x:v>Historical growth.</x:v>
      </x:c>
    </x:row>
    <x:row r="10" ht="32" customHeight="1">
      <x:c r="A10" s="294" t="str">
        <x:v>Implied port revenue / system TEU</x:v>
      </x:c>
      <x:c r="B10" s="295" t="str">
        <x:v>VND '000/TEU</x:v>
      </x:c>
      <x:c r="C10" s="296" t="n">
        <x:f>C8/C6</x:f>
        <x:v>1051.6894625047585</x:v>
      </x:c>
      <x:c r="D10" s="296" t="n">
        <x:f>D8/D6</x:f>
        <x:v>995.5413664516129</x:v>
      </x:c>
      <x:c r="E10" s="296" t="n">
        <x:f>E8/E6</x:f>
        <x:v>965.9716917967452</x:v>
      </x:c>
      <x:c r="F10" s="296" t="n">
        <x:f>F8/F6</x:f>
        <x:v>944.934935287486</x:v>
      </x:c>
      <x:c r="G10" s="296" t="n">
        <x:f>G8/G6</x:f>
        <x:v>1034.5004154361095</x:v>
      </x:c>
      <x:c r="H10" s="295" t="str">
        <x:v>Model formula</x:v>
      </x:c>
      <x:c r="I10" s="295" t="str">
        <x:v>Model proxy</x:v>
      </x:c>
      <x:c r="J10" s="295" t="str">
        <x:v>Captures price, cargo mix, service mix, ownership and recognition scope.</x:v>
      </x:c>
    </x:row>
    <x:row r="11" ht="32" customHeight="1">
      <x:c r="A11" s="294" t="str">
        <x:v>Implied unit proxy YoY</x:v>
      </x:c>
      <x:c r="B11" s="295" t="str">
        <x:v>%</x:v>
      </x:c>
      <x:c r="C11" s="295"/>
      <x:c r="D11" s="298" t="n">
        <x:f>D10/C10-1</x:f>
        <x:v>-0.05338847450217887</x:v>
      </x:c>
      <x:c r="E11" s="298" t="n">
        <x:f>E10/D10-1</x:f>
        <x:v>-0.02970210545872376</x:v>
      </x:c>
      <x:c r="F11" s="298" t="n">
        <x:f>F10/E10-1</x:f>
        <x:v>-0.02177781884076746</x:v>
      </x:c>
      <x:c r="G11" s="298" t="n">
        <x:f>G10/F10-1</x:f>
        <x:v>0.09478481195255428</x:v>
      </x:c>
      <x:c r="H11" s="295" t="str">
        <x:v>Model formula</x:v>
      </x:c>
      <x:c r="I11" s="295" t="str">
        <x:v>Model output</x:v>
      </x:c>
      <x:c r="J11" s="295" t="str">
        <x:v>Do not relabel as pure tariff growth.</x:v>
      </x:c>
    </x:row>
    <x:row r="12" ht="32" customHeight="1">
      <x:c r="A12" s="294" t="str">
        <x:v>Port segment financial performance</x:v>
      </x:c>
      <x:c r="B12" s="295" t="str">
        <x:v>VND bn</x:v>
      </x:c>
      <x:c r="C12" s="296" t="n">
        <x:f>'Raw GMD Disclosures'!D10</x:f>
        <x:v>713.563688</x:v>
      </x:c>
      <x:c r="D12" s="296" t="n">
        <x:f>'Raw GMD Disclosures'!E10</x:f>
        <x:v>985.584222</x:v>
      </x:c>
      <x:c r="E12" s="296" t="n">
        <x:f>'Raw GMD Disclosures'!F10</x:f>
        <x:v>1083.302</x:v>
      </x:c>
      <x:c r="F12" s="296" t="n">
        <x:f>'Raw GMD Disclosures'!G10</x:f>
        <x:v>1556.966</x:v>
      </x:c>
      <x:c r="G12" s="296" t="n">
        <x:f>'Raw GMD Disclosures'!H10</x:f>
        <x:v>1880.805</x:v>
      </x:c>
      <x:c r="H12" s="295" t="str">
        <x:v>SRC-G10 / SRC-G08 / SRC-G01</x:v>
      </x:c>
      <x:c r="I12" s="295" t="str">
        <x:v>Linked issuer actual</x:v>
      </x:c>
      <x:c r="J12" s="295" t="str">
        <x:v>Segment appendix measure before financial and associate items.</x:v>
      </x:c>
    </x:row>
    <x:row r="13" ht="32" customHeight="1">
      <x:c r="A13" s="294" t="str">
        <x:v>Port segment margin</x:v>
      </x:c>
      <x:c r="B13" s="295" t="str">
        <x:v>%</x:v>
      </x:c>
      <x:c r="C13" s="298" t="n">
        <x:f>C12/C8</x:f>
        <x:v>0.2582766508670553</x:v>
      </x:c>
      <x:c r="D13" s="298" t="n">
        <x:f>D12/D8</x:f>
        <x:v>0.3193542778907731</x:v>
      </x:c>
      <x:c r="E13" s="298" t="n">
        <x:f>E12/E8</x:f>
        <x:v>0.37245549844389253</x:v>
      </x:c>
      <x:c r="F13" s="298" t="n">
        <x:f>F12/F8</x:f>
        <x:v>0.37152119847534926</x:v>
      </x:c>
      <x:c r="G13" s="298" t="n">
        <x:f>G12/G8</x:f>
        <x:v>0.3579603206416861</x:v>
      </x:c>
      <x:c r="H13" s="295" t="str">
        <x:v>Model formula</x:v>
      </x:c>
      <x:c r="I13" s="295" t="str">
        <x:v>Model output</x:v>
      </x:c>
      <x:c r="J13" s="295" t="str">
        <x:v>Port segment performance divided by port external revenue.</x:v>
      </x:c>
    </x:row>
    <x:row r="14" ht="32" customHeight="1">
      <x:c r="A14" s="294" t="str">
        <x:v>Port D&amp;A + long-term prepayment allocation</x:v>
      </x:c>
      <x:c r="B14" s="295" t="str">
        <x:v>VND bn</x:v>
      </x:c>
      <x:c r="C14" s="296" t="n">
        <x:f>'Raw GMD Disclosures'!D11</x:f>
        <x:v>295.204995</x:v>
      </x:c>
      <x:c r="D14" s="296" t="n">
        <x:f>'Raw GMD Disclosures'!E11</x:f>
        <x:v>316.538625</x:v>
      </x:c>
      <x:c r="E14" s="296" t="n">
        <x:f>'Raw GMD Disclosures'!F11</x:f>
        <x:v>313.885</x:v>
      </x:c>
      <x:c r="F14" s="296" t="n">
        <x:f>'Raw GMD Disclosures'!G11</x:f>
        <x:v>649.096</x:v>
      </x:c>
      <x:c r="G14" s="296" t="n">
        <x:f>'Raw GMD Disclosures'!H11</x:f>
        <x:v>411.297</x:v>
      </x:c>
      <x:c r="H14" s="295" t="str">
        <x:v>SRC-G10 / SRC-G08 / SRC-G01</x:v>
      </x:c>
      <x:c r="I14" s="295" t="str">
        <x:v>Linked issuer actual</x:v>
      </x:c>
      <x:c r="J14" s="295" t="str">
        <x:v>Segment appendix measure; 2024 spike limits comparability.</x:v>
      </x:c>
    </x:row>
    <x:row r="15" ht="32" customHeight="1">
      <x:c r="A15" s="294" t="str">
        <x:v>Port EBITDA-like proxy</x:v>
      </x:c>
      <x:c r="B15" s="295" t="str">
        <x:v>VND bn</x:v>
      </x:c>
      <x:c r="C15" s="296" t="n">
        <x:f>C12+C14</x:f>
        <x:v>1008.768683</x:v>
      </x:c>
      <x:c r="D15" s="296" t="n">
        <x:f>D12+D14</x:f>
        <x:v>1302.122847</x:v>
      </x:c>
      <x:c r="E15" s="296" t="n">
        <x:f>E12+E14</x:f>
        <x:v>1397.187</x:v>
      </x:c>
      <x:c r="F15" s="296" t="n">
        <x:f>F12+F14</x:f>
        <x:v>2206.062</x:v>
      </x:c>
      <x:c r="G15" s="296" t="n">
        <x:f>G12+G14</x:f>
        <x:v>2292.102</x:v>
      </x:c>
      <x:c r="H15" s="295" t="str">
        <x:v>Model formula</x:v>
      </x:c>
      <x:c r="I15" s="295" t="str">
        <x:v>Model proxy</x:v>
      </x:c>
      <x:c r="J15" s="295" t="str">
        <x:v>Port segment performance plus segment D&amp;A/prepayment allocation.</x:v>
      </x:c>
    </x:row>
    <x:row r="16" ht="32" customHeight="1">
      <x:c r="A16" s="302" t="str">
        <x:v>Port EBITDA-like margin</x:v>
      </x:c>
      <x:c r="B16" s="303" t="str">
        <x:v>%</x:v>
      </x:c>
      <x:c r="C16" s="304" t="n">
        <x:f>C15/C8</x:f>
        <x:v>0.3651270395710077</x:v>
      </x:c>
      <x:c r="D16" s="304" t="n">
        <x:f>D15/D8</x:f>
        <x:v>0.42192081838010864</x:v>
      </x:c>
      <x:c r="E16" s="304" t="n">
        <x:f>E15/E8</x:f>
        <x:v>0.4803738758945584</x:v>
      </x:c>
      <x:c r="F16" s="304" t="n">
        <x:f>F15/F8</x:f>
        <x:v>0.5264076403408462</x:v>
      </x:c>
      <x:c r="G16" s="304" t="n">
        <x:f>G15/G8</x:f>
        <x:v>0.43623957128115354</x:v>
      </x:c>
      <x:c r="H16" s="303" t="str">
        <x:v>Model formula</x:v>
      </x:c>
      <x:c r="I16" s="303" t="str">
        <x:v>Model proxy</x:v>
      </x:c>
      <x:c r="J16" s="303" t="str">
        <x:v>Not company-reported EBITDA.</x:v>
      </x:c>
    </x:row>
    <x:row r="17" ht="32" customHeight="1">
      <x:c r="A17" s="91" t="str">
        <x:v>Issuer-estimated national market share</x:v>
      </x:c>
      <x:c r="B17" s="92" t="str">
        <x:v>%</x:v>
      </x:c>
      <x:c r="C17" s="126" t="n">
        <x:f>'Raw GMD Disclosures'!D12</x:f>
        <x:v>0</x:v>
      </x:c>
      <x:c r="D17" s="126" t="n">
        <x:f>'Raw GMD Disclosures'!E12</x:f>
        <x:v>0</x:v>
      </x:c>
      <x:c r="E17" s="126" t="n">
        <x:f>'Raw GMD Disclosures'!F12</x:f>
        <x:v>0.12</x:v>
      </x:c>
      <x:c r="F17" s="126" t="n">
        <x:f>'Raw GMD Disclosures'!G12</x:f>
        <x:v>0.15</x:v>
      </x:c>
      <x:c r="G17" s="126" t="n">
        <x:f>'Raw GMD Disclosures'!H12</x:f>
        <x:v>0.15</x:v>
      </x:c>
      <x:c r="H17" s="92" t="str">
        <x:v>SRC-G09 / SRC-G08 / SRC-G01</x:v>
      </x:c>
      <x:c r="I17" s="92" t="str">
        <x:v>Linked issuer estimate</x:v>
      </x:c>
      <x:c r="J17" s="93" t="str">
        <x:v>Missing years remain blank; 2023 was more than 12%, 2024–2025 around 15%.</x:v>
      </x:c>
    </x:row>
    <x:row r="19" ht="21" customHeight="1">
      <x:c r="A19" s="286" t="str">
        <x:v>Historical port-revenue bridge</x:v>
      </x:c>
      <x:c r="B19" s="286" t="str">
        <x:v>Historical port-revenue bridge</x:v>
      </x:c>
      <x:c r="C19" s="286" t="str">
        <x:v>Historical port-revenue bridge</x:v>
      </x:c>
      <x:c r="D19" s="286" t="str">
        <x:v>Historical port-revenue bridge</x:v>
      </x:c>
      <x:c r="E19" s="286" t="str">
        <x:v>Historical port-revenue bridge</x:v>
      </x:c>
      <x:c r="F19" s="286" t="str">
        <x:v>Historical port-revenue bridge</x:v>
      </x:c>
      <x:c r="G19" s="286" t="str">
        <x:v>Historical port-revenue bridge</x:v>
      </x:c>
      <x:c r="H19" s="286" t="str">
        <x:v>Historical port-revenue bridge</x:v>
      </x:c>
      <x:c r="I19" s="286" t="str">
        <x:v>Historical port-revenue bridge</x:v>
      </x:c>
      <x:c r="J19" s="286" t="str">
        <x:v>Historical port-revenue bridge</x:v>
      </x:c>
    </x:row>
    <x:row r="20" ht="32" customHeight="1">
      <x:c r="A20" s="278" t="str">
        <x:v>Metric</x:v>
      </x:c>
      <x:c r="B20" s="278" t="str">
        <x:v>Unit</x:v>
      </x:c>
      <x:c r="C20" s="280" t="n">
        <x:v>44561</x:v>
      </x:c>
      <x:c r="D20" s="280" t="n">
        <x:v>44926</x:v>
      </x:c>
      <x:c r="E20" s="280" t="n">
        <x:v>45291</x:v>
      </x:c>
      <x:c r="F20" s="280" t="n">
        <x:v>45657</x:v>
      </x:c>
      <x:c r="G20" s="280" t="n">
        <x:v>46022</x:v>
      </x:c>
      <x:c r="H20" s="278" t="str">
        <x:v>Source ID</x:v>
      </x:c>
      <x:c r="I20" s="278" t="str">
        <x:v>Data class</x:v>
      </x:c>
      <x:c r="J20" s="278" t="str">
        <x:v>Audit note</x:v>
      </x:c>
    </x:row>
    <x:row r="21" ht="31" customHeight="1">
      <x:c r="A21" s="299" t="str">
        <x:v>Port revenue change</x:v>
      </x:c>
      <x:c r="B21" s="300" t="str">
        <x:v>VND bn</x:v>
      </x:c>
      <x:c r="C21" s="300"/>
      <x:c r="D21" s="301" t="n">
        <x:f>D8-C8</x:f>
        <x:v>323.39001800000005</x:v>
      </x:c>
      <x:c r="E21" s="301" t="n">
        <x:f>E8-D8</x:f>
        <x:v>-177.63747200000034</x:v>
      </x:c>
      <x:c r="F21" s="301" t="n">
        <x:f>F8-E8</x:f>
        <x:v>1282.2456740000002</x:v>
      </x:c>
      <x:c r="G21" s="301" t="n">
        <x:f>G8-F8</x:f>
        <x:v>1063.4411719999998</x:v>
      </x:c>
      <x:c r="H21" s="300" t="str">
        <x:v>Model formula</x:v>
      </x:c>
      <x:c r="I21" s="300" t="str">
        <x:v>Model output</x:v>
      </x:c>
      <x:c r="J21" s="326" t="str">
        <x:v>Current-year port revenue less prior-year port revenue.</x:v>
      </x:c>
    </x:row>
    <x:row r="22" ht="31" customHeight="1">
      <x:c r="A22" s="294" t="str">
        <x:v>Volume contribution</x:v>
      </x:c>
      <x:c r="B22" s="295" t="str">
        <x:v>VND bn</x:v>
      </x:c>
      <x:c r="C22" s="295"/>
      <x:c r="D22" s="296" t="n">
        <x:f>(D6-C6)*C10</x:f>
        <x:v>497.44911576475107</x:v>
      </x:c>
      <x:c r="E22" s="296" t="n">
        <x:f>(E6-D6)*D10</x:f>
        <x:v>-88.60318161419352</x:v>
      </x:c>
      <x:c r="F22" s="296" t="n">
        <x:f>(F6-E6)*E10</x:f>
        <x:v>1375.5436891185645</x:v>
      </x:c>
      <x:c r="G22" s="296" t="n">
        <x:f>(G6-F6)*F10</x:f>
        <x:v>608.5380983251412</x:v>
      </x:c>
      <x:c r="H22" s="295" t="str">
        <x:v>Model formula</x:v>
      </x:c>
      <x:c r="I22" s="295" t="str">
        <x:v>Model output</x:v>
      </x:c>
      <x:c r="J22" s="297" t="str">
        <x:v>Change in system throughput × prior-year implied revenue/TEU proxy.</x:v>
      </x:c>
    </x:row>
    <x:row r="23" ht="31" customHeight="1">
      <x:c r="A23" s="294" t="str">
        <x:v>Unit/mix/scope contribution</x:v>
      </x:c>
      <x:c r="B23" s="295" t="str">
        <x:v>VND bn</x:v>
      </x:c>
      <x:c r="C23" s="295"/>
      <x:c r="D23" s="296" t="n">
        <x:f>(D10-C10)*D6</x:f>
        <x:v>-174.05909776475116</x:v>
      </x:c>
      <x:c r="E23" s="296" t="n">
        <x:f>(E10-D10)*E6</x:f>
        <x:v>-89.03429038580681</x:v>
      </x:c>
      <x:c r="F23" s="296" t="n">
        <x:f>(F10-E10)*F6</x:f>
        <x:v>-93.29801511856425</x:v>
      </x:c>
      <x:c r="G23" s="296" t="n">
        <x:f>(G10-F10)*G6</x:f>
        <x:v>454.90307367485855</x:v>
      </x:c>
      <x:c r="H23" s="295" t="str">
        <x:v>Model formula</x:v>
      </x:c>
      <x:c r="I23" s="295" t="str">
        <x:v>Model output</x:v>
      </x:c>
      <x:c r="J23" s="297" t="str">
        <x:v>Change in proxy unit revenue × current-year throughput.</x:v>
      </x:c>
    </x:row>
    <x:row r="24" ht="31" customHeight="1">
      <x:c r="A24" s="294" t="str">
        <x:v>Revenue bridge check</x:v>
      </x:c>
      <x:c r="B24" s="295" t="str">
        <x:v>VND bn</x:v>
      </x:c>
      <x:c r="C24" s="295"/>
      <x:c r="D24" s="296" t="n">
        <x:f>D22+D23-D21</x:f>
        <x:v>-1.1368683772161603e-13</x:v>
      </x:c>
      <x:c r="E24" s="296" t="n">
        <x:f>E22+E23-E21</x:f>
        <x:v>0</x:v>
      </x:c>
      <x:c r="F24" s="296" t="n">
        <x:f>F22+F23-F21</x:f>
        <x:v>0</x:v>
      </x:c>
      <x:c r="G24" s="296" t="n">
        <x:f>G22+G23-G21</x:f>
        <x:v>0</x:v>
      </x:c>
      <x:c r="H24" s="295" t="str">
        <x:v>Model formula</x:v>
      </x:c>
      <x:c r="I24" s="295" t="str">
        <x:v>Check</x:v>
      </x:c>
      <x:c r="J24" s="297" t="str">
        <x:v>Volume + unit/mix/scope contributions less revenue change.</x:v>
      </x:c>
    </x:row>
    <x:row r="25" ht="31" customHeight="1">
      <x:c r="A25" s="294" t="str">
        <x:v>Volume share of revenue change</x:v>
      </x:c>
      <x:c r="B25" s="295" t="str">
        <x:v>%</x:v>
      </x:c>
      <x:c r="C25" s="295"/>
      <x:c r="D25" s="298" t="n">
        <x:f>D22/D21</x:f>
        <x:v>1.5382327470749297</x:v>
      </x:c>
      <x:c r="E25" s="298" t="n">
        <x:f>E22/E21</x:f>
        <x:v>0.4987865488999604</x:v>
      </x:c>
      <x:c r="F25" s="298" t="n">
        <x:f>F22/F21</x:f>
        <x:v>1.072761419289892</x:v>
      </x:c>
      <x:c r="G25" s="298" t="n">
        <x:f>G22/G21</x:f>
        <x:v>0.5722348488545648</x:v>
      </x:c>
      <x:c r="H25" s="295" t="str">
        <x:v>Model formula</x:v>
      </x:c>
      <x:c r="I25" s="295" t="str">
        <x:v>Model output</x:v>
      </x:c>
      <x:c r="J25" s="297" t="str">
        <x:v>Directional attribution; not a pure price-volume decomposition.</x:v>
      </x:c>
    </x:row>
    <x:row r="26" ht="31" customHeight="1">
      <x:c r="A26" s="302" t="str">
        <x:v>Unit/mix/scope share of revenue change</x:v>
      </x:c>
      <x:c r="B26" s="303" t="str">
        <x:v>%</x:v>
      </x:c>
      <x:c r="C26" s="303"/>
      <x:c r="D26" s="304" t="n">
        <x:f>D23/D21</x:f>
        <x:v>-0.5382327470749302</x:v>
      </x:c>
      <x:c r="E26" s="304" t="n">
        <x:f>E23/E21</x:f>
        <x:v>0.5012134511000396</x:v>
      </x:c>
      <x:c r="F26" s="304" t="n">
        <x:f>F23/F21</x:f>
        <x:v>-0.07276141928989205</x:v>
      </x:c>
      <x:c r="G26" s="304" t="n">
        <x:f>G23/G21</x:f>
        <x:v>0.42776515114543506</x:v>
      </x:c>
      <x:c r="H26" s="303" t="str">
        <x:v>Model formula</x:v>
      </x:c>
      <x:c r="I26" s="303" t="str">
        <x:v>Model output</x:v>
      </x:c>
      <x:c r="J26" s="327" t="str">
        <x:v>Residual contribution.</x:v>
      </x:c>
    </x:row>
    <x:row r="28" ht="27" customHeight="1">
      <x:c r="A28" s="342" t="str">
        <x:v>Interpretation: the five-year bridge separates system volume from a residual unit/mix/scope proxy. The residual may include regulated price changes, service mix, general cargo, ownership scope and revenue recognition. It is deliberately not called tariff growth.</x:v>
      </x:c>
      <x:c r="B28" s="343" t="str">
        <x:v>Interpretation: the five-year bridge separates system volume from a residual unit/mix/scope proxy. The residual may include regulated price changes, service mix, general cargo, ownership scope and revenue recognition. It is deliberately not called tariff growth.</x:v>
      </x:c>
      <x:c r="C28" s="343" t="str">
        <x:v>Interpretation: the five-year bridge separates system volume from a residual unit/mix/scope proxy. The residual may include regulated price changes, service mix, general cargo, ownership scope and revenue recognition. It is deliberately not called tariff growth.</x:v>
      </x:c>
      <x:c r="D28" s="343" t="str">
        <x:v>Interpretation: the five-year bridge separates system volume from a residual unit/mix/scope proxy. The residual may include regulated price changes, service mix, general cargo, ownership scope and revenue recognition. It is deliberately not called tariff growth.</x:v>
      </x:c>
      <x:c r="E28" s="343" t="str">
        <x:v>Interpretation: the five-year bridge separates system volume from a residual unit/mix/scope proxy. The residual may include regulated price changes, service mix, general cargo, ownership scope and revenue recognition. It is deliberately not called tariff growth.</x:v>
      </x:c>
      <x:c r="F28" s="343" t="str">
        <x:v>Interpretation: the five-year bridge separates system volume from a residual unit/mix/scope proxy. The residual may include regulated price changes, service mix, general cargo, ownership scope and revenue recognition. It is deliberately not called tariff growth.</x:v>
      </x:c>
      <x:c r="G28" s="343" t="str">
        <x:v>Interpretation: the five-year bridge separates system volume from a residual unit/mix/scope proxy. The residual may include regulated price changes, service mix, general cargo, ownership scope and revenue recognition. It is deliberately not called tariff growth.</x:v>
      </x:c>
      <x:c r="H28" s="343" t="str">
        <x:v>Interpretation: the five-year bridge separates system volume from a residual unit/mix/scope proxy. The residual may include regulated price changes, service mix, general cargo, ownership scope and revenue recognition. It is deliberately not called tariff growth.</x:v>
      </x:c>
      <x:c r="I28" s="343" t="str">
        <x:v>Interpretation: the five-year bridge separates system volume from a residual unit/mix/scope proxy. The residual may include regulated price changes, service mix, general cargo, ownership scope and revenue recognition. It is deliberately not called tariff growth.</x:v>
      </x:c>
      <x:c r="J28" s="344" t="str">
        <x:v>Interpretation: the five-year bridge separates system volume from a residual unit/mix/scope proxy. The residual may include regulated price changes, service mix, general cargo, ownership scope and revenue recognition. It is deliberately not called tariff growth.</x:v>
      </x:c>
    </x:row>
    <x:row r="29" ht="27" customHeight="1">
      <x:c r="A29" s="345" t="str">
        <x:v>Interpretation: the five-year bridge separates system volume from a residual unit/mix/scope proxy. The residual may include regulated price changes, service mix, general cargo, ownership scope and revenue recognition. It is deliberately not called tariff growth.</x:v>
      </x:c>
      <x:c r="B29" s="346" t="str">
        <x:v>Interpretation: the five-year bridge separates system volume from a residual unit/mix/scope proxy. The residual may include regulated price changes, service mix, general cargo, ownership scope and revenue recognition. It is deliberately not called tariff growth.</x:v>
      </x:c>
      <x:c r="C29" s="346" t="str">
        <x:v>Interpretation: the five-year bridge separates system volume from a residual unit/mix/scope proxy. The residual may include regulated price changes, service mix, general cargo, ownership scope and revenue recognition. It is deliberately not called tariff growth.</x:v>
      </x:c>
      <x:c r="D29" s="346" t="str">
        <x:v>Interpretation: the five-year bridge separates system volume from a residual unit/mix/scope proxy. The residual may include regulated price changes, service mix, general cargo, ownership scope and revenue recognition. It is deliberately not called tariff growth.</x:v>
      </x:c>
      <x:c r="E29" s="346" t="str">
        <x:v>Interpretation: the five-year bridge separates system volume from a residual unit/mix/scope proxy. The residual may include regulated price changes, service mix, general cargo, ownership scope and revenue recognition. It is deliberately not called tariff growth.</x:v>
      </x:c>
      <x:c r="F29" s="346" t="str">
        <x:v>Interpretation: the five-year bridge separates system volume from a residual unit/mix/scope proxy. The residual may include regulated price changes, service mix, general cargo, ownership scope and revenue recognition. It is deliberately not called tariff growth.</x:v>
      </x:c>
      <x:c r="G29" s="346" t="str">
        <x:v>Interpretation: the five-year bridge separates system volume from a residual unit/mix/scope proxy. The residual may include regulated price changes, service mix, general cargo, ownership scope and revenue recognition. It is deliberately not called tariff growth.</x:v>
      </x:c>
      <x:c r="H29" s="346" t="str">
        <x:v>Interpretation: the five-year bridge separates system volume from a residual unit/mix/scope proxy. The residual may include regulated price changes, service mix, general cargo, ownership scope and revenue recognition. It is deliberately not called tariff growth.</x:v>
      </x:c>
      <x:c r="I29" s="346" t="str">
        <x:v>Interpretation: the five-year bridge separates system volume from a residual unit/mix/scope proxy. The residual may include regulated price changes, service mix, general cargo, ownership scope and revenue recognition. It is deliberately not called tariff growth.</x:v>
      </x:c>
      <x:c r="J29" s="347" t="str">
        <x:v>Interpretation: the five-year bridge separates system volume from a residual unit/mix/scope proxy. The residual may include regulated price changes, service mix, general cargo, ownership scope and revenue recognition. It is deliberately not called tariff growth.</x:v>
      </x:c>
    </x:row>
    <x:row r="31" ht="21" customHeight="1">
      <x:c r="A31" s="286" t="str">
        <x:v>Selected asset-level disclosures — never sum without scope checks</x:v>
      </x:c>
      <x:c r="B31" s="286" t="str">
        <x:v>Selected asset-level disclosures — never sum without scope checks</x:v>
      </x:c>
      <x:c r="C31" s="286" t="str">
        <x:v>Selected asset-level disclosures — never sum without scope checks</x:v>
      </x:c>
      <x:c r="D31" s="286" t="str">
        <x:v>Selected asset-level disclosures — never sum without scope checks</x:v>
      </x:c>
      <x:c r="E31" s="286" t="str">
        <x:v>Selected asset-level disclosures — never sum without scope checks</x:v>
      </x:c>
      <x:c r="F31" s="286" t="str">
        <x:v>Selected asset-level disclosures — never sum without scope checks</x:v>
      </x:c>
      <x:c r="G31" s="286" t="str">
        <x:v>Selected asset-level disclosures — never sum without scope checks</x:v>
      </x:c>
      <x:c r="H31" s="286" t="str">
        <x:v>Selected asset-level disclosures — never sum without scope checks</x:v>
      </x:c>
      <x:c r="I31" s="286" t="str">
        <x:v>Selected asset-level disclosures — never sum without scope checks</x:v>
      </x:c>
      <x:c r="J31" s="286" t="str">
        <x:v>Selected asset-level disclosures — never sum without scope checks</x:v>
      </x:c>
      <x:c r="K31" s="286" t="str">
        <x:v>Selected asset-level disclosures — never sum without scope checks</x:v>
      </x:c>
      <x:c r="L31" s="286" t="str">
        <x:v>Selected asset-level disclosures — never sum without scope checks</x:v>
      </x:c>
    </x:row>
    <x:row r="32" ht="32" customHeight="1">
      <x:c r="A32" s="278" t="str">
        <x:v>Asset / cluster</x:v>
      </x:c>
      <x:c r="B32" s="278" t="str">
        <x:v>Metric</x:v>
      </x:c>
      <x:c r="C32" s="280" t="n">
        <x:v>44561</x:v>
      </x:c>
      <x:c r="D32" s="280" t="n">
        <x:v>44926</x:v>
      </x:c>
      <x:c r="E32" s="280" t="n">
        <x:v>45291</x:v>
      </x:c>
      <x:c r="F32" s="280" t="n">
        <x:v>45657</x:v>
      </x:c>
      <x:c r="G32" s="280" t="n">
        <x:v>46022</x:v>
      </x:c>
      <x:c r="H32" s="278" t="str">
        <x:v>Unit</x:v>
      </x:c>
      <x:c r="I32" s="278" t="str">
        <x:v>Source ID</x:v>
      </x:c>
      <x:c r="J32" s="278" t="str">
        <x:v>Scope warning</x:v>
      </x:c>
      <x:c r="K32" s="278" t="str">
        <x:v>Use in model</x:v>
      </x:c>
      <x:c r="L32" s="278" t="str">
        <x:v>Data class</x:v>
      </x:c>
    </x:row>
    <x:row r="33" ht="40" customHeight="1">
      <x:c r="A33" s="85" t="str">
        <x:v>System</x:v>
      </x:c>
      <x:c r="B33" s="86" t="str">
        <x:v>Container throughput</x:v>
      </x:c>
      <x:c r="C33" s="317" t="n">
        <x:f>'Raw GMD Disclosures'!D6</x:f>
        <x:v>2.627</x:v>
      </x:c>
      <x:c r="D33" s="317" t="n">
        <x:f>'Raw GMD Disclosures'!E6</x:f>
        <x:v>3.1</x:v>
      </x:c>
      <x:c r="E33" s="317" t="n">
        <x:f>'Raw GMD Disclosures'!F6</x:f>
        <x:v>3.011</x:v>
      </x:c>
      <x:c r="F33" s="317" t="n">
        <x:f>'Raw GMD Disclosures'!G6</x:f>
        <x:v>4.435</x:v>
      </x:c>
      <x:c r="G33" s="317" t="n">
        <x:f>'Raw GMD Disclosures'!H6</x:f>
        <x:v>5.079</x:v>
      </x:c>
      <x:c r="H33" s="86" t="str">
        <x:v>m TEU</x:v>
      </x:c>
      <x:c r="I33" s="86" t="str">
        <x:v>SRC-G01 / SRC-G09</x:v>
      </x:c>
      <x:c r="J33" s="86" t="str">
        <x:v>System total includes equity-accounted assets.</x:v>
      </x:c>
      <x:c r="K33" s="86" t="str">
        <x:v>Core historical volume driver</x:v>
      </x:c>
      <x:c r="L33" s="87" t="str">
        <x:v>Mixed exact and derived</x:v>
      </x:c>
    </x:row>
    <x:row r="34" ht="40" customHeight="1">
      <x:c r="A34" s="88" t="str">
        <x:v>Gemalink</x:v>
      </x:c>
      <x:c r="B34" s="89" t="str">
        <x:v>Container throughput</x:v>
      </x:c>
      <x:c r="C34" s="348" t="n">
        <x:f>'Raw GMD Disclosures'!D18</x:f>
        <x:v>0</x:v>
      </x:c>
      <x:c r="D34" s="348" t="n">
        <x:f>'Raw GMD Disclosures'!E18</x:f>
        <x:v>1.1</x:v>
      </x:c>
      <x:c r="E34" s="348" t="n">
        <x:f>'Raw GMD Disclosures'!F18</x:f>
        <x:v>1</x:v>
      </x:c>
      <x:c r="F34" s="348" t="n">
        <x:f>'Raw GMD Disclosures'!G18</x:f>
        <x:v>1.7</x:v>
      </x:c>
      <x:c r="G34" s="348" t="n">
        <x:f>'Raw GMD Disclosures'!H18</x:f>
        <x:v>1.9</x:v>
      </x:c>
      <x:c r="H34" s="89" t="str">
        <x:v>m TEU, minimum</x:v>
      </x:c>
      <x:c r="I34" s="89" t="str">
        <x:v>SRC-G10 / SRC-G09 / SRC-G08 / SRC-G01</x:v>
      </x:c>
      <x:c r="J34" s="89" t="str">
        <x:v>Revenue is not consolidated line by line.</x:v>
      </x:c>
      <x:c r="K34" s="89" t="str">
        <x:v>Associate earnings cross-check</x:v>
      </x:c>
      <x:c r="L34" s="90" t="str">
        <x:v>Issuer minimum disclosure</x:v>
      </x:c>
    </x:row>
    <x:row r="35" ht="40" customHeight="1">
      <x:c r="A35" s="88" t="str">
        <x:v>Nam Dinh Vu</x:v>
      </x:c>
      <x:c r="B35" s="89" t="str">
        <x:v>Container throughput</x:v>
      </x:c>
      <x:c r="C35" s="348" t="n">
        <x:f>'Raw GMD Disclosures'!D19</x:f>
        <x:v>0</x:v>
      </x:c>
      <x:c r="D35" s="348" t="n">
        <x:f>'Raw GMD Disclosures'!E19</x:f>
        <x:v>0</x:v>
      </x:c>
      <x:c r="E35" s="348" t="n">
        <x:f>'Raw GMD Disclosures'!F19</x:f>
        <x:v>0.897719</x:v>
      </x:c>
      <x:c r="F35" s="348" t="n">
        <x:f>'Raw GMD Disclosures'!G19</x:f>
        <x:v>0</x:v>
      </x:c>
      <x:c r="G35" s="348" t="n">
        <x:f>'Raw GMD Disclosures'!H19</x:f>
        <x:v>0</x:v>
      </x:c>
      <x:c r="H35" s="89" t="str">
        <x:v>m TEU</x:v>
      </x:c>
      <x:c r="I35" s="89" t="str">
        <x:v>SRC-G09</x:v>
      </x:c>
      <x:c r="J35" s="89" t="str">
        <x:v>Only one exact annual point loaded.</x:v>
      </x:c>
      <x:c r="K35" s="89" t="str">
        <x:v>Northern asset evidence</x:v>
      </x:c>
      <x:c r="L35" s="90" t="str">
        <x:v>Issuer actual</x:v>
      </x:c>
    </x:row>
    <x:row r="36" ht="40" customHeight="1">
      <x:c r="A36" s="88" t="str">
        <x:v>Southern port division excluding Gemalink</x:v>
      </x:c>
      <x:c r="B36" s="89" t="str">
        <x:v>Container throughput</x:v>
      </x:c>
      <x:c r="C36" s="348" t="n">
        <x:f>'Raw GMD Disclosures'!D20</x:f>
        <x:v>0</x:v>
      </x:c>
      <x:c r="D36" s="348" t="n">
        <x:f>'Raw GMD Disclosures'!E20</x:f>
        <x:v>0</x:v>
      </x:c>
      <x:c r="E36" s="348" t="n">
        <x:f>'Raw GMD Disclosures'!F20</x:f>
        <x:v>0</x:v>
      </x:c>
      <x:c r="F36" s="348" t="n">
        <x:f>'Raw GMD Disclosures'!G20</x:f>
        <x:v>0</x:v>
      </x:c>
      <x:c r="G36" s="348" t="n">
        <x:f>'Raw GMD Disclosures'!H20</x:f>
        <x:v>1.650408</x:v>
      </x:c>
      <x:c r="H36" s="89" t="str">
        <x:v>m TEU</x:v>
      </x:c>
      <x:c r="I36" s="89" t="str">
        <x:v>SRC-G01</x:v>
      </x:c>
      <x:c r="J36" s="89" t="str">
        <x:v>Scope differs from total South and excludes Gemalink.</x:v>
      </x:c>
      <x:c r="K36" s="89" t="str">
        <x:v>Do not add to system total</x:v>
      </x:c>
      <x:c r="L36" s="90" t="str">
        <x:v>Issuer actual</x:v>
      </x:c>
    </x:row>
    <x:row r="37" ht="40" customHeight="1">
      <x:c r="A37" s="91" t="str">
        <x:v>Phuoc Long ICD / Binh Duong</x:v>
      </x:c>
      <x:c r="B37" s="92" t="str">
        <x:v>Container throughput</x:v>
      </x:c>
      <x:c r="C37" s="349" t="n">
        <x:f>'Raw GMD Disclosures'!D21</x:f>
        <x:v>0</x:v>
      </x:c>
      <x:c r="D37" s="349" t="n">
        <x:f>'Raw GMD Disclosures'!E21</x:f>
        <x:v>0</x:v>
      </x:c>
      <x:c r="E37" s="349" t="n">
        <x:f>'Raw GMD Disclosures'!F21</x:f>
        <x:v>0</x:v>
      </x:c>
      <x:c r="F37" s="349" t="n">
        <x:f>'Raw GMD Disclosures'!G21</x:f>
        <x:v>1.145</x:v>
      </x:c>
      <x:c r="G37" s="349" t="n">
        <x:f>'Raw GMD Disclosures'!H21</x:f>
        <x:v>1.260574</x:v>
      </x:c>
      <x:c r="H37" s="92" t="str">
        <x:v>m TEU</x:v>
      </x:c>
      <x:c r="I37" s="92" t="str">
        <x:v>SRC-G01</x:v>
      </x:c>
      <x:c r="J37" s="92" t="str">
        <x:v>Subset of the Southern division.</x:v>
      </x:c>
      <x:c r="K37" s="92" t="str">
        <x:v>Operational cross-check</x:v>
      </x:c>
      <x:c r="L37" s="93" t="str">
        <x:v>Issuer actual</x:v>
      </x:c>
    </x:row>
  </x:sheetData>
  <x:mergeCells>
    <x:mergeCell ref="A1:J1"/>
    <x:mergeCell ref="A2:J2"/>
    <x:mergeCell ref="A4:J4"/>
    <x:mergeCell ref="A19:J19"/>
    <x:mergeCell ref="A28:J29"/>
    <x:mergeCell ref="A31:L31"/>
  </x:mergeCells>
  <x:pageMargins left="0.7" right="0.7" top="0.75" bottom="0.75" header="0.3" footer="0.3"/>
  <x:legacyDrawing xmlns:r="http://schemas.openxmlformats.org/officeDocument/2006/relationships" r:id="R2b69a0019d894416"/>
</x:worksheet>
</file>

<file path=xl/worksheets/sheet23.xml><?xml version="1.0" encoding="utf-8"?>
<x:worksheet xmlns:x="http://schemas.openxmlformats.org/spreadsheetml/2006/main">
  <x:sheetViews>
    <x:sheetView showGridLines="0" workbookViewId="0"/>
  </x:sheetViews>
  <x:sheetFormatPr defaultRowHeight="15"/>
  <x:cols>
    <x:col min="1" max="1" width="47" hidden="0" customWidth="1"/>
    <x:col min="2" max="2" width="15" hidden="0" customWidth="1"/>
    <x:col min="3" max="3" width="16" hidden="0" customWidth="1"/>
    <x:col min="4" max="4" width="16" hidden="0" customWidth="1"/>
    <x:col min="5" max="5" width="16" hidden="0" customWidth="1"/>
    <x:col min="6" max="6" width="16" hidden="0" customWidth="1"/>
    <x:col min="7" max="7" width="16" hidden="0" customWidth="1"/>
    <x:col min="8" max="8" width="34" hidden="0" customWidth="1"/>
    <x:col min="9" max="9" width="28" hidden="0" customWidth="1"/>
    <x:col min="10" max="10" width="66" hidden="0" customWidth="1"/>
  </x:cols>
  <x:sheetData>
    <x:row r="1" ht="30" customHeight="1">
      <x:c r="A1" s="264" t="str">
        <x:v>Phase 3 — Five-Year Associates &amp; Attributable-Earnings Bridge</x:v>
      </x:c>
      <x:c r="B1" s="264" t="str">
        <x:v>Phase 3 — Five-Year Associates &amp; Attributable-Earnings Bridge</x:v>
      </x:c>
      <x:c r="C1" s="264" t="str">
        <x:v>Phase 3 — Five-Year Associates &amp; Attributable-Earnings Bridge</x:v>
      </x:c>
      <x:c r="D1" s="264" t="str">
        <x:v>Phase 3 — Five-Year Associates &amp; Attributable-Earnings Bridge</x:v>
      </x:c>
      <x:c r="E1" s="264" t="str">
        <x:v>Phase 3 — Five-Year Associates &amp; Attributable-Earnings Bridge</x:v>
      </x:c>
      <x:c r="F1" s="264" t="str">
        <x:v>Phase 3 — Five-Year Associates &amp; Attributable-Earnings Bridge</x:v>
      </x:c>
      <x:c r="G1" s="264" t="str">
        <x:v>Phase 3 — Five-Year Associates &amp; Attributable-Earnings Bridge</x:v>
      </x:c>
      <x:c r="H1" s="264" t="str">
        <x:v>Phase 3 — Five-Year Associates &amp; Attributable-Earnings Bridge</x:v>
      </x:c>
      <x:c r="I1" s="264" t="str">
        <x:v>Phase 3 — Five-Year Associates &amp; Attributable-Earnings Bridge</x:v>
      </x:c>
      <x:c r="J1" s="264" t="str">
        <x:v>Phase 3 — Five-Year Associates &amp; Attributable-Earnings Bridge</x:v>
      </x:c>
    </x:row>
    <x:row r="2" ht="34" customHeight="1">
      <x:c r="A2" s="268" t="str">
        <x:v>Gemalink is equity-accounted. Its throughput is included in GMD system volume, while its profit enters through the associates/JV line rather than consolidated revenue.</x:v>
      </x:c>
      <x:c r="B2" s="268" t="str">
        <x:v>Gemalink is equity-accounted. Its throughput is included in GMD system volume, while its profit enters through the associates/JV line rather than consolidated revenue.</x:v>
      </x:c>
      <x:c r="C2" s="268" t="str">
        <x:v>Gemalink is equity-accounted. Its throughput is included in GMD system volume, while its profit enters through the associates/JV line rather than consolidated revenue.</x:v>
      </x:c>
      <x:c r="D2" s="268" t="str">
        <x:v>Gemalink is equity-accounted. Its throughput is included in GMD system volume, while its profit enters through the associates/JV line rather than consolidated revenue.</x:v>
      </x:c>
      <x:c r="E2" s="268" t="str">
        <x:v>Gemalink is equity-accounted. Its throughput is included in GMD system volume, while its profit enters through the associates/JV line rather than consolidated revenue.</x:v>
      </x:c>
      <x:c r="F2" s="268" t="str">
        <x:v>Gemalink is equity-accounted. Its throughput is included in GMD system volume, while its profit enters through the associates/JV line rather than consolidated revenue.</x:v>
      </x:c>
      <x:c r="G2" s="268" t="str">
        <x:v>Gemalink is equity-accounted. Its throughput is included in GMD system volume, while its profit enters through the associates/JV line rather than consolidated revenue.</x:v>
      </x:c>
      <x:c r="H2" s="268" t="str">
        <x:v>Gemalink is equity-accounted. Its throughput is included in GMD system volume, while its profit enters through the associates/JV line rather than consolidated revenue.</x:v>
      </x:c>
      <x:c r="I2" s="268" t="str">
        <x:v>Gemalink is equity-accounted. Its throughput is included in GMD system volume, while its profit enters through the associates/JV line rather than consolidated revenue.</x:v>
      </x:c>
      <x:c r="J2" s="268" t="str">
        <x:v>Gemalink is equity-accounted. Its throughput is included in GMD system volume, while its profit enters through the associates/JV line rather than consolidated revenue.</x:v>
      </x:c>
    </x:row>
    <x:row r="4" ht="21" customHeight="1">
      <x:c r="A4" s="286" t="str">
        <x:v>Share of profit from associates/JVs</x:v>
      </x:c>
      <x:c r="B4" s="286" t="str">
        <x:v>Share of profit from associates/JVs</x:v>
      </x:c>
      <x:c r="C4" s="286" t="str">
        <x:v>Share of profit from associates/JVs</x:v>
      </x:c>
      <x:c r="D4" s="286" t="str">
        <x:v>Share of profit from associates/JVs</x:v>
      </x:c>
      <x:c r="E4" s="286" t="str">
        <x:v>Share of profit from associates/JVs</x:v>
      </x:c>
      <x:c r="F4" s="286" t="str">
        <x:v>Share of profit from associates/JVs</x:v>
      </x:c>
      <x:c r="G4" s="286" t="str">
        <x:v>Share of profit from associates/JVs</x:v>
      </x:c>
      <x:c r="H4" s="286" t="str">
        <x:v>Share of profit from associates/JVs</x:v>
      </x:c>
      <x:c r="I4" s="286" t="str">
        <x:v>Share of profit from associates/JVs</x:v>
      </x:c>
      <x:c r="J4" s="286" t="str">
        <x:v>Share of profit from associates/JVs</x:v>
      </x:c>
    </x:row>
    <x:row r="5" ht="32" customHeight="1">
      <x:c r="A5" s="278" t="str">
        <x:v>Metric</x:v>
      </x:c>
      <x:c r="B5" s="278" t="str">
        <x:v>Unit</x:v>
      </x:c>
      <x:c r="C5" s="280" t="n">
        <x:v>44561</x:v>
      </x:c>
      <x:c r="D5" s="280" t="n">
        <x:v>44926</x:v>
      </x:c>
      <x:c r="E5" s="280" t="n">
        <x:v>45291</x:v>
      </x:c>
      <x:c r="F5" s="280" t="n">
        <x:v>45657</x:v>
      </x:c>
      <x:c r="G5" s="280" t="n">
        <x:v>46022</x:v>
      </x:c>
      <x:c r="H5" s="278" t="str">
        <x:v>Source ID</x:v>
      </x:c>
      <x:c r="I5" s="278" t="str">
        <x:v>Data class</x:v>
      </x:c>
      <x:c r="J5" s="278" t="str">
        <x:v>Audit note</x:v>
      </x:c>
    </x:row>
    <x:row r="6" ht="32" customHeight="1">
      <x:c r="A6" s="299" t="str">
        <x:v>Total associates/JV profit</x:v>
      </x:c>
      <x:c r="B6" s="300" t="str">
        <x:v>VND bn</x:v>
      </x:c>
      <x:c r="C6" s="301" t="n">
        <x:f>'Raw GMD VNStock'!E30/'Raw GMD VNStock'!$B$3</x:f>
        <x:v>236.913674177</x:v>
      </x:c>
      <x:c r="D6" s="301" t="n">
        <x:f>'Raw GMD VNStock'!F30/'Raw GMD VNStock'!$B$3</x:f>
        <x:v>399.148325174</x:v>
      </x:c>
      <x:c r="E6" s="301" t="n">
        <x:f>'Raw GMD VNStock'!G30/'Raw GMD VNStock'!$B$3</x:f>
        <x:v>274.234816173</x:v>
      </x:c>
      <x:c r="F6" s="301" t="n">
        <x:f>'Raw GMD VNStock'!H30/'Raw GMD VNStock'!$B$3</x:f>
        <x:v>829.308422992</x:v>
      </x:c>
      <x:c r="G6" s="301" t="n">
        <x:f>'Raw GMD VNStock'!I30/'Raw GMD VNStock'!$B$3</x:f>
        <x:v>1157.659377947</x:v>
      </x:c>
      <x:c r="H6" s="300" t="str">
        <x:v>SRC-API01</x:v>
      </x:c>
      <x:c r="I6" s="300" t="str">
        <x:v>Linked API actual</x:v>
      </x:c>
      <x:c r="J6" s="326" t="str">
        <x:v>Audited gain/loss from joint ventures and associates.</x:v>
      </x:c>
    </x:row>
    <x:row r="7" ht="32" customHeight="1">
      <x:c r="A7" s="294" t="str">
        <x:v>Gemalink contribution</x:v>
      </x:c>
      <x:c r="B7" s="295" t="str">
        <x:v>VND bn</x:v>
      </x:c>
      <x:c r="C7" s="296" t="n">
        <x:f>'Raw GMD Disclosures'!D13</x:f>
        <x:v>-36.756742</x:v>
      </x:c>
      <x:c r="D7" s="296" t="n">
        <x:f>'Raw GMD Disclosures'!E13</x:f>
        <x:v>81.859516</x:v>
      </x:c>
      <x:c r="E7" s="296" t="n">
        <x:f>'Raw GMD Disclosures'!F13</x:f>
        <x:v>17.141</x:v>
      </x:c>
      <x:c r="F7" s="296" t="n">
        <x:f>'Raw GMD Disclosures'!G13</x:f>
        <x:v>548.777</x:v>
      </x:c>
      <x:c r="G7" s="296" t="n">
        <x:f>'Raw GMD Disclosures'!H13</x:f>
        <x:v>826.81</x:v>
      </x:c>
      <x:c r="H7" s="295" t="str">
        <x:v>SRC-G11 / SRC-G10 / SRC-G08 / SRC-G01</x:v>
      </x:c>
      <x:c r="I7" s="295" t="str">
        <x:v>Linked issuer actual</x:v>
      </x:c>
      <x:c r="J7" s="297" t="str">
        <x:v>Gemadept-Terminal Link Cai Mep Terminal JSC.</x:v>
      </x:c>
    </x:row>
    <x:row r="8" ht="32" customHeight="1">
      <x:c r="A8" s="294" t="str">
        <x:v>SCS contribution</x:v>
      </x:c>
      <x:c r="B8" s="295" t="str">
        <x:v>VND bn</x:v>
      </x:c>
      <x:c r="C8" s="296" t="n">
        <x:f>'Raw GMD Disclosures'!D14</x:f>
        <x:v>180.909405</x:v>
      </x:c>
      <x:c r="D8" s="296" t="n">
        <x:f>'Raw GMD Disclosures'!E14</x:f>
        <x:v>211.566909</x:v>
      </x:c>
      <x:c r="E8" s="296" t="n">
        <x:f>'Raw GMD Disclosures'!F14</x:f>
        <x:v>168.976</x:v>
      </x:c>
      <x:c r="F8" s="296" t="n">
        <x:f>'Raw GMD Disclosures'!G14</x:f>
        <x:v>236.26</x:v>
      </x:c>
      <x:c r="G8" s="296" t="n">
        <x:f>'Raw GMD Disclosures'!H14</x:f>
        <x:v>258.588</x:v>
      </x:c>
      <x:c r="H8" s="295" t="str">
        <x:v>SRC-G11 / SRC-G10 / SRC-G08 / SRC-G01</x:v>
      </x:c>
      <x:c r="I8" s="295" t="str">
        <x:v>Linked issuer actual</x:v>
      </x:c>
      <x:c r="J8" s="297" t="str">
        <x:v>Saigon Cargo Service Corporation.</x:v>
      </x:c>
    </x:row>
    <x:row r="9" ht="32" customHeight="1">
      <x:c r="A9" s="294" t="str">
        <x:v>CJ Gemadept Logistics contribution</x:v>
      </x:c>
      <x:c r="B9" s="295" t="str">
        <x:v>VND bn</x:v>
      </x:c>
      <x:c r="C9" s="296" t="n">
        <x:f>'Raw GMD Disclosures'!D15</x:f>
        <x:v>44.635167</x:v>
      </x:c>
      <x:c r="D9" s="296" t="n">
        <x:f>'Raw GMD Disclosures'!E15</x:f>
        <x:v>51.081193</x:v>
      </x:c>
      <x:c r="E9" s="296" t="n">
        <x:f>'Raw GMD Disclosures'!F15</x:f>
        <x:v>54.838</x:v>
      </x:c>
      <x:c r="F9" s="296" t="n">
        <x:f>'Raw GMD Disclosures'!G15</x:f>
        <x:v>34.036</x:v>
      </x:c>
      <x:c r="G9" s="296" t="n">
        <x:f>'Raw GMD Disclosures'!H15</x:f>
        <x:v>46.182</x:v>
      </x:c>
      <x:c r="H9" s="295" t="str">
        <x:v>SRC-G11 / SRC-G10 / SRC-G08 / SRC-G01</x:v>
      </x:c>
      <x:c r="I9" s="295" t="str">
        <x:v>Linked issuer actual</x:v>
      </x:c>
      <x:c r="J9" s="297" t="str">
        <x:v>CJ Gemadept Logistics Holdings.</x:v>
      </x:c>
    </x:row>
    <x:row r="10" ht="32" customHeight="1">
      <x:c r="A10" s="294" t="str">
        <x:v>Other associates/JVs</x:v>
      </x:c>
      <x:c r="B10" s="295" t="str">
        <x:v>VND bn</x:v>
      </x:c>
      <x:c r="C10" s="296" t="n">
        <x:f>C6-SUM(C7:C9)</x:f>
        <x:v>48.125844177000005</x:v>
      </x:c>
      <x:c r="D10" s="296" t="n">
        <x:f>D6-SUM(D7:D9)</x:f>
        <x:v>54.640707174</x:v>
      </x:c>
      <x:c r="E10" s="296" t="n">
        <x:f>E6-SUM(E7:E9)</x:f>
        <x:v>33.27981617300003</x:v>
      </x:c>
      <x:c r="F10" s="296" t="n">
        <x:f>F6-SUM(F7:F9)</x:f>
        <x:v>10.23542299199994</x:v>
      </x:c>
      <x:c r="G10" s="296" t="n">
        <x:f>G6-SUM(G7:G9)</x:f>
        <x:v>26.07937794700001</x:v>
      </x:c>
      <x:c r="H10" s="295" t="str">
        <x:v>Model formula</x:v>
      </x:c>
      <x:c r="I10" s="295" t="str">
        <x:v>Model output</x:v>
      </x:c>
      <x:c r="J10" s="297" t="str">
        <x:v>Residual to the audited/API total.</x:v>
      </x:c>
    </x:row>
    <x:row r="11" ht="32" customHeight="1">
      <x:c r="A11" s="294" t="str">
        <x:v>Gemalink share of associate earnings</x:v>
      </x:c>
      <x:c r="B11" s="295" t="str">
        <x:v>%</x:v>
      </x:c>
      <x:c r="C11" s="298" t="n">
        <x:f>C7/C6</x:f>
        <x:v>-0.15514825021260176</x:v>
      </x:c>
      <x:c r="D11" s="298" t="n">
        <x:f>D7/D6</x:f>
        <x:v>0.2050854552986415</x:v>
      </x:c>
      <x:c r="E11" s="298" t="n">
        <x:f>E7/E6</x:f>
        <x:v>0.0625048279398144</x:v>
      </x:c>
      <x:c r="F11" s="298" t="n">
        <x:f>F7/F6</x:f>
        <x:v>0.6617284773499688</x:v>
      </x:c>
      <x:c r="G11" s="298" t="n">
        <x:f>G7/G6</x:f>
        <x:v>0.7142083550225885</x:v>
      </x:c>
      <x:c r="H11" s="295" t="str">
        <x:v>Model formula</x:v>
      </x:c>
      <x:c r="I11" s="295" t="str">
        <x:v>Model output</x:v>
      </x:c>
      <x:c r="J11" s="297" t="str">
        <x:v>Concentration metric; negative in 2021 because Gemalink contributed a loss.</x:v>
      </x:c>
    </x:row>
    <x:row r="12" ht="32" customHeight="1">
      <x:c r="A12" s="294" t="str">
        <x:v>Associates / issuer core PBT</x:v>
      </x:c>
      <x:c r="B12" s="295" t="str">
        <x:v>%</x:v>
      </x:c>
      <x:c r="C12" s="298" t="n">
        <x:f>C6/'P3 Historical IS'!C25</x:f>
        <x:v>0.29386026774223156</x:v>
      </x:c>
      <x:c r="D12" s="298" t="n">
        <x:f>D6/'P3 Historical IS'!D25</x:f>
        <x:v>0.30504779230067297</x:v>
      </x:c>
      <x:c r="E12" s="298" t="n">
        <x:f>E6/'P3 Historical IS'!E25</x:f>
        <x:v>0.20982005828079572</x:v>
      </x:c>
      <x:c r="F12" s="298" t="n">
        <x:f>F6/'P3 Historical IS'!F25</x:f>
        <x:v>0.4656420117866367</x:v>
      </x:c>
      <x:c r="G12" s="298" t="n">
        <x:f>G6/'P3 Historical IS'!G25</x:f>
        <x:v>0.4592379318164237</x:v>
      </x:c>
      <x:c r="H12" s="295" t="str">
        <x:v>Model formula</x:v>
      </x:c>
      <x:c r="I12" s="295" t="str">
        <x:v>Model output</x:v>
      </x:c>
      <x:c r="J12" s="297" t="str">
        <x:v>Economic exposure outside consolidated revenue.</x:v>
      </x:c>
    </x:row>
    <x:row r="13" ht="32" customHeight="1">
      <x:c r="A13" s="302" t="str">
        <x:v>Associates / reported PBT</x:v>
      </x:c>
      <x:c r="B13" s="303" t="str">
        <x:v>%</x:v>
      </x:c>
      <x:c r="C13" s="304" t="n">
        <x:f>C6/'P3 Historical IS'!C23</x:f>
        <x:v>0.29386021123968076</x:v>
      </x:c>
      <x:c r="D13" s="304" t="n">
        <x:f>D6/'P3 Historical IS'!D23</x:f>
        <x:v>0.30504780400272263</x:v>
      </x:c>
      <x:c r="E13" s="304" t="n">
        <x:f>E6/'P3 Historical IS'!E23</x:f>
        <x:v>0.08712817483270466</x:v>
      </x:c>
      <x:c r="F13" s="304" t="n">
        <x:f>F6/'P3 Historical IS'!F23</x:f>
        <x:v>0.39517404573537124</x:v>
      </x:c>
      <x:c r="G13" s="304" t="n">
        <x:f>G6/'P3 Historical IS'!G23</x:f>
        <x:v>0.4592379051110272</x:v>
      </x:c>
      <x:c r="H13" s="303" t="str">
        <x:v>Model formula</x:v>
      </x:c>
      <x:c r="I13" s="303" t="str">
        <x:v>Model output</x:v>
      </x:c>
      <x:c r="J13" s="327" t="str">
        <x:v>2023 denominator includes the capital-transfer gain.</x:v>
      </x:c>
    </x:row>
    <x:row r="15" ht="21" customHeight="1">
      <x:c r="A15" s="286" t="str">
        <x:v>Carrying value and cash-realization context</x:v>
      </x:c>
      <x:c r="B15" s="286" t="str">
        <x:v>Carrying value and cash-realization context</x:v>
      </x:c>
      <x:c r="C15" s="286" t="str">
        <x:v>Carrying value and cash-realization context</x:v>
      </x:c>
      <x:c r="D15" s="286" t="str">
        <x:v>Carrying value and cash-realization context</x:v>
      </x:c>
      <x:c r="E15" s="286" t="str">
        <x:v>Carrying value and cash-realization context</x:v>
      </x:c>
      <x:c r="F15" s="286" t="str">
        <x:v>Carrying value and cash-realization context</x:v>
      </x:c>
      <x:c r="G15" s="286" t="str">
        <x:v>Carrying value and cash-realization context</x:v>
      </x:c>
      <x:c r="H15" s="286" t="str">
        <x:v>Carrying value and cash-realization context</x:v>
      </x:c>
      <x:c r="I15" s="286" t="str">
        <x:v>Carrying value and cash-realization context</x:v>
      </x:c>
      <x:c r="J15" s="286" t="str">
        <x:v>Carrying value and cash-realization context</x:v>
      </x:c>
    </x:row>
    <x:row r="16" ht="32" customHeight="1">
      <x:c r="A16" s="278" t="str">
        <x:v>Metric</x:v>
      </x:c>
      <x:c r="B16" s="278" t="str">
        <x:v>Unit</x:v>
      </x:c>
      <x:c r="C16" s="280" t="n">
        <x:v>44561</x:v>
      </x:c>
      <x:c r="D16" s="280" t="n">
        <x:v>44926</x:v>
      </x:c>
      <x:c r="E16" s="280" t="n">
        <x:v>45291</x:v>
      </x:c>
      <x:c r="F16" s="280" t="n">
        <x:v>45657</x:v>
      </x:c>
      <x:c r="G16" s="280" t="n">
        <x:v>46022</x:v>
      </x:c>
      <x:c r="H16" s="278" t="str">
        <x:v>Source ID</x:v>
      </x:c>
      <x:c r="I16" s="278" t="str">
        <x:v>Data class</x:v>
      </x:c>
      <x:c r="J16" s="278" t="str">
        <x:v>Audit note</x:v>
      </x:c>
    </x:row>
    <x:row r="17" ht="33" customHeight="1">
      <x:c r="A17" s="85" t="str">
        <x:v>Gemalink ending carrying value</x:v>
      </x:c>
      <x:c r="B17" s="86" t="str">
        <x:v>VND bn</x:v>
      </x:c>
      <x:c r="C17" s="287" t="n">
        <x:f>'Raw GMD Disclosures'!D16</x:f>
        <x:v>1479.375185</x:v>
      </x:c>
      <x:c r="D17" s="287" t="n">
        <x:f>'Raw GMD Disclosures'!E16</x:f>
        <x:v>1561.234701</x:v>
      </x:c>
      <x:c r="E17" s="287" t="n">
        <x:f>'Raw GMD Disclosures'!F16</x:f>
        <x:v>1578.376</x:v>
      </x:c>
      <x:c r="F17" s="287" t="n">
        <x:f>'Raw GMD Disclosures'!G16</x:f>
        <x:v>2127.153</x:v>
      </x:c>
      <x:c r="G17" s="287" t="n">
        <x:f>'Raw GMD Disclosures'!H16</x:f>
        <x:v>2953.963</x:v>
      </x:c>
      <x:c r="H17" s="86" t="str">
        <x:v>SRC-G11 / SRC-G10 / SRC-G08 / SRC-G01</x:v>
      </x:c>
      <x:c r="I17" s="86" t="str">
        <x:v>Linked issuer actual</x:v>
      </x:c>
      <x:c r="J17" s="87" t="str">
        <x:v>Equity-accounted ownership value.</x:v>
      </x:c>
    </x:row>
    <x:row r="18" ht="33" customHeight="1">
      <x:c r="A18" s="88" t="str">
        <x:v>SCS ending carrying value</x:v>
      </x:c>
      <x:c r="B18" s="89" t="str">
        <x:v>VND bn</x:v>
      </x:c>
      <x:c r="C18" s="288" t="n">
        <x:f>'Raw GMD Disclosures'!D17</x:f>
        <x:v>586.553348</x:v>
      </x:c>
      <x:c r="D18" s="288" t="n">
        <x:f>'Raw GMD Disclosures'!E17</x:f>
        <x:v>645.644165</x:v>
      </x:c>
      <x:c r="E18" s="288" t="n">
        <x:f>'Raw GMD Disclosures'!F17</x:f>
        <x:v>609.058</x:v>
      </x:c>
      <x:c r="F18" s="288" t="n">
        <x:f>'Raw GMD Disclosures'!G17</x:f>
        <x:v>625.168</x:v>
      </x:c>
      <x:c r="G18" s="288" t="n">
        <x:f>'Raw GMD Disclosures'!H17</x:f>
        <x:v>682.798</x:v>
      </x:c>
      <x:c r="H18" s="89" t="str">
        <x:v>SRC-G11 / SRC-G10 / SRC-G08 / SRC-G01</x:v>
      </x:c>
      <x:c r="I18" s="89" t="str">
        <x:v>Linked issuer actual</x:v>
      </x:c>
      <x:c r="J18" s="90" t="str">
        <x:v>Equity-accounted ownership value.</x:v>
      </x:c>
    </x:row>
    <x:row r="19" ht="33" customHeight="1">
      <x:c r="A19" s="88" t="str">
        <x:v>Interest, dividends and profits received</x:v>
      </x:c>
      <x:c r="B19" s="89" t="str">
        <x:v>VND bn</x:v>
      </x:c>
      <x:c r="C19" s="288" t="n">
        <x:f>'Raw GMD VNStock'!E177/'Raw GMD VNStock'!$B$3</x:f>
        <x:v>123.137777361</x:v>
      </x:c>
      <x:c r="D19" s="288" t="n">
        <x:f>'Raw GMD VNStock'!F177/'Raw GMD VNStock'!$B$3</x:f>
        <x:v>173.845190285</x:v>
      </x:c>
      <x:c r="E19" s="288" t="n">
        <x:f>'Raw GMD VNStock'!G177/'Raw GMD VNStock'!$B$3</x:f>
        <x:v>201.732982296</x:v>
      </x:c>
      <x:c r="F19" s="288" t="n">
        <x:f>'Raw GMD VNStock'!H177/'Raw GMD VNStock'!$B$3</x:f>
        <x:v>289.331414995</x:v>
      </x:c>
      <x:c r="G19" s="288" t="n">
        <x:f>'Raw GMD VNStock'!I177/'Raw GMD VNStock'!$B$3</x:f>
        <x:v>420.596164185</x:v>
      </x:c>
      <x:c r="H19" s="89" t="str">
        <x:v>SRC-API01</x:v>
      </x:c>
      <x:c r="I19" s="89" t="str">
        <x:v>Linked API cash flow</x:v>
      </x:c>
      <x:c r="J19" s="90" t="str">
        <x:v>Broader investing-cash-flow line; not equal to associate dividends alone.</x:v>
      </x:c>
    </x:row>
    <x:row r="20" ht="33" customHeight="1">
      <x:c r="A20" s="91" t="str">
        <x:v>Cash receipt / associate earnings</x:v>
      </x:c>
      <x:c r="B20" s="92" t="str">
        <x:v>%</x:v>
      </x:c>
      <x:c r="C20" s="110" t="n">
        <x:f>C19/C6</x:f>
        <x:v>0.5197579995699313</x:v>
      </x:c>
      <x:c r="D20" s="110" t="n">
        <x:f>D19/D6</x:f>
        <x:v>0.4355403225335243</x:v>
      </x:c>
      <x:c r="E20" s="110" t="n">
        <x:f>E19/E6</x:f>
        <x:v>0.7356213376230737</x:v>
      </x:c>
      <x:c r="F20" s="110" t="n">
        <x:f>F19/F6</x:f>
        <x:v>0.3488827642086918</x:v>
      </x:c>
      <x:c r="G20" s="110" t="n">
        <x:f>G19/G6</x:f>
        <x:v>0.3633159910395127</x:v>
      </x:c>
      <x:c r="H20" s="92" t="str">
        <x:v>Model formula</x:v>
      </x:c>
      <x:c r="I20" s="92" t="str">
        <x:v>Model proxy</x:v>
      </x:c>
      <x:c r="J20" s="93" t="str">
        <x:v>Directional only because numerator includes interest.</x:v>
      </x:c>
    </x:row>
    <x:row r="22" ht="25" customHeight="1">
      <x:c r="A22" s="342" t="str">
        <x:v>Why this matters for Phase 4: consolidated revenue alone misses Gemalink's economic contribution. Forecast consolidated ports, equity-accounted Gemalink/SCS earnings, NCI and cash distributions as separate analytical layers.</x:v>
      </x:c>
      <x:c r="B22" s="343" t="str">
        <x:v>Why this matters for Phase 4: consolidated revenue alone misses Gemalink's economic contribution. Forecast consolidated ports, equity-accounted Gemalink/SCS earnings, NCI and cash distributions as separate analytical layers.</x:v>
      </x:c>
      <x:c r="C22" s="343" t="str">
        <x:v>Why this matters for Phase 4: consolidated revenue alone misses Gemalink's economic contribution. Forecast consolidated ports, equity-accounted Gemalink/SCS earnings, NCI and cash distributions as separate analytical layers.</x:v>
      </x:c>
      <x:c r="D22" s="343" t="str">
        <x:v>Why this matters for Phase 4: consolidated revenue alone misses Gemalink's economic contribution. Forecast consolidated ports, equity-accounted Gemalink/SCS earnings, NCI and cash distributions as separate analytical layers.</x:v>
      </x:c>
      <x:c r="E22" s="343" t="str">
        <x:v>Why this matters for Phase 4: consolidated revenue alone misses Gemalink's economic contribution. Forecast consolidated ports, equity-accounted Gemalink/SCS earnings, NCI and cash distributions as separate analytical layers.</x:v>
      </x:c>
      <x:c r="F22" s="343" t="str">
        <x:v>Why this matters for Phase 4: consolidated revenue alone misses Gemalink's economic contribution. Forecast consolidated ports, equity-accounted Gemalink/SCS earnings, NCI and cash distributions as separate analytical layers.</x:v>
      </x:c>
      <x:c r="G22" s="343" t="str">
        <x:v>Why this matters for Phase 4: consolidated revenue alone misses Gemalink's economic contribution. Forecast consolidated ports, equity-accounted Gemalink/SCS earnings, NCI and cash distributions as separate analytical layers.</x:v>
      </x:c>
      <x:c r="H22" s="343" t="str">
        <x:v>Why this matters for Phase 4: consolidated revenue alone misses Gemalink's economic contribution. Forecast consolidated ports, equity-accounted Gemalink/SCS earnings, NCI and cash distributions as separate analytical layers.</x:v>
      </x:c>
      <x:c r="I22" s="343" t="str">
        <x:v>Why this matters for Phase 4: consolidated revenue alone misses Gemalink's economic contribution. Forecast consolidated ports, equity-accounted Gemalink/SCS earnings, NCI and cash distributions as separate analytical layers.</x:v>
      </x:c>
      <x:c r="J22" s="344" t="str">
        <x:v>Why this matters for Phase 4: consolidated revenue alone misses Gemalink's economic contribution. Forecast consolidated ports, equity-accounted Gemalink/SCS earnings, NCI and cash distributions as separate analytical layers.</x:v>
      </x:c>
    </x:row>
    <x:row r="23" ht="25" customHeight="1">
      <x:c r="A23" s="357" t="str">
        <x:v>Why this matters for Phase 4: consolidated revenue alone misses Gemalink's economic contribution. Forecast consolidated ports, equity-accounted Gemalink/SCS earnings, NCI and cash distributions as separate analytical layers.</x:v>
      </x:c>
      <x:c r="B23" s="358" t="str">
        <x:v>Why this matters for Phase 4: consolidated revenue alone misses Gemalink's economic contribution. Forecast consolidated ports, equity-accounted Gemalink/SCS earnings, NCI and cash distributions as separate analytical layers.</x:v>
      </x:c>
      <x:c r="C23" s="358" t="str">
        <x:v>Why this matters for Phase 4: consolidated revenue alone misses Gemalink's economic contribution. Forecast consolidated ports, equity-accounted Gemalink/SCS earnings, NCI and cash distributions as separate analytical layers.</x:v>
      </x:c>
      <x:c r="D23" s="358" t="str">
        <x:v>Why this matters for Phase 4: consolidated revenue alone misses Gemalink's economic contribution. Forecast consolidated ports, equity-accounted Gemalink/SCS earnings, NCI and cash distributions as separate analytical layers.</x:v>
      </x:c>
      <x:c r="E23" s="358" t="str">
        <x:v>Why this matters for Phase 4: consolidated revenue alone misses Gemalink's economic contribution. Forecast consolidated ports, equity-accounted Gemalink/SCS earnings, NCI and cash distributions as separate analytical layers.</x:v>
      </x:c>
      <x:c r="F23" s="358" t="str">
        <x:v>Why this matters for Phase 4: consolidated revenue alone misses Gemalink's economic contribution. Forecast consolidated ports, equity-accounted Gemalink/SCS earnings, NCI and cash distributions as separate analytical layers.</x:v>
      </x:c>
      <x:c r="G23" s="358" t="str">
        <x:v>Why this matters for Phase 4: consolidated revenue alone misses Gemalink's economic contribution. Forecast consolidated ports, equity-accounted Gemalink/SCS earnings, NCI and cash distributions as separate analytical layers.</x:v>
      </x:c>
      <x:c r="H23" s="358" t="str">
        <x:v>Why this matters for Phase 4: consolidated revenue alone misses Gemalink's economic contribution. Forecast consolidated ports, equity-accounted Gemalink/SCS earnings, NCI and cash distributions as separate analytical layers.</x:v>
      </x:c>
      <x:c r="I23" s="358" t="str">
        <x:v>Why this matters for Phase 4: consolidated revenue alone misses Gemalink's economic contribution. Forecast consolidated ports, equity-accounted Gemalink/SCS earnings, NCI and cash distributions as separate analytical layers.</x:v>
      </x:c>
      <x:c r="J23" s="359" t="str">
        <x:v>Why this matters for Phase 4: consolidated revenue alone misses Gemalink's economic contribution. Forecast consolidated ports, equity-accounted Gemalink/SCS earnings, NCI and cash distributions as separate analytical layers.</x:v>
      </x:c>
    </x:row>
    <x:row r="24" ht="25" customHeight="1">
      <x:c r="A24" s="345" t="str">
        <x:v>Why this matters for Phase 4: consolidated revenue alone misses Gemalink's economic contribution. Forecast consolidated ports, equity-accounted Gemalink/SCS earnings, NCI and cash distributions as separate analytical layers.</x:v>
      </x:c>
      <x:c r="B24" s="346" t="str">
        <x:v>Why this matters for Phase 4: consolidated revenue alone misses Gemalink's economic contribution. Forecast consolidated ports, equity-accounted Gemalink/SCS earnings, NCI and cash distributions as separate analytical layers.</x:v>
      </x:c>
      <x:c r="C24" s="346" t="str">
        <x:v>Why this matters for Phase 4: consolidated revenue alone misses Gemalink's economic contribution. Forecast consolidated ports, equity-accounted Gemalink/SCS earnings, NCI and cash distributions as separate analytical layers.</x:v>
      </x:c>
      <x:c r="D24" s="346" t="str">
        <x:v>Why this matters for Phase 4: consolidated revenue alone misses Gemalink's economic contribution. Forecast consolidated ports, equity-accounted Gemalink/SCS earnings, NCI and cash distributions as separate analytical layers.</x:v>
      </x:c>
      <x:c r="E24" s="346" t="str">
        <x:v>Why this matters for Phase 4: consolidated revenue alone misses Gemalink's economic contribution. Forecast consolidated ports, equity-accounted Gemalink/SCS earnings, NCI and cash distributions as separate analytical layers.</x:v>
      </x:c>
      <x:c r="F24" s="346" t="str">
        <x:v>Why this matters for Phase 4: consolidated revenue alone misses Gemalink's economic contribution. Forecast consolidated ports, equity-accounted Gemalink/SCS earnings, NCI and cash distributions as separate analytical layers.</x:v>
      </x:c>
      <x:c r="G24" s="346" t="str">
        <x:v>Why this matters for Phase 4: consolidated revenue alone misses Gemalink's economic contribution. Forecast consolidated ports, equity-accounted Gemalink/SCS earnings, NCI and cash distributions as separate analytical layers.</x:v>
      </x:c>
      <x:c r="H24" s="346" t="str">
        <x:v>Why this matters for Phase 4: consolidated revenue alone misses Gemalink's economic contribution. Forecast consolidated ports, equity-accounted Gemalink/SCS earnings, NCI and cash distributions as separate analytical layers.</x:v>
      </x:c>
      <x:c r="I24" s="346" t="str">
        <x:v>Why this matters for Phase 4: consolidated revenue alone misses Gemalink's economic contribution. Forecast consolidated ports, equity-accounted Gemalink/SCS earnings, NCI and cash distributions as separate analytical layers.</x:v>
      </x:c>
      <x:c r="J24" s="347" t="str">
        <x:v>Why this matters for Phase 4: consolidated revenue alone misses Gemalink's economic contribution. Forecast consolidated ports, equity-accounted Gemalink/SCS earnings, NCI and cash distributions as separate analytical layers.</x:v>
      </x:c>
    </x:row>
  </x:sheetData>
  <x:mergeCells>
    <x:mergeCell ref="A1:J1"/>
    <x:mergeCell ref="A2:J2"/>
    <x:mergeCell ref="A4:J4"/>
    <x:mergeCell ref="A15:J15"/>
    <x:mergeCell ref="A22:J24"/>
  </x:mergeCells>
  <x:pageMargins left="0.7" right="0.7" top="0.75" bottom="0.75" header="0.3" footer="0.3"/>
  <x:legacyDrawing xmlns:r="http://schemas.openxmlformats.org/officeDocument/2006/relationships" r:id="R768bf764900042bc"/>
</x:worksheet>
</file>

<file path=xl/worksheets/sheet24.xml><?xml version="1.0" encoding="utf-8"?>
<x:worksheet xmlns:x="http://schemas.openxmlformats.org/spreadsheetml/2006/main">
  <x:sheetViews>
    <x:sheetView showGridLines="0" workbookViewId="0"/>
  </x:sheetViews>
  <x:sheetFormatPr defaultRowHeight="15"/>
  <x:cols>
    <x:col min="1" max="1" width="53" hidden="0" customWidth="1"/>
    <x:col min="2" max="2" width="15" hidden="0" customWidth="1"/>
    <x:col min="3" max="3" width="16" hidden="0" customWidth="1"/>
    <x:col min="4" max="4" width="16" hidden="0" customWidth="1"/>
    <x:col min="5" max="5" width="16" hidden="0" customWidth="1"/>
    <x:col min="6" max="6" width="16" hidden="0" customWidth="1"/>
    <x:col min="7" max="7" width="16" hidden="0" customWidth="1"/>
    <x:col min="8" max="8" width="34" hidden="0" customWidth="1"/>
    <x:col min="9" max="9" width="28" hidden="0" customWidth="1"/>
    <x:col min="10" max="10" width="70" hidden="0" customWidth="1"/>
  </x:cols>
  <x:sheetData>
    <x:row r="1" ht="30" customHeight="1">
      <x:c r="A1" s="264" t="str">
        <x:v>Phase 3 — Five-Year Cash Flow &amp; Reinvestment Bridge</x:v>
      </x:c>
      <x:c r="B1" s="264" t="str">
        <x:v>Phase 3 — Five-Year Cash Flow &amp; Reinvestment Bridge</x:v>
      </x:c>
      <x:c r="C1" s="264" t="str">
        <x:v>Phase 3 — Five-Year Cash Flow &amp; Reinvestment Bridge</x:v>
      </x:c>
      <x:c r="D1" s="264" t="str">
        <x:v>Phase 3 — Five-Year Cash Flow &amp; Reinvestment Bridge</x:v>
      </x:c>
      <x:c r="E1" s="264" t="str">
        <x:v>Phase 3 — Five-Year Cash Flow &amp; Reinvestment Bridge</x:v>
      </x:c>
      <x:c r="F1" s="264" t="str">
        <x:v>Phase 3 — Five-Year Cash Flow &amp; Reinvestment Bridge</x:v>
      </x:c>
      <x:c r="G1" s="264" t="str">
        <x:v>Phase 3 — Five-Year Cash Flow &amp; Reinvestment Bridge</x:v>
      </x:c>
      <x:c r="H1" s="264" t="str">
        <x:v>Phase 3 — Five-Year Cash Flow &amp; Reinvestment Bridge</x:v>
      </x:c>
      <x:c r="I1" s="264" t="str">
        <x:v>Phase 3 — Five-Year Cash Flow &amp; Reinvestment Bridge</x:v>
      </x:c>
      <x:c r="J1" s="264" t="str">
        <x:v>Phase 3 — Five-Year Cash Flow &amp; Reinvestment Bridge</x:v>
      </x:c>
    </x:row>
    <x:row r="2" ht="34" customHeight="1">
      <x:c r="A2" s="268" t="str">
        <x:v>VND bn. Historical FCF proxy is CFO less cash purchases of fixed assets and other long-term assets from the VNStock cash-flow statement. It is not valuation FCF.</x:v>
      </x:c>
      <x:c r="B2" s="268" t="str">
        <x:v>VND bn. Historical FCF proxy is CFO less cash purchases of fixed assets and other long-term assets from the VNStock cash-flow statement. It is not valuation FCF.</x:v>
      </x:c>
      <x:c r="C2" s="268" t="str">
        <x:v>VND bn. Historical FCF proxy is CFO less cash purchases of fixed assets and other long-term assets from the VNStock cash-flow statement. It is not valuation FCF.</x:v>
      </x:c>
      <x:c r="D2" s="268" t="str">
        <x:v>VND bn. Historical FCF proxy is CFO less cash purchases of fixed assets and other long-term assets from the VNStock cash-flow statement. It is not valuation FCF.</x:v>
      </x:c>
      <x:c r="E2" s="268" t="str">
        <x:v>VND bn. Historical FCF proxy is CFO less cash purchases of fixed assets and other long-term assets from the VNStock cash-flow statement. It is not valuation FCF.</x:v>
      </x:c>
      <x:c r="F2" s="268" t="str">
        <x:v>VND bn. Historical FCF proxy is CFO less cash purchases of fixed assets and other long-term assets from the VNStock cash-flow statement. It is not valuation FCF.</x:v>
      </x:c>
      <x:c r="G2" s="268" t="str">
        <x:v>VND bn. Historical FCF proxy is CFO less cash purchases of fixed assets and other long-term assets from the VNStock cash-flow statement. It is not valuation FCF.</x:v>
      </x:c>
      <x:c r="H2" s="268" t="str">
        <x:v>VND bn. Historical FCF proxy is CFO less cash purchases of fixed assets and other long-term assets from the VNStock cash-flow statement. It is not valuation FCF.</x:v>
      </x:c>
      <x:c r="I2" s="268" t="str">
        <x:v>VND bn. Historical FCF proxy is CFO less cash purchases of fixed assets and other long-term assets from the VNStock cash-flow statement. It is not valuation FCF.</x:v>
      </x:c>
      <x:c r="J2" s="268" t="str">
        <x:v>VND bn. Historical FCF proxy is CFO less cash purchases of fixed assets and other long-term assets from the VNStock cash-flow statement. It is not valuation FCF.</x:v>
      </x:c>
    </x:row>
    <x:row r="4" ht="21" customHeight="1">
      <x:c r="A4" s="286" t="str">
        <x:v>Cash generation and cash reinvestment</x:v>
      </x:c>
      <x:c r="B4" s="286" t="str">
        <x:v>Cash generation and cash reinvestment</x:v>
      </x:c>
      <x:c r="C4" s="286" t="str">
        <x:v>Cash generation and cash reinvestment</x:v>
      </x:c>
      <x:c r="D4" s="286" t="str">
        <x:v>Cash generation and cash reinvestment</x:v>
      </x:c>
      <x:c r="E4" s="286" t="str">
        <x:v>Cash generation and cash reinvestment</x:v>
      </x:c>
      <x:c r="F4" s="286" t="str">
        <x:v>Cash generation and cash reinvestment</x:v>
      </x:c>
      <x:c r="G4" s="286" t="str">
        <x:v>Cash generation and cash reinvestment</x:v>
      </x:c>
      <x:c r="H4" s="286" t="str">
        <x:v>Cash generation and cash reinvestment</x:v>
      </x:c>
      <x:c r="I4" s="286" t="str">
        <x:v>Cash generation and cash reinvestment</x:v>
      </x:c>
      <x:c r="J4" s="286" t="str">
        <x:v>Cash generation and cash reinvestment</x:v>
      </x:c>
    </x:row>
    <x:row r="5" ht="32" customHeight="1">
      <x:c r="A5" s="278" t="str">
        <x:v>Metric</x:v>
      </x:c>
      <x:c r="B5" s="278" t="str">
        <x:v>Unit</x:v>
      </x:c>
      <x:c r="C5" s="280" t="n">
        <x:v>44561</x:v>
      </x:c>
      <x:c r="D5" s="280" t="n">
        <x:v>44926</x:v>
      </x:c>
      <x:c r="E5" s="280" t="n">
        <x:v>45291</x:v>
      </x:c>
      <x:c r="F5" s="280" t="n">
        <x:v>45657</x:v>
      </x:c>
      <x:c r="G5" s="280" t="n">
        <x:v>46022</x:v>
      </x:c>
      <x:c r="H5" s="278" t="str">
        <x:v>Source ID</x:v>
      </x:c>
      <x:c r="I5" s="278" t="str">
        <x:v>Data class</x:v>
      </x:c>
      <x:c r="J5" s="278" t="str">
        <x:v>Audit note</x:v>
      </x:c>
    </x:row>
    <x:row r="6" ht="32" customHeight="1">
      <x:c r="A6" s="85" t="str">
        <x:v>Net cash flow from operating activities</x:v>
      </x:c>
      <x:c r="B6" s="86" t="str">
        <x:v>VND bn</x:v>
      </x:c>
      <x:c r="C6" s="287" t="n">
        <x:f>'Raw GMD VNStock'!E170/'Raw GMD VNStock'!$B$3</x:f>
        <x:v>964.817116119</x:v>
      </x:c>
      <x:c r="D6" s="287" t="n">
        <x:f>'Raw GMD VNStock'!F170/'Raw GMD VNStock'!$B$3</x:f>
        <x:v>2299.239828019</x:v>
      </x:c>
      <x:c r="E6" s="287" t="n">
        <x:f>'Raw GMD VNStock'!G170/'Raw GMD VNStock'!$B$3</x:f>
        <x:v>-2.870318244</x:v>
      </x:c>
      <x:c r="F6" s="287" t="n">
        <x:f>'Raw GMD VNStock'!H170/'Raw GMD VNStock'!$B$3</x:f>
        <x:v>1526.822551805</x:v>
      </x:c>
      <x:c r="G6" s="287" t="n">
        <x:f>'Raw GMD VNStock'!I170/'Raw GMD VNStock'!$B$3</x:f>
        <x:v>2142.022560788</x:v>
      </x:c>
      <x:c r="H6" s="86" t="str">
        <x:v>SRC-API01</x:v>
      </x:c>
      <x:c r="I6" s="86" t="str">
        <x:v>Linked API actual</x:v>
      </x:c>
      <x:c r="J6" s="87" t="str">
        <x:v>Audited net operating cash flow.</x:v>
      </x:c>
    </x:row>
    <x:row r="7" ht="32" customHeight="1">
      <x:c r="A7" s="88" t="str">
        <x:v>D&amp;A from cash flow statement</x:v>
      </x:c>
      <x:c r="B7" s="89" t="str">
        <x:v>VND bn</x:v>
      </x:c>
      <x:c r="C7" s="288" t="n">
        <x:f>'Raw GMD VNStock'!E154/'Raw GMD VNStock'!$B$3</x:f>
        <x:v>379.546125928</x:v>
      </x:c>
      <x:c r="D7" s="288" t="n">
        <x:f>'Raw GMD VNStock'!F154/'Raw GMD VNStock'!$B$3</x:f>
        <x:v>393.185025852</x:v>
      </x:c>
      <x:c r="E7" s="288" t="n">
        <x:f>'Raw GMD VNStock'!G154/'Raw GMD VNStock'!$B$3</x:f>
        <x:v>396.417877879</x:v>
      </x:c>
      <x:c r="F7" s="288" t="n">
        <x:f>'Raw GMD VNStock'!H154/'Raw GMD VNStock'!$B$3</x:f>
        <x:v>405.544194113</x:v>
      </x:c>
      <x:c r="G7" s="288" t="n">
        <x:f>'Raw GMD VNStock'!I154/'Raw GMD VNStock'!$B$3</x:f>
        <x:v>415.219036556</x:v>
      </x:c>
      <x:c r="H7" s="89" t="str">
        <x:v>SRC-API01</x:v>
      </x:c>
      <x:c r="I7" s="89" t="str">
        <x:v>Linked API actual</x:v>
      </x:c>
      <x:c r="J7" s="90" t="str">
        <x:v>Depreciation and amortization.</x:v>
      </x:c>
    </x:row>
    <x:row r="8" ht="32" customHeight="1">
      <x:c r="A8" s="88" t="str">
        <x:v>Cash purchases of fixed assets and other long-term assets</x:v>
      </x:c>
      <x:c r="B8" s="89" t="str">
        <x:v>VND bn</x:v>
      </x:c>
      <x:c r="C8" s="288" t="n">
        <x:f>-'Raw GMD VNStock'!E171/'Raw GMD VNStock'!$B$3</x:f>
        <x:v>586.166126553</x:v>
      </x:c>
      <x:c r="D8" s="288" t="n">
        <x:f>-'Raw GMD VNStock'!F171/'Raw GMD VNStock'!$B$3</x:f>
        <x:v>1365.689144155</x:v>
      </x:c>
      <x:c r="E8" s="288" t="n">
        <x:f>-'Raw GMD VNStock'!G171/'Raw GMD VNStock'!$B$3</x:f>
        <x:v>1177.219493538</x:v>
      </x:c>
      <x:c r="F8" s="288" t="n">
        <x:f>-'Raw GMD VNStock'!H171/'Raw GMD VNStock'!$B$3</x:f>
        <x:v>1479.931826076</x:v>
      </x:c>
      <x:c r="G8" s="288" t="n">
        <x:f>-'Raw GMD VNStock'!I171/'Raw GMD VNStock'!$B$3</x:f>
        <x:v>1676.123112351</x:v>
      </x:c>
      <x:c r="H8" s="89" t="str">
        <x:v>SRC-API01</x:v>
      </x:c>
      <x:c r="I8" s="89" t="str">
        <x:v>Linked API actual</x:v>
      </x:c>
      <x:c r="J8" s="90" t="str">
        <x:v>API cash-outflow sign is reversed for presentation.</x:v>
      </x:c>
    </x:row>
    <x:row r="9" ht="32" customHeight="1">
      <x:c r="A9" s="299" t="str">
        <x:v>Historical FCF proxy</x:v>
      </x:c>
      <x:c r="B9" s="300" t="str">
        <x:v>VND bn</x:v>
      </x:c>
      <x:c r="C9" s="301" t="n">
        <x:f>C6-C8</x:f>
        <x:v>378.650989566</x:v>
      </x:c>
      <x:c r="D9" s="301" t="n">
        <x:f>D6-D8</x:f>
        <x:v>933.5506838640001</x:v>
      </x:c>
      <x:c r="E9" s="301" t="n">
        <x:f>E6-E8</x:f>
        <x:v>-1180.089811782</x:v>
      </x:c>
      <x:c r="F9" s="301" t="n">
        <x:f>F6-F8</x:f>
        <x:v>46.890725728999996</x:v>
      </x:c>
      <x:c r="G9" s="301" t="n">
        <x:f>G6-G8</x:f>
        <x:v>465.8994484370003</x:v>
      </x:c>
      <x:c r="H9" s="300" t="str">
        <x:v>Model formula</x:v>
      </x:c>
      <x:c r="I9" s="300" t="str">
        <x:v>Model output</x:v>
      </x:c>
      <x:c r="J9" s="300" t="str">
        <x:v>CFO less cash purchases of fixed and other long-term assets.</x:v>
      </x:c>
    </x:row>
    <x:row r="10" ht="32" customHeight="1">
      <x:c r="A10" s="294" t="str">
        <x:v>CFO / PAT</x:v>
      </x:c>
      <x:c r="B10" s="295" t="str">
        <x:v>%</x:v>
      </x:c>
      <x:c r="C10" s="298" t="n">
        <x:f>C6/'P3 Historical IS'!C41</x:f>
        <x:v>1.3389789667742797</x:v>
      </x:c>
      <x:c r="D10" s="298" t="n">
        <x:f>D6/'P3 Historical IS'!D41</x:f>
        <x:v>1.9798950394044708</x:v>
      </x:c>
      <x:c r="E10" s="298" t="n">
        <x:f>E6/'P3 Historical IS'!E41</x:f>
        <x:v>-0.0011327516679060844</x:v>
      </x:c>
      <x:c r="F10" s="298" t="n">
        <x:f>F6/'P3 Historical IS'!F41</x:f>
        <x:v>0.7937386471511793</x:v>
      </x:c>
      <x:c r="G10" s="298" t="n">
        <x:f>G6/'P3 Historical IS'!G41</x:f>
        <x:v>0.9302935918891567</x:v>
      </x:c>
      <x:c r="H10" s="295" t="str">
        <x:v>Model formula</x:v>
      </x:c>
      <x:c r="I10" s="295" t="str">
        <x:v>Model output</x:v>
      </x:c>
      <x:c r="J10" s="295" t="str">
        <x:v>Cash-conversion metric.</x:v>
      </x:c>
    </x:row>
    <x:row r="11" ht="32" customHeight="1">
      <x:c r="A11" s="294" t="str">
        <x:v>Cash reinvestment / revenue</x:v>
      </x:c>
      <x:c r="B11" s="295" t="str">
        <x:v>%</x:v>
      </x:c>
      <x:c r="C11" s="298" t="n">
        <x:f>C8/'P3 Historical IS'!C6</x:f>
        <x:v>0.1828175543469946</x:v>
      </x:c>
      <x:c r="D11" s="298" t="n">
        <x:f>D8/'P3 Historical IS'!D6</x:f>
        <x:v>0.350334479136356</x:v>
      </x:c>
      <x:c r="E11" s="298" t="n">
        <x:f>E8/'P3 Historical IS'!E6</x:f>
        <x:v>0.30610313694837077</x:v>
      </x:c>
      <x:c r="F11" s="298" t="n">
        <x:f>F8/'P3 Historical IS'!F6</x:f>
        <x:v>0.3062757100075771</x:v>
      </x:c>
      <x:c r="G11" s="298" t="n">
        <x:f>G8/'P3 Historical IS'!G6</x:f>
        <x:v>0.2814163857213682</x:v>
      </x:c>
      <x:c r="H11" s="295" t="str">
        <x:v>Model formula</x:v>
      </x:c>
      <x:c r="I11" s="295" t="str">
        <x:v>Model output</x:v>
      </x:c>
      <x:c r="J11" s="295" t="str">
        <x:v>Cash purchases divided by consolidated revenue.</x:v>
      </x:c>
    </x:row>
    <x:row r="12" ht="32" customHeight="1">
      <x:c r="A12" s="302" t="str">
        <x:v>FCF proxy / core EBITDA proxy</x:v>
      </x:c>
      <x:c r="B12" s="303" t="str">
        <x:v>%</x:v>
      </x:c>
      <x:c r="C12" s="304" t="n">
        <x:f>C9/'P3 Historical IS'!C33</x:f>
        <x:v>0.29015155119377384</x:v>
      </x:c>
      <x:c r="D12" s="304" t="n">
        <x:f>D9/'P3 Historical IS'!D33</x:f>
        <x:v>0.5094632627268908</x:v>
      </x:c>
      <x:c r="E12" s="304" t="n">
        <x:f>E9/'P3 Historical IS'!E33</x:f>
        <x:v>-0.6419074957472556</x:v>
      </x:c>
      <x:c r="F12" s="304" t="n">
        <x:f>F9/'P3 Historical IS'!F33</x:f>
        <x:v>0.02015910867018883</x:v>
      </x:c>
      <x:c r="G12" s="304" t="n">
        <x:f>G9/'P3 Historical IS'!G33</x:f>
        <x:v>0.15282272356813117</x:v>
      </x:c>
      <x:c r="H12" s="303" t="str">
        <x:v>Model formula</x:v>
      </x:c>
      <x:c r="I12" s="303" t="str">
        <x:v>Model output</x:v>
      </x:c>
      <x:c r="J12" s="303" t="str">
        <x:v>Cash retained after investment.</x:v>
      </x:c>
    </x:row>
    <x:row r="14" ht="21" customHeight="1">
      <x:c r="A14" s="286" t="str">
        <x:v>CFO reconstruction from raw cash-flow components</x:v>
      </x:c>
      <x:c r="B14" s="286" t="str">
        <x:v>CFO reconstruction from raw cash-flow components</x:v>
      </x:c>
      <x:c r="C14" s="286" t="str">
        <x:v>CFO reconstruction from raw cash-flow components</x:v>
      </x:c>
      <x:c r="D14" s="286" t="str">
        <x:v>CFO reconstruction from raw cash-flow components</x:v>
      </x:c>
      <x:c r="E14" s="286" t="str">
        <x:v>CFO reconstruction from raw cash-flow components</x:v>
      </x:c>
      <x:c r="F14" s="286" t="str">
        <x:v>CFO reconstruction from raw cash-flow components</x:v>
      </x:c>
      <x:c r="G14" s="286" t="str">
        <x:v>CFO reconstruction from raw cash-flow components</x:v>
      </x:c>
      <x:c r="H14" s="286" t="str">
        <x:v>CFO reconstruction from raw cash-flow components</x:v>
      </x:c>
      <x:c r="I14" s="286" t="str">
        <x:v>CFO reconstruction from raw cash-flow components</x:v>
      </x:c>
      <x:c r="J14" s="286" t="str">
        <x:v>CFO reconstruction from raw cash-flow components</x:v>
      </x:c>
    </x:row>
    <x:row r="15" ht="32" customHeight="1">
      <x:c r="A15" s="278" t="str">
        <x:v>Metric</x:v>
      </x:c>
      <x:c r="B15" s="278" t="str">
        <x:v>Unit</x:v>
      </x:c>
      <x:c r="C15" s="280" t="n">
        <x:v>44561</x:v>
      </x:c>
      <x:c r="D15" s="280" t="n">
        <x:v>44926</x:v>
      </x:c>
      <x:c r="E15" s="280" t="n">
        <x:v>45291</x:v>
      </x:c>
      <x:c r="F15" s="280" t="n">
        <x:v>45657</x:v>
      </x:c>
      <x:c r="G15" s="280" t="n">
        <x:v>46022</x:v>
      </x:c>
      <x:c r="H15" s="278" t="str">
        <x:v>Source ID</x:v>
      </x:c>
      <x:c r="I15" s="278" t="str">
        <x:v>Data class</x:v>
      </x:c>
      <x:c r="J15" s="278" t="str">
        <x:v>Audit note</x:v>
      </x:c>
    </x:row>
    <x:row r="16" ht="29" customHeight="1">
      <x:c r="A16" s="85" t="str">
        <x:v>Reported PBT</x:v>
      </x:c>
      <x:c r="B16" s="86" t="str">
        <x:v>VND bn</x:v>
      </x:c>
      <x:c r="C16" s="287" t="n">
        <x:f>'Raw GMD VNStock'!E153/'Raw GMD VNStock'!$B$3</x:f>
        <x:v>806.212155016</x:v>
      </x:c>
      <x:c r="D16" s="287" t="n">
        <x:f>'Raw GMD VNStock'!F153/'Raw GMD VNStock'!$B$3</x:f>
        <x:v>1308.477949805</x:v>
      </x:c>
      <x:c r="E16" s="287" t="n">
        <x:f>'Raw GMD VNStock'!G153/'Raw GMD VNStock'!$B$3</x:f>
        <x:v>3147.487212943</x:v>
      </x:c>
      <x:c r="F16" s="287" t="n">
        <x:f>'Raw GMD VNStock'!H153/'Raw GMD VNStock'!$B$3</x:f>
        <x:v>2098.590309616</x:v>
      </x:c>
      <x:c r="G16" s="287" t="n">
        <x:f>'Raw GMD VNStock'!I153/'Raw GMD VNStock'!$B$3</x:f>
        <x:v>2520.82714659</x:v>
      </x:c>
      <x:c r="H16" s="86" t="str">
        <x:v>SRC-API01</x:v>
      </x:c>
      <x:c r="I16" s="86" t="str">
        <x:v>Linked API actual</x:v>
      </x:c>
      <x:c r="J16" s="87" t="str">
        <x:v>Cash-flow statement starting point.</x:v>
      </x:c>
    </x:row>
    <x:row r="17" ht="29" customHeight="1">
      <x:c r="A17" s="88" t="str">
        <x:v>D&amp;A adjustment</x:v>
      </x:c>
      <x:c r="B17" s="89" t="str">
        <x:v>VND bn</x:v>
      </x:c>
      <x:c r="C17" s="288" t="n">
        <x:f>'Raw GMD VNStock'!E154/'Raw GMD VNStock'!$B$3</x:f>
        <x:v>379.546125928</x:v>
      </x:c>
      <x:c r="D17" s="288" t="n">
        <x:f>'Raw GMD VNStock'!F154/'Raw GMD VNStock'!$B$3</x:f>
        <x:v>393.185025852</x:v>
      </x:c>
      <x:c r="E17" s="288" t="n">
        <x:f>'Raw GMD VNStock'!G154/'Raw GMD VNStock'!$B$3</x:f>
        <x:v>396.417877879</x:v>
      </x:c>
      <x:c r="F17" s="288" t="n">
        <x:f>'Raw GMD VNStock'!H154/'Raw GMD VNStock'!$B$3</x:f>
        <x:v>405.544194113</x:v>
      </x:c>
      <x:c r="G17" s="288" t="n">
        <x:f>'Raw GMD VNStock'!I154/'Raw GMD VNStock'!$B$3</x:f>
        <x:v>415.219036556</x:v>
      </x:c>
      <x:c r="H17" s="89" t="str">
        <x:v>SRC-API01</x:v>
      </x:c>
      <x:c r="I17" s="89" t="str">
        <x:v>Linked API actual</x:v>
      </x:c>
      <x:c r="J17" s="90" t="str">
        <x:v>Non-cash add-back.</x:v>
      </x:c>
    </x:row>
    <x:row r="18" ht="29" customHeight="1">
      <x:c r="A18" s="88" t="str">
        <x:v>Provisions and allowances</x:v>
      </x:c>
      <x:c r="B18" s="89" t="str">
        <x:v>VND bn</x:v>
      </x:c>
      <x:c r="C18" s="288" t="n">
        <x:f>'Raw GMD VNStock'!E155/'Raw GMD VNStock'!$B$3</x:f>
        <x:v>101.005425598</x:v>
      </x:c>
      <x:c r="D18" s="288" t="n">
        <x:f>'Raw GMD VNStock'!F155/'Raw GMD VNStock'!$B$3</x:f>
        <x:v>-26.270725784</x:v>
      </x:c>
      <x:c r="E18" s="288" t="n">
        <x:f>'Raw GMD VNStock'!G155/'Raw GMD VNStock'!$B$3</x:f>
        <x:v>-22.060823541</x:v>
      </x:c>
      <x:c r="F18" s="288" t="n">
        <x:f>'Raw GMD VNStock'!H155/'Raw GMD VNStock'!$B$3</x:f>
        <x:v>102.796790751</x:v>
      </x:c>
      <x:c r="G18" s="288" t="n">
        <x:f>'Raw GMD VNStock'!I155/'Raw GMD VNStock'!$B$3</x:f>
        <x:v>-14.128589765</x:v>
      </x:c>
      <x:c r="H18" s="89" t="str">
        <x:v>SRC-API01</x:v>
      </x:c>
      <x:c r="I18" s="89" t="str">
        <x:v>Linked API actual</x:v>
      </x:c>
      <x:c r="J18" s="90" t="str">
        <x:v>Signed cash-flow statement adjustment.</x:v>
      </x:c>
    </x:row>
    <x:row r="19" ht="29" customHeight="1">
      <x:c r="A19" s="88" t="str">
        <x:v>FX revaluation</x:v>
      </x:c>
      <x:c r="B19" s="89" t="str">
        <x:v>VND bn</x:v>
      </x:c>
      <x:c r="C19" s="288" t="n">
        <x:f>'Raw GMD VNStock'!E156/'Raw GMD VNStock'!$B$3</x:f>
        <x:v>-1.291611011</x:v>
      </x:c>
      <x:c r="D19" s="288" t="n">
        <x:f>'Raw GMD VNStock'!F156/'Raw GMD VNStock'!$B$3</x:f>
        <x:v>6.99639376</x:v>
      </x:c>
      <x:c r="E19" s="288" t="n">
        <x:f>'Raw GMD VNStock'!G156/'Raw GMD VNStock'!$B$3</x:f>
        <x:v>-2.630513181</x:v>
      </x:c>
      <x:c r="F19" s="288" t="n">
        <x:f>'Raw GMD VNStock'!H156/'Raw GMD VNStock'!$B$3</x:f>
        <x:v>-4.65838601</x:v>
      </x:c>
      <x:c r="G19" s="288" t="n">
        <x:f>'Raw GMD VNStock'!I156/'Raw GMD VNStock'!$B$3</x:f>
        <x:v>-10.877884553</x:v>
      </x:c>
      <x:c r="H19" s="89" t="str">
        <x:v>SRC-API01</x:v>
      </x:c>
      <x:c r="I19" s="89" t="str">
        <x:v>Linked API actual</x:v>
      </x:c>
      <x:c r="J19" s="90" t="str">
        <x:v>Signed cash-flow statement adjustment.</x:v>
      </x:c>
    </x:row>
    <x:row r="20" ht="29" customHeight="1">
      <x:c r="A20" s="88" t="str">
        <x:v>Profit/loss from liquidating fixed assets</x:v>
      </x:c>
      <x:c r="B20" s="89" t="str">
        <x:v>VND bn</x:v>
      </x:c>
      <x:c r="C20" s="288" t="n">
        <x:f>'Raw GMD VNStock'!E157/'Raw GMD VNStock'!$B$3</x:f>
        <x:v>0</x:v>
      </x:c>
      <x:c r="D20" s="288" t="n">
        <x:f>'Raw GMD VNStock'!F157/'Raw GMD VNStock'!$B$3</x:f>
        <x:v>0</x:v>
      </x:c>
      <x:c r="E20" s="288" t="n">
        <x:f>'Raw GMD VNStock'!G157/'Raw GMD VNStock'!$B$3</x:f>
        <x:v>0</x:v>
      </x:c>
      <x:c r="F20" s="288" t="n">
        <x:f>'Raw GMD VNStock'!H157/'Raw GMD VNStock'!$B$3</x:f>
        <x:v>0</x:v>
      </x:c>
      <x:c r="G20" s="288" t="n">
        <x:f>'Raw GMD VNStock'!I157/'Raw GMD VNStock'!$B$3</x:f>
        <x:v>0</x:v>
      </x:c>
      <x:c r="H20" s="89" t="str">
        <x:v>SRC-API01</x:v>
      </x:c>
      <x:c r="I20" s="89" t="str">
        <x:v>Linked API actual</x:v>
      </x:c>
      <x:c r="J20" s="90" t="str">
        <x:v>Signed cash-flow statement adjustment.</x:v>
      </x:c>
    </x:row>
    <x:row r="21" ht="29" customHeight="1">
      <x:c r="A21" s="88" t="str">
        <x:v>Profit/loss from investing activities</x:v>
      </x:c>
      <x:c r="B21" s="89" t="str">
        <x:v>VND bn</x:v>
      </x:c>
      <x:c r="C21" s="288" t="n">
        <x:f>'Raw GMD VNStock'!E158/'Raw GMD VNStock'!$B$3</x:f>
        <x:v>-193.556811497</x:v>
      </x:c>
      <x:c r="D21" s="288" t="n">
        <x:f>'Raw GMD VNStock'!F158/'Raw GMD VNStock'!$B$3</x:f>
        <x:v>-412.441183177</x:v>
      </x:c>
      <x:c r="E21" s="288" t="n">
        <x:f>'Raw GMD VNStock'!G158/'Raw GMD VNStock'!$B$3</x:f>
        <x:v>-2213.005870827</x:v>
      </x:c>
      <x:c r="F21" s="288" t="n">
        <x:f>'Raw GMD VNStock'!H158/'Raw GMD VNStock'!$B$3</x:f>
        <x:v>-823.434453484</x:v>
      </x:c>
      <x:c r="G21" s="288" t="n">
        <x:f>'Raw GMD VNStock'!I158/'Raw GMD VNStock'!$B$3</x:f>
        <x:v>-945.387787283</x:v>
      </x:c>
      <x:c r="H21" s="89" t="str">
        <x:v>SRC-API01</x:v>
      </x:c>
      <x:c r="I21" s="89" t="str">
        <x:v>Linked API actual</x:v>
      </x:c>
      <x:c r="J21" s="90" t="str">
        <x:v>Removes non-operating investing gains from CFO.</x:v>
      </x:c>
    </x:row>
    <x:row r="22" ht="29" customHeight="1">
      <x:c r="A22" s="88" t="str">
        <x:v>Interest expense adjustment</x:v>
      </x:c>
      <x:c r="B22" s="89" t="str">
        <x:v>VND bn</x:v>
      </x:c>
      <x:c r="C22" s="288" t="n">
        <x:f>'Raw GMD VNStock'!E159/'Raw GMD VNStock'!$B$3</x:f>
        <x:v>119.252955378</x:v>
      </x:c>
      <x:c r="D22" s="288" t="n">
        <x:f>'Raw GMD VNStock'!F159/'Raw GMD VNStock'!$B$3</x:f>
        <x:v>130.756997659</x:v>
      </x:c>
      <x:c r="E22" s="288" t="n">
        <x:f>'Raw GMD VNStock'!G159/'Raw GMD VNStock'!$B$3</x:f>
        <x:v>134.993138662</x:v>
      </x:c>
      <x:c r="F22" s="288" t="n">
        <x:f>'Raw GMD VNStock'!H159/'Raw GMD VNStock'!$B$3</x:f>
        <x:v>139.487501839</x:v>
      </x:c>
      <x:c r="G22" s="288" t="n">
        <x:f>'Raw GMD VNStock'!I159/'Raw GMD VNStock'!$B$3</x:f>
        <x:v>112.580748513</x:v>
      </x:c>
      <x:c r="H22" s="89" t="str">
        <x:v>SRC-API01</x:v>
      </x:c>
      <x:c r="I22" s="89" t="str">
        <x:v>Linked API actual</x:v>
      </x:c>
      <x:c r="J22" s="90" t="str">
        <x:v>Cash-flow statement adjustment.</x:v>
      </x:c>
    </x:row>
    <x:row r="23" ht="29" customHeight="1">
      <x:c r="A23" s="88" t="str">
        <x:v>Interest income and dividend adjustment</x:v>
      </x:c>
      <x:c r="B23" s="89" t="str">
        <x:v>VND bn</x:v>
      </x:c>
      <x:c r="C23" s="288" t="n">
        <x:f>'Raw GMD VNStock'!E160/'Raw GMD VNStock'!$B$3</x:f>
        <x:v>0</x:v>
      </x:c>
      <x:c r="D23" s="288" t="n">
        <x:f>'Raw GMD VNStock'!F160/'Raw GMD VNStock'!$B$3</x:f>
        <x:v>0</x:v>
      </x:c>
      <x:c r="E23" s="288" t="n">
        <x:f>'Raw GMD VNStock'!G160/'Raw GMD VNStock'!$B$3</x:f>
        <x:v>0</x:v>
      </x:c>
      <x:c r="F23" s="288" t="n">
        <x:f>'Raw GMD VNStock'!H160/'Raw GMD VNStock'!$B$3</x:f>
        <x:v>0</x:v>
      </x:c>
      <x:c r="G23" s="288" t="n">
        <x:f>'Raw GMD VNStock'!I160/'Raw GMD VNStock'!$B$3</x:f>
        <x:v>0</x:v>
      </x:c>
      <x:c r="H23" s="89" t="str">
        <x:v>SRC-API01</x:v>
      </x:c>
      <x:c r="I23" s="89" t="str">
        <x:v>Linked API actual</x:v>
      </x:c>
      <x:c r="J23" s="90" t="str">
        <x:v>Signed cash-flow statement adjustment.</x:v>
      </x:c>
    </x:row>
    <x:row r="24" ht="29" customHeight="1">
      <x:c r="A24" s="88" t="str">
        <x:v>Goodwill amortization</x:v>
      </x:c>
      <x:c r="B24" s="89" t="str">
        <x:v>VND bn</x:v>
      </x:c>
      <x:c r="C24" s="288" t="n">
        <x:f>'Raw GMD VNStock'!E191/'Raw GMD VNStock'!$B$3</x:f>
        <x:v>0</x:v>
      </x:c>
      <x:c r="D24" s="288" t="n">
        <x:f>'Raw GMD VNStock'!F191/'Raw GMD VNStock'!$B$3</x:f>
        <x:v>0</x:v>
      </x:c>
      <x:c r="E24" s="288" t="n">
        <x:f>'Raw GMD VNStock'!G191/'Raw GMD VNStock'!$B$3</x:f>
        <x:v>0</x:v>
      </x:c>
      <x:c r="F24" s="288" t="n">
        <x:f>'Raw GMD VNStock'!H191/'Raw GMD VNStock'!$B$3</x:f>
        <x:v>0</x:v>
      </x:c>
      <x:c r="G24" s="288" t="n">
        <x:f>'Raw GMD VNStock'!I191/'Raw GMD VNStock'!$B$3</x:f>
        <x:v>0</x:v>
      </x:c>
      <x:c r="H24" s="89" t="str">
        <x:v>SRC-API01</x:v>
      </x:c>
      <x:c r="I24" s="89" t="str">
        <x:v>Linked API actual</x:v>
      </x:c>
      <x:c r="J24" s="90" t="str">
        <x:v>Non-cash adjustment where disclosed.</x:v>
      </x:c>
    </x:row>
    <x:row r="25" ht="29" customHeight="1">
      <x:c r="A25" s="88" t="str">
        <x:v>Other adjustments</x:v>
      </x:c>
      <x:c r="B25" s="89" t="str">
        <x:v>VND bn</x:v>
      </x:c>
      <x:c r="C25" s="288" t="n">
        <x:f>'Raw GMD VNStock'!E192/'Raw GMD VNStock'!$B$3</x:f>
        <x:v>0</x:v>
      </x:c>
      <x:c r="D25" s="288" t="n">
        <x:f>'Raw GMD VNStock'!F192/'Raw GMD VNStock'!$B$3</x:f>
        <x:v>0</x:v>
      </x:c>
      <x:c r="E25" s="288" t="n">
        <x:f>'Raw GMD VNStock'!G192/'Raw GMD VNStock'!$B$3</x:f>
        <x:v>0</x:v>
      </x:c>
      <x:c r="F25" s="288" t="n">
        <x:f>'Raw GMD VNStock'!H192/'Raw GMD VNStock'!$B$3</x:f>
        <x:v>0</x:v>
      </x:c>
      <x:c r="G25" s="288" t="n">
        <x:f>'Raw GMD VNStock'!I192/'Raw GMD VNStock'!$B$3</x:f>
        <x:v>0</x:v>
      </x:c>
      <x:c r="H25" s="89" t="str">
        <x:v>SRC-API01</x:v>
      </x:c>
      <x:c r="I25" s="89" t="str">
        <x:v>Linked API actual</x:v>
      </x:c>
      <x:c r="J25" s="90" t="str">
        <x:v>Residual disclosed adjustment.</x:v>
      </x:c>
    </x:row>
    <x:row r="26" ht="29" customHeight="1">
      <x:c r="A26" s="299" t="str">
        <x:v>Calculated operating profit before working capital</x:v>
      </x:c>
      <x:c r="B26" s="300" t="str">
        <x:v>VND bn</x:v>
      </x:c>
      <x:c r="C26" s="301" t="n">
        <x:f>SUM(C16:C25)</x:f>
        <x:v>1211.1682394120003</x:v>
      </x:c>
      <x:c r="D26" s="301" t="n">
        <x:f>SUM(D16:D25)</x:f>
        <x:v>1400.704458115</x:v>
      </x:c>
      <x:c r="E26" s="301" t="n">
        <x:f>SUM(E16:E25)</x:f>
        <x:v>1441.2010219350004</x:v>
      </x:c>
      <x:c r="F26" s="301" t="n">
        <x:f>SUM(F16:F25)</x:f>
        <x:v>1918.3259568250005</x:v>
      </x:c>
      <x:c r="G26" s="301" t="n">
        <x:f>SUM(G16:G25)</x:f>
        <x:v>2078.232670058</x:v>
      </x:c>
      <x:c r="H26" s="300" t="str">
        <x:v>Model formula</x:v>
      </x:c>
      <x:c r="I26" s="300" t="str">
        <x:v>Model output</x:v>
      </x:c>
      <x:c r="J26" s="300" t="str">
        <x:v>Sum of PBT and cash-flow adjustments above.</x:v>
      </x:c>
    </x:row>
    <x:row r="27" ht="29" customHeight="1">
      <x:c r="A27" s="294" t="str">
        <x:v>Disclosed operating profit before working capital</x:v>
      </x:c>
      <x:c r="B27" s="295" t="str">
        <x:v>VND bn</x:v>
      </x:c>
      <x:c r="C27" s="296" t="n">
        <x:f>'Raw GMD VNStock'!E161/'Raw GMD VNStock'!$B$3</x:f>
        <x:v>1211.168239412</x:v>
      </x:c>
      <x:c r="D27" s="296" t="n">
        <x:f>'Raw GMD VNStock'!F161/'Raw GMD VNStock'!$B$3</x:f>
        <x:v>1400.704458115</x:v>
      </x:c>
      <x:c r="E27" s="296" t="n">
        <x:f>'Raw GMD VNStock'!G161/'Raw GMD VNStock'!$B$3</x:f>
        <x:v>1441.201021935</x:v>
      </x:c>
      <x:c r="F27" s="296" t="n">
        <x:f>'Raw GMD VNStock'!H161/'Raw GMD VNStock'!$B$3</x:f>
        <x:v>1918.325956825</x:v>
      </x:c>
      <x:c r="G27" s="296" t="n">
        <x:f>'Raw GMD VNStock'!I161/'Raw GMD VNStock'!$B$3</x:f>
        <x:v>2078.232670058</x:v>
      </x:c>
      <x:c r="H27" s="295" t="str">
        <x:v>SRC-API01</x:v>
      </x:c>
      <x:c r="I27" s="295" t="str">
        <x:v>Linked API actual</x:v>
      </x:c>
      <x:c r="J27" s="295" t="str">
        <x:v>Cash-flow statement subtotal.</x:v>
      </x:c>
    </x:row>
    <x:row r="28" ht="29" customHeight="1">
      <x:c r="A28" s="302" t="str">
        <x:v>Pre-working-capital bridge check</x:v>
      </x:c>
      <x:c r="B28" s="303" t="str">
        <x:v>VND bn</x:v>
      </x:c>
      <x:c r="C28" s="316" t="n">
        <x:f>C26-C27</x:f>
        <x:v>2.2737367544323206e-13</x:v>
      </x:c>
      <x:c r="D28" s="316" t="n">
        <x:f>D26-D27</x:f>
        <x:v>0</x:v>
      </x:c>
      <x:c r="E28" s="316" t="n">
        <x:f>E26-E27</x:f>
        <x:v>4.547473508864641e-13</x:v>
      </x:c>
      <x:c r="F28" s="316" t="n">
        <x:f>F26-F27</x:f>
        <x:v>4.547473508864641e-13</x:v>
      </x:c>
      <x:c r="G28" s="316" t="n">
        <x:f>G26-G27</x:f>
        <x:v>0</x:v>
      </x:c>
      <x:c r="H28" s="303" t="str">
        <x:v>Model formula</x:v>
      </x:c>
      <x:c r="I28" s="303" t="str">
        <x:v>Check</x:v>
      </x:c>
      <x:c r="J28" s="303" t="str">
        <x:v>Calculated subtotal less disclosed subtotal.</x:v>
      </x:c>
    </x:row>
    <x:row r="30" ht="21" customHeight="1">
      <x:c r="A30" s="286" t="str">
        <x:v>Working capital, cash interest, tax and other operating flows</x:v>
      </x:c>
      <x:c r="B30" s="286" t="str">
        <x:v>Working capital, cash interest, tax and other operating flows</x:v>
      </x:c>
      <x:c r="C30" s="286" t="str">
        <x:v>Working capital, cash interest, tax and other operating flows</x:v>
      </x:c>
      <x:c r="D30" s="286" t="str">
        <x:v>Working capital, cash interest, tax and other operating flows</x:v>
      </x:c>
      <x:c r="E30" s="286" t="str">
        <x:v>Working capital, cash interest, tax and other operating flows</x:v>
      </x:c>
      <x:c r="F30" s="286" t="str">
        <x:v>Working capital, cash interest, tax and other operating flows</x:v>
      </x:c>
      <x:c r="G30" s="286" t="str">
        <x:v>Working capital, cash interest, tax and other operating flows</x:v>
      </x:c>
      <x:c r="H30" s="286" t="str">
        <x:v>Working capital, cash interest, tax and other operating flows</x:v>
      </x:c>
      <x:c r="I30" s="286" t="str">
        <x:v>Working capital, cash interest, tax and other operating flows</x:v>
      </x:c>
      <x:c r="J30" s="286" t="str">
        <x:v>Working capital, cash interest, tax and other operating flows</x:v>
      </x:c>
    </x:row>
    <x:row r="31" ht="32" customHeight="1">
      <x:c r="A31" s="278" t="str">
        <x:v>Metric</x:v>
      </x:c>
      <x:c r="B31" s="278" t="str">
        <x:v>Unit</x:v>
      </x:c>
      <x:c r="C31" s="280" t="n">
        <x:v>44561</x:v>
      </x:c>
      <x:c r="D31" s="280" t="n">
        <x:v>44926</x:v>
      </x:c>
      <x:c r="E31" s="280" t="n">
        <x:v>45291</x:v>
      </x:c>
      <x:c r="F31" s="280" t="n">
        <x:v>45657</x:v>
      </x:c>
      <x:c r="G31" s="280" t="n">
        <x:v>46022</x:v>
      </x:c>
      <x:c r="H31" s="278" t="str">
        <x:v>Source ID</x:v>
      </x:c>
      <x:c r="I31" s="278" t="str">
        <x:v>Data class</x:v>
      </x:c>
      <x:c r="J31" s="278" t="str">
        <x:v>Audit note</x:v>
      </x:c>
    </x:row>
    <x:row r="32" ht="29" customHeight="1">
      <x:c r="A32" s="85" t="str">
        <x:v>Receivables cash impact</x:v>
      </x:c>
      <x:c r="B32" s="86" t="str">
        <x:v>VND bn</x:v>
      </x:c>
      <x:c r="C32" s="287" t="n">
        <x:f>'Raw GMD VNStock'!E162/'Raw GMD VNStock'!$B$3</x:f>
        <x:v>6.115164743</x:v>
      </x:c>
      <x:c r="D32" s="287" t="n">
        <x:f>'Raw GMD VNStock'!F162/'Raw GMD VNStock'!$B$3</x:f>
        <x:v>-185.782265127</x:v>
      </x:c>
      <x:c r="E32" s="287" t="n">
        <x:f>'Raw GMD VNStock'!G162/'Raw GMD VNStock'!$B$3</x:f>
        <x:v>383.528564483</x:v>
      </x:c>
      <x:c r="F32" s="287" t="n">
        <x:f>'Raw GMD VNStock'!H162/'Raw GMD VNStock'!$B$3</x:f>
        <x:v>151.701348565</x:v>
      </x:c>
      <x:c r="G32" s="287" t="n">
        <x:f>'Raw GMD VNStock'!I162/'Raw GMD VNStock'!$B$3</x:f>
        <x:v>344.753071999</x:v>
      </x:c>
      <x:c r="H32" s="86" t="str">
        <x:v>SRC-API01</x:v>
      </x:c>
      <x:c r="I32" s="86" t="str">
        <x:v>Linked API actual</x:v>
      </x:c>
      <x:c r="J32" s="87" t="str">
        <x:v>Signed cash-flow statement value.</x:v>
      </x:c>
    </x:row>
    <x:row r="33" ht="29" customHeight="1">
      <x:c r="A33" s="88" t="str">
        <x:v>Inventory cash impact</x:v>
      </x:c>
      <x:c r="B33" s="89" t="str">
        <x:v>VND bn</x:v>
      </x:c>
      <x:c r="C33" s="288" t="n">
        <x:f>'Raw GMD VNStock'!E163/'Raw GMD VNStock'!$B$3</x:f>
        <x:v>8.45690691</x:v>
      </x:c>
      <x:c r="D33" s="288" t="n">
        <x:f>'Raw GMD VNStock'!F163/'Raw GMD VNStock'!$B$3</x:f>
        <x:v>-13.752541231</x:v>
      </x:c>
      <x:c r="E33" s="288" t="n">
        <x:f>'Raw GMD VNStock'!G163/'Raw GMD VNStock'!$B$3</x:f>
        <x:v>24.702300246</x:v>
      </x:c>
      <x:c r="F33" s="288" t="n">
        <x:f>'Raw GMD VNStock'!H163/'Raw GMD VNStock'!$B$3</x:f>
        <x:v>-11.919647669</x:v>
      </x:c>
      <x:c r="G33" s="288" t="n">
        <x:f>'Raw GMD VNStock'!I163/'Raw GMD VNStock'!$B$3</x:f>
        <x:v>-9.058127008</x:v>
      </x:c>
      <x:c r="H33" s="89" t="str">
        <x:v>SRC-API01</x:v>
      </x:c>
      <x:c r="I33" s="89" t="str">
        <x:v>Linked API actual</x:v>
      </x:c>
      <x:c r="J33" s="90" t="str">
        <x:v>Signed cash-flow statement value.</x:v>
      </x:c>
    </x:row>
    <x:row r="34" ht="29" customHeight="1">
      <x:c r="A34" s="88" t="str">
        <x:v>Payables cash impact</x:v>
      </x:c>
      <x:c r="B34" s="89" t="str">
        <x:v>VND bn</x:v>
      </x:c>
      <x:c r="C34" s="288" t="n">
        <x:f>'Raw GMD VNStock'!E164/'Raw GMD VNStock'!$B$3</x:f>
        <x:v>-30.962460624</x:v>
      </x:c>
      <x:c r="D34" s="288" t="n">
        <x:f>'Raw GMD VNStock'!F164/'Raw GMD VNStock'!$B$3</x:f>
        <x:v>1392.98536041</x:v>
      </x:c>
      <x:c r="E34" s="288" t="n">
        <x:f>'Raw GMD VNStock'!G164/'Raw GMD VNStock'!$B$3</x:f>
        <x:v>-1073.170928312</x:v>
      </x:c>
      <x:c r="F34" s="288" t="n">
        <x:f>'Raw GMD VNStock'!H164/'Raw GMD VNStock'!$B$3</x:f>
        <x:v>-34.738738791</x:v>
      </x:c>
      <x:c r="G34" s="288" t="n">
        <x:f>'Raw GMD VNStock'!I164/'Raw GMD VNStock'!$B$3</x:f>
        <x:v>278.103091855</x:v>
      </x:c>
      <x:c r="H34" s="89" t="str">
        <x:v>SRC-API01</x:v>
      </x:c>
      <x:c r="I34" s="89" t="str">
        <x:v>Linked API actual</x:v>
      </x:c>
      <x:c r="J34" s="90" t="str">
        <x:v>Signed cash-flow statement value.</x:v>
      </x:c>
    </x:row>
    <x:row r="35" ht="29" customHeight="1">
      <x:c r="A35" s="88" t="str">
        <x:v>Prepaid-expense cash impact</x:v>
      </x:c>
      <x:c r="B35" s="89" t="str">
        <x:v>VND bn</x:v>
      </x:c>
      <x:c r="C35" s="288" t="n">
        <x:f>'Raw GMD VNStock'!E165/'Raw GMD VNStock'!$B$3</x:f>
        <x:v>11.332195824</x:v>
      </x:c>
      <x:c r="D35" s="288" t="n">
        <x:f>'Raw GMD VNStock'!F165/'Raw GMD VNStock'!$B$3</x:f>
        <x:v>9.899646117</x:v>
      </x:c>
      <x:c r="E35" s="288" t="n">
        <x:f>'Raw GMD VNStock'!G165/'Raw GMD VNStock'!$B$3</x:f>
        <x:v>23.813122803</x:v>
      </x:c>
      <x:c r="F35" s="288" t="n">
        <x:f>'Raw GMD VNStock'!H165/'Raw GMD VNStock'!$B$3</x:f>
        <x:v>-74.64848358</x:v>
      </x:c>
      <x:c r="G35" s="288" t="n">
        <x:f>'Raw GMD VNStock'!I165/'Raw GMD VNStock'!$B$3</x:f>
        <x:v>-93.984329081</x:v>
      </x:c>
      <x:c r="H35" s="89" t="str">
        <x:v>SRC-API01</x:v>
      </x:c>
      <x:c r="I35" s="89" t="str">
        <x:v>Linked API actual</x:v>
      </x:c>
      <x:c r="J35" s="90" t="str">
        <x:v>Signed cash-flow statement value.</x:v>
      </x:c>
    </x:row>
    <x:row r="36" ht="29" customHeight="1">
      <x:c r="A36" s="88" t="str">
        <x:v>Trading-securities cash impact</x:v>
      </x:c>
      <x:c r="B36" s="89" t="str">
        <x:v>VND bn</x:v>
      </x:c>
      <x:c r="C36" s="288" t="n">
        <x:f>'Raw GMD VNStock'!E193/'Raw GMD VNStock'!$B$3</x:f>
        <x:v>3.528997673</x:v>
      </x:c>
      <x:c r="D36" s="288" t="n">
        <x:f>'Raw GMD VNStock'!F193/'Raw GMD VNStock'!$B$3</x:f>
        <x:v>0</x:v>
      </x:c>
      <x:c r="E36" s="288" t="n">
        <x:f>'Raw GMD VNStock'!G193/'Raw GMD VNStock'!$B$3</x:f>
        <x:v>0</x:v>
      </x:c>
      <x:c r="F36" s="288" t="n">
        <x:f>'Raw GMD VNStock'!H193/'Raw GMD VNStock'!$B$3</x:f>
        <x:v>11.42129074</x:v>
      </x:c>
      <x:c r="G36" s="288" t="n">
        <x:f>'Raw GMD VNStock'!I193/'Raw GMD VNStock'!$B$3</x:f>
        <x:v>20.06729065</x:v>
      </x:c>
      <x:c r="H36" s="89" t="str">
        <x:v>SRC-API01</x:v>
      </x:c>
      <x:c r="I36" s="89" t="str">
        <x:v>Linked API actual</x:v>
      </x:c>
      <x:c r="J36" s="90" t="str">
        <x:v>Signed cash-flow statement value.</x:v>
      </x:c>
    </x:row>
    <x:row r="37" ht="29" customHeight="1">
      <x:c r="A37" s="88" t="str">
        <x:v>Interest paid</x:v>
      </x:c>
      <x:c r="B37" s="89" t="str">
        <x:v>VND bn</x:v>
      </x:c>
      <x:c r="C37" s="288" t="n">
        <x:f>'Raw GMD VNStock'!E166/'Raw GMD VNStock'!$B$3</x:f>
        <x:v>-125.739991542</x:v>
      </x:c>
      <x:c r="D37" s="288" t="n">
        <x:f>'Raw GMD VNStock'!F166/'Raw GMD VNStock'!$B$3</x:f>
        <x:v>-125.924664584</x:v>
      </x:c>
      <x:c r="E37" s="288" t="n">
        <x:f>'Raw GMD VNStock'!G166/'Raw GMD VNStock'!$B$3</x:f>
        <x:v>-139.730551008</x:v>
      </x:c>
      <x:c r="F37" s="288" t="n">
        <x:f>'Raw GMD VNStock'!H166/'Raw GMD VNStock'!$B$3</x:f>
        <x:v>-141.493134412</x:v>
      </x:c>
      <x:c r="G37" s="288" t="n">
        <x:f>'Raw GMD VNStock'!I166/'Raw GMD VNStock'!$B$3</x:f>
        <x:v>-116.338008707</x:v>
      </x:c>
      <x:c r="H37" s="89" t="str">
        <x:v>SRC-API01</x:v>
      </x:c>
      <x:c r="I37" s="89" t="str">
        <x:v>Linked API actual</x:v>
      </x:c>
      <x:c r="J37" s="90" t="str">
        <x:v>Cash outflow.</x:v>
      </x:c>
    </x:row>
    <x:row r="38" ht="29" customHeight="1">
      <x:c r="A38" s="88" t="str">
        <x:v>Income tax paid</x:v>
      </x:c>
      <x:c r="B38" s="89" t="str">
        <x:v>VND bn</x:v>
      </x:c>
      <x:c r="C38" s="288" t="n">
        <x:f>'Raw GMD VNStock'!E167/'Raw GMD VNStock'!$B$3</x:f>
        <x:v>-102.791928222</x:v>
      </x:c>
      <x:c r="D38" s="288" t="n">
        <x:f>'Raw GMD VNStock'!F167/'Raw GMD VNStock'!$B$3</x:f>
        <x:v>-147.473893753</x:v>
      </x:c>
      <x:c r="E38" s="288" t="n">
        <x:f>'Raw GMD VNStock'!G167/'Raw GMD VNStock'!$B$3</x:f>
        <x:v>-624.980841588</x:v>
      </x:c>
      <x:c r="F38" s="288" t="n">
        <x:f>'Raw GMD VNStock'!H167/'Raw GMD VNStock'!$B$3</x:f>
        <x:v>-241.989987693</x:v>
      </x:c>
      <x:c r="G38" s="288" t="n">
        <x:f>'Raw GMD VNStock'!I167/'Raw GMD VNStock'!$B$3</x:f>
        <x:v>-243.715221798</x:v>
      </x:c>
      <x:c r="H38" s="89" t="str">
        <x:v>SRC-API01</x:v>
      </x:c>
      <x:c r="I38" s="89" t="str">
        <x:v>Linked API actual</x:v>
      </x:c>
      <x:c r="J38" s="90" t="str">
        <x:v>Cash outflow.</x:v>
      </x:c>
    </x:row>
    <x:row r="39" ht="29" customHeight="1">
      <x:c r="A39" s="88" t="str">
        <x:v>Other operating cash receipts</x:v>
      </x:c>
      <x:c r="B39" s="89" t="str">
        <x:v>VND bn</x:v>
      </x:c>
      <x:c r="C39" s="288" t="n">
        <x:f>'Raw GMD VNStock'!E168/'Raw GMD VNStock'!$B$3</x:f>
        <x:v>0</x:v>
      </x:c>
      <x:c r="D39" s="288" t="n">
        <x:f>'Raw GMD VNStock'!F168/'Raw GMD VNStock'!$B$3</x:f>
        <x:v>0</x:v>
      </x:c>
      <x:c r="E39" s="288" t="n">
        <x:f>'Raw GMD VNStock'!G168/'Raw GMD VNStock'!$B$3</x:f>
        <x:v>0</x:v>
      </x:c>
      <x:c r="F39" s="288" t="n">
        <x:f>'Raw GMD VNStock'!H168/'Raw GMD VNStock'!$B$3</x:f>
        <x:v>0</x:v>
      </x:c>
      <x:c r="G39" s="288" t="n">
        <x:f>'Raw GMD VNStock'!I168/'Raw GMD VNStock'!$B$3</x:f>
        <x:v>0</x:v>
      </x:c>
      <x:c r="H39" s="89" t="str">
        <x:v>SRC-API01</x:v>
      </x:c>
      <x:c r="I39" s="89" t="str">
        <x:v>Linked API actual</x:v>
      </x:c>
      <x:c r="J39" s="90" t="str">
        <x:v>Other operating inflow.</x:v>
      </x:c>
    </x:row>
    <x:row r="40" ht="29" customHeight="1">
      <x:c r="A40" s="88" t="str">
        <x:v>Other operating cash payments</x:v>
      </x:c>
      <x:c r="B40" s="89" t="str">
        <x:v>VND bn</x:v>
      </x:c>
      <x:c r="C40" s="288" t="n">
        <x:f>'Raw GMD VNStock'!E169/'Raw GMD VNStock'!$B$3</x:f>
        <x:v>-16.290008055</x:v>
      </x:c>
      <x:c r="D40" s="288" t="n">
        <x:f>'Raw GMD VNStock'!F169/'Raw GMD VNStock'!$B$3</x:f>
        <x:v>-31.416271928</x:v>
      </x:c>
      <x:c r="E40" s="288" t="n">
        <x:f>'Raw GMD VNStock'!G169/'Raw GMD VNStock'!$B$3</x:f>
        <x:v>-38.233006803</x:v>
      </x:c>
      <x:c r="F40" s="288" t="n">
        <x:f>'Raw GMD VNStock'!H169/'Raw GMD VNStock'!$B$3</x:f>
        <x:v>-49.83605218</x:v>
      </x:c>
      <x:c r="G40" s="288" t="n">
        <x:f>'Raw GMD VNStock'!I169/'Raw GMD VNStock'!$B$3</x:f>
        <x:v>-116.03787718</x:v>
      </x:c>
      <x:c r="H40" s="89" t="str">
        <x:v>SRC-API01</x:v>
      </x:c>
      <x:c r="I40" s="89" t="str">
        <x:v>Linked API actual</x:v>
      </x:c>
      <x:c r="J40" s="90" t="str">
        <x:v>Other operating outflow.</x:v>
      </x:c>
    </x:row>
    <x:row r="41" ht="29" customHeight="1">
      <x:c r="A41" s="299" t="str">
        <x:v>Calculated CFO</x:v>
      </x:c>
      <x:c r="B41" s="300" t="str">
        <x:v>VND bn</x:v>
      </x:c>
      <x:c r="C41" s="301" t="n">
        <x:f>C26+SUM(C32:C40)</x:f>
        <x:v>964.8171161190003</x:v>
      </x:c>
      <x:c r="D41" s="301" t="n">
        <x:f>D26+SUM(D32:D40)</x:f>
        <x:v>2299.239828019</x:v>
      </x:c>
      <x:c r="E41" s="301" t="n">
        <x:f>E26+SUM(E32:E40)</x:f>
        <x:v>-2.8703182439994634</x:v>
      </x:c>
      <x:c r="F41" s="301" t="n">
        <x:f>F26+SUM(F32:F40)</x:f>
        <x:v>1526.8225518050006</x:v>
      </x:c>
      <x:c r="G41" s="301" t="n">
        <x:f>G26+SUM(G32:G40)</x:f>
        <x:v>2142.022560788</x:v>
      </x:c>
      <x:c r="H41" s="300" t="str">
        <x:v>Model formula</x:v>
      </x:c>
      <x:c r="I41" s="300" t="str">
        <x:v>Model output</x:v>
      </x:c>
      <x:c r="J41" s="300" t="str">
        <x:v>Calculated pre-WC subtotal plus signed cash-flow items.</x:v>
      </x:c>
    </x:row>
    <x:row r="42" ht="29" customHeight="1">
      <x:c r="A42" s="294" t="str">
        <x:v>Disclosed CFO</x:v>
      </x:c>
      <x:c r="B42" s="295" t="str">
        <x:v>VND bn</x:v>
      </x:c>
      <x:c r="C42" s="296" t="n">
        <x:f>'Raw GMD VNStock'!E170/'Raw GMD VNStock'!$B$3</x:f>
        <x:v>964.817116119</x:v>
      </x:c>
      <x:c r="D42" s="296" t="n">
        <x:f>'Raw GMD VNStock'!F170/'Raw GMD VNStock'!$B$3</x:f>
        <x:v>2299.239828019</x:v>
      </x:c>
      <x:c r="E42" s="296" t="n">
        <x:f>'Raw GMD VNStock'!G170/'Raw GMD VNStock'!$B$3</x:f>
        <x:v>-2.870318244</x:v>
      </x:c>
      <x:c r="F42" s="296" t="n">
        <x:f>'Raw GMD VNStock'!H170/'Raw GMD VNStock'!$B$3</x:f>
        <x:v>1526.822551805</x:v>
      </x:c>
      <x:c r="G42" s="296" t="n">
        <x:f>'Raw GMD VNStock'!I170/'Raw GMD VNStock'!$B$3</x:f>
        <x:v>2142.022560788</x:v>
      </x:c>
      <x:c r="H42" s="295" t="str">
        <x:v>SRC-API01</x:v>
      </x:c>
      <x:c r="I42" s="295" t="str">
        <x:v>Linked API actual</x:v>
      </x:c>
      <x:c r="J42" s="295" t="str">
        <x:v>Audited net operating cash flow.</x:v>
      </x:c>
    </x:row>
    <x:row r="43" ht="29" customHeight="1">
      <x:c r="A43" s="302" t="str">
        <x:v>CFO reconstruction check</x:v>
      </x:c>
      <x:c r="B43" s="303" t="str">
        <x:v>VND bn</x:v>
      </x:c>
      <x:c r="C43" s="316" t="n">
        <x:f>C41-C42</x:f>
        <x:v>2.2737367544323206e-13</x:v>
      </x:c>
      <x:c r="D43" s="316" t="n">
        <x:f>D41-D42</x:f>
        <x:v>0</x:v>
      </x:c>
      <x:c r="E43" s="316" t="n">
        <x:f>E41-E42</x:f>
        <x:v>5.364597654988756e-13</x:v>
      </x:c>
      <x:c r="F43" s="316" t="n">
        <x:f>F41-F42</x:f>
        <x:v>4.547473508864641e-13</x:v>
      </x:c>
      <x:c r="G43" s="316" t="n">
        <x:f>G41-G42</x:f>
        <x:v>0</x:v>
      </x:c>
      <x:c r="H43" s="303" t="str">
        <x:v>Model formula</x:v>
      </x:c>
      <x:c r="I43" s="303" t="str">
        <x:v>Check</x:v>
      </x:c>
      <x:c r="J43" s="303" t="str">
        <x:v>Calculated CFO less disclosed CFO.</x:v>
      </x:c>
    </x:row>
    <x:row r="45" ht="26" customHeight="1">
      <x:c r="A45" s="342" t="str">
        <x:v>Five-year cash-flow lesson: profit quality must be read together with cash conversion and cash reinvestment. In 2023, reported PBT was elevated by capital-transfer gains while CFO was approximately zero after adjustment reversals, working capital and taxes.</x:v>
      </x:c>
      <x:c r="B45" s="343" t="str">
        <x:v>Five-year cash-flow lesson: profit quality must be read together with cash conversion and cash reinvestment. In 2023, reported PBT was elevated by capital-transfer gains while CFO was approximately zero after adjustment reversals, working capital and taxes.</x:v>
      </x:c>
      <x:c r="C45" s="343" t="str">
        <x:v>Five-year cash-flow lesson: profit quality must be read together with cash conversion and cash reinvestment. In 2023, reported PBT was elevated by capital-transfer gains while CFO was approximately zero after adjustment reversals, working capital and taxes.</x:v>
      </x:c>
      <x:c r="D45" s="343" t="str">
        <x:v>Five-year cash-flow lesson: profit quality must be read together with cash conversion and cash reinvestment. In 2023, reported PBT was elevated by capital-transfer gains while CFO was approximately zero after adjustment reversals, working capital and taxes.</x:v>
      </x:c>
      <x:c r="E45" s="343" t="str">
        <x:v>Five-year cash-flow lesson: profit quality must be read together with cash conversion and cash reinvestment. In 2023, reported PBT was elevated by capital-transfer gains while CFO was approximately zero after adjustment reversals, working capital and taxes.</x:v>
      </x:c>
      <x:c r="F45" s="343" t="str">
        <x:v>Five-year cash-flow lesson: profit quality must be read together with cash conversion and cash reinvestment. In 2023, reported PBT was elevated by capital-transfer gains while CFO was approximately zero after adjustment reversals, working capital and taxes.</x:v>
      </x:c>
      <x:c r="G45" s="343" t="str">
        <x:v>Five-year cash-flow lesson: profit quality must be read together with cash conversion and cash reinvestment. In 2023, reported PBT was elevated by capital-transfer gains while CFO was approximately zero after adjustment reversals, working capital and taxes.</x:v>
      </x:c>
      <x:c r="H45" s="343" t="str">
        <x:v>Five-year cash-flow lesson: profit quality must be read together with cash conversion and cash reinvestment. In 2023, reported PBT was elevated by capital-transfer gains while CFO was approximately zero after adjustment reversals, working capital and taxes.</x:v>
      </x:c>
      <x:c r="I45" s="343" t="str">
        <x:v>Five-year cash-flow lesson: profit quality must be read together with cash conversion and cash reinvestment. In 2023, reported PBT was elevated by capital-transfer gains while CFO was approximately zero after adjustment reversals, working capital and taxes.</x:v>
      </x:c>
      <x:c r="J45" s="344" t="str">
        <x:v>Five-year cash-flow lesson: profit quality must be read together with cash conversion and cash reinvestment. In 2023, reported PBT was elevated by capital-transfer gains while CFO was approximately zero after adjustment reversals, working capital and taxes.</x:v>
      </x:c>
    </x:row>
    <x:row r="46" ht="26" customHeight="1">
      <x:c r="A46" s="357" t="str">
        <x:v>Five-year cash-flow lesson: profit quality must be read together with cash conversion and cash reinvestment. In 2023, reported PBT was elevated by capital-transfer gains while CFO was approximately zero after adjustment reversals, working capital and taxes.</x:v>
      </x:c>
      <x:c r="B46" s="358" t="str">
        <x:v>Five-year cash-flow lesson: profit quality must be read together with cash conversion and cash reinvestment. In 2023, reported PBT was elevated by capital-transfer gains while CFO was approximately zero after adjustment reversals, working capital and taxes.</x:v>
      </x:c>
      <x:c r="C46" s="358" t="str">
        <x:v>Five-year cash-flow lesson: profit quality must be read together with cash conversion and cash reinvestment. In 2023, reported PBT was elevated by capital-transfer gains while CFO was approximately zero after adjustment reversals, working capital and taxes.</x:v>
      </x:c>
      <x:c r="D46" s="358" t="str">
        <x:v>Five-year cash-flow lesson: profit quality must be read together with cash conversion and cash reinvestment. In 2023, reported PBT was elevated by capital-transfer gains while CFO was approximately zero after adjustment reversals, working capital and taxes.</x:v>
      </x:c>
      <x:c r="E46" s="358" t="str">
        <x:v>Five-year cash-flow lesson: profit quality must be read together with cash conversion and cash reinvestment. In 2023, reported PBT was elevated by capital-transfer gains while CFO was approximately zero after adjustment reversals, working capital and taxes.</x:v>
      </x:c>
      <x:c r="F46" s="358" t="str">
        <x:v>Five-year cash-flow lesson: profit quality must be read together with cash conversion and cash reinvestment. In 2023, reported PBT was elevated by capital-transfer gains while CFO was approximately zero after adjustment reversals, working capital and taxes.</x:v>
      </x:c>
      <x:c r="G46" s="358" t="str">
        <x:v>Five-year cash-flow lesson: profit quality must be read together with cash conversion and cash reinvestment. In 2023, reported PBT was elevated by capital-transfer gains while CFO was approximately zero after adjustment reversals, working capital and taxes.</x:v>
      </x:c>
      <x:c r="H46" s="358" t="str">
        <x:v>Five-year cash-flow lesson: profit quality must be read together with cash conversion and cash reinvestment. In 2023, reported PBT was elevated by capital-transfer gains while CFO was approximately zero after adjustment reversals, working capital and taxes.</x:v>
      </x:c>
      <x:c r="I46" s="358" t="str">
        <x:v>Five-year cash-flow lesson: profit quality must be read together with cash conversion and cash reinvestment. In 2023, reported PBT was elevated by capital-transfer gains while CFO was approximately zero after adjustment reversals, working capital and taxes.</x:v>
      </x:c>
      <x:c r="J46" s="359" t="str">
        <x:v>Five-year cash-flow lesson: profit quality must be read together with cash conversion and cash reinvestment. In 2023, reported PBT was elevated by capital-transfer gains while CFO was approximately zero after adjustment reversals, working capital and taxes.</x:v>
      </x:c>
    </x:row>
    <x:row r="47" ht="26" customHeight="1">
      <x:c r="A47" s="345" t="str">
        <x:v>Five-year cash-flow lesson: profit quality must be read together with cash conversion and cash reinvestment. In 2023, reported PBT was elevated by capital-transfer gains while CFO was approximately zero after adjustment reversals, working capital and taxes.</x:v>
      </x:c>
      <x:c r="B47" s="346" t="str">
        <x:v>Five-year cash-flow lesson: profit quality must be read together with cash conversion and cash reinvestment. In 2023, reported PBT was elevated by capital-transfer gains while CFO was approximately zero after adjustment reversals, working capital and taxes.</x:v>
      </x:c>
      <x:c r="C47" s="346" t="str">
        <x:v>Five-year cash-flow lesson: profit quality must be read together with cash conversion and cash reinvestment. In 2023, reported PBT was elevated by capital-transfer gains while CFO was approximately zero after adjustment reversals, working capital and taxes.</x:v>
      </x:c>
      <x:c r="D47" s="346" t="str">
        <x:v>Five-year cash-flow lesson: profit quality must be read together with cash conversion and cash reinvestment. In 2023, reported PBT was elevated by capital-transfer gains while CFO was approximately zero after adjustment reversals, working capital and taxes.</x:v>
      </x:c>
      <x:c r="E47" s="346" t="str">
        <x:v>Five-year cash-flow lesson: profit quality must be read together with cash conversion and cash reinvestment. In 2023, reported PBT was elevated by capital-transfer gains while CFO was approximately zero after adjustment reversals, working capital and taxes.</x:v>
      </x:c>
      <x:c r="F47" s="346" t="str">
        <x:v>Five-year cash-flow lesson: profit quality must be read together with cash conversion and cash reinvestment. In 2023, reported PBT was elevated by capital-transfer gains while CFO was approximately zero after adjustment reversals, working capital and taxes.</x:v>
      </x:c>
      <x:c r="G47" s="346" t="str">
        <x:v>Five-year cash-flow lesson: profit quality must be read together with cash conversion and cash reinvestment. In 2023, reported PBT was elevated by capital-transfer gains while CFO was approximately zero after adjustment reversals, working capital and taxes.</x:v>
      </x:c>
      <x:c r="H47" s="346" t="str">
        <x:v>Five-year cash-flow lesson: profit quality must be read together with cash conversion and cash reinvestment. In 2023, reported PBT was elevated by capital-transfer gains while CFO was approximately zero after adjustment reversals, working capital and taxes.</x:v>
      </x:c>
      <x:c r="I47" s="346" t="str">
        <x:v>Five-year cash-flow lesson: profit quality must be read together with cash conversion and cash reinvestment. In 2023, reported PBT was elevated by capital-transfer gains while CFO was approximately zero after adjustment reversals, working capital and taxes.</x:v>
      </x:c>
      <x:c r="J47" s="347" t="str">
        <x:v>Five-year cash-flow lesson: profit quality must be read together with cash conversion and cash reinvestment. In 2023, reported PBT was elevated by capital-transfer gains while CFO was approximately zero after adjustment reversals, working capital and taxes.</x:v>
      </x:c>
    </x:row>
  </x:sheetData>
  <x:mergeCells>
    <x:mergeCell ref="A1:J1"/>
    <x:mergeCell ref="A2:J2"/>
    <x:mergeCell ref="A4:J4"/>
    <x:mergeCell ref="A14:J14"/>
    <x:mergeCell ref="A30:J30"/>
    <x:mergeCell ref="A45:J47"/>
  </x:mergeCells>
  <x:pageMargins left="0.7" right="0.7" top="0.75" bottom="0.75" header="0.3" footer="0.3"/>
  <x:legacyDrawing xmlns:r="http://schemas.openxmlformats.org/officeDocument/2006/relationships" r:id="Re1c32f8d16484979"/>
</x:worksheet>
</file>

<file path=xl/worksheets/sheet25.xml><?xml version="1.0" encoding="utf-8"?>
<x:worksheet xmlns:x="http://schemas.openxmlformats.org/spreadsheetml/2006/main">
  <x:sheetViews>
    <x:sheetView showGridLines="0" workbookViewId="0"/>
  </x:sheetViews>
  <x:sheetFormatPr defaultRowHeight="15"/>
  <x:cols>
    <x:col min="1" max="1" width="39" hidden="0" customWidth="1"/>
    <x:col min="2" max="2" width="20" hidden="0" customWidth="1"/>
    <x:col min="3" max="3" width="22" hidden="0" customWidth="1"/>
    <x:col min="4" max="4" width="20" hidden="0" customWidth="1"/>
    <x:col min="5" max="5" width="25" hidden="0" customWidth="1"/>
    <x:col min="6" max="6" width="23" hidden="0" customWidth="1"/>
    <x:col min="7" max="7" width="25" hidden="0" customWidth="1"/>
    <x:col min="8" max="8" width="54" hidden="0" customWidth="1"/>
    <x:col min="9" max="9" width="50" hidden="0" customWidth="1"/>
  </x:cols>
  <x:sheetData>
    <x:row r="1" ht="30" customHeight="1">
      <x:c r="A1" s="264" t="str">
        <x:v>Phase 3 — 2026 Issuer Guidance Benchmark</x:v>
      </x:c>
      <x:c r="B1" s="264" t="str">
        <x:v>Phase 3 — 2026 Issuer Guidance Benchmark</x:v>
      </x:c>
      <x:c r="C1" s="264" t="str">
        <x:v>Phase 3 — 2026 Issuer Guidance Benchmark</x:v>
      </x:c>
      <x:c r="D1" s="264" t="str">
        <x:v>Phase 3 — 2026 Issuer Guidance Benchmark</x:v>
      </x:c>
      <x:c r="E1" s="264" t="str">
        <x:v>Phase 3 — 2026 Issuer Guidance Benchmark</x:v>
      </x:c>
      <x:c r="F1" s="264" t="str">
        <x:v>Phase 3 — 2026 Issuer Guidance Benchmark</x:v>
      </x:c>
      <x:c r="G1" s="264" t="str">
        <x:v>Phase 3 — 2026 Issuer Guidance Benchmark</x:v>
      </x:c>
      <x:c r="H1" s="264" t="str">
        <x:v>Phase 3 — 2026 Issuer Guidance Benchmark</x:v>
      </x:c>
      <x:c r="I1" s="264" t="str">
        <x:v>Phase 3 — 2026 Issuer Guidance Benchmark</x:v>
      </x:c>
    </x:row>
    <x:row r="2" ht="34" customHeight="1">
      <x:c r="A2" s="268" t="str">
        <x:v>Management guidance and Q1 actuals are benchmarks only. These are not analyst estimates; Phase 4 will build Base/Bull/Bear forecasts.</x:v>
      </x:c>
      <x:c r="B2" s="268" t="str">
        <x:v>Management guidance and Q1 actuals are benchmarks only. These are not analyst estimates; Phase 4 will build Base/Bull/Bear forecasts.</x:v>
      </x:c>
      <x:c r="C2" s="268" t="str">
        <x:v>Management guidance and Q1 actuals are benchmarks only. These are not analyst estimates; Phase 4 will build Base/Bull/Bear forecasts.</x:v>
      </x:c>
      <x:c r="D2" s="268" t="str">
        <x:v>Management guidance and Q1 actuals are benchmarks only. These are not analyst estimates; Phase 4 will build Base/Bull/Bear forecasts.</x:v>
      </x:c>
      <x:c r="E2" s="268" t="str">
        <x:v>Management guidance and Q1 actuals are benchmarks only. These are not analyst estimates; Phase 4 will build Base/Bull/Bear forecasts.</x:v>
      </x:c>
      <x:c r="F2" s="268" t="str">
        <x:v>Management guidance and Q1 actuals are benchmarks only. These are not analyst estimates; Phase 4 will build Base/Bull/Bear forecasts.</x:v>
      </x:c>
      <x:c r="G2" s="268" t="str">
        <x:v>Management guidance and Q1 actuals are benchmarks only. These are not analyst estimates; Phase 4 will build Base/Bull/Bear forecasts.</x:v>
      </x:c>
      <x:c r="H2" s="268" t="str">
        <x:v>Management guidance and Q1 actuals are benchmarks only. These are not analyst estimates; Phase 4 will build Base/Bull/Bear forecasts.</x:v>
      </x:c>
      <x:c r="I2" s="268" t="str">
        <x:v>Management guidance and Q1 actuals are benchmarks only. These are not analyst estimates; Phase 4 will build Base/Bull/Bear forecasts.</x:v>
      </x:c>
    </x:row>
    <x:row r="4" ht="21" customHeight="1">
      <x:c r="A4" s="286" t="str">
        <x:v>2026 registered plan, stretch target and Q1 progress</x:v>
      </x:c>
      <x:c r="B4" s="286" t="str">
        <x:v>2026 registered plan, stretch target and Q1 progress</x:v>
      </x:c>
      <x:c r="C4" s="286" t="str">
        <x:v>2026 registered plan, stretch target and Q1 progress</x:v>
      </x:c>
      <x:c r="D4" s="286" t="str">
        <x:v>2026 registered plan, stretch target and Q1 progress</x:v>
      </x:c>
      <x:c r="E4" s="286" t="str">
        <x:v>2026 registered plan, stretch target and Q1 progress</x:v>
      </x:c>
      <x:c r="F4" s="286" t="str">
        <x:v>2026 registered plan, stretch target and Q1 progress</x:v>
      </x:c>
      <x:c r="G4" s="286" t="str">
        <x:v>2026 registered plan, stretch target and Q1 progress</x:v>
      </x:c>
      <x:c r="H4" s="286" t="str">
        <x:v>2026 registered plan, stretch target and Q1 progress</x:v>
      </x:c>
      <x:c r="I4" s="286" t="str">
        <x:v>2026 registered plan, stretch target and Q1 progress</x:v>
      </x:c>
    </x:row>
    <x:row r="5" ht="32" customHeight="1">
      <x:c r="A5" s="278" t="str">
        <x:v>Metric</x:v>
      </x:c>
      <x:c r="B5" s="278" t="str">
        <x:v>2025A</x:v>
      </x:c>
      <x:c r="C5" s="278" t="str">
        <x:v>2026 registered plan</x:v>
      </x:c>
      <x:c r="D5" s="278" t="str">
        <x:v>YoY</x:v>
      </x:c>
      <x:c r="E5" s="278" t="str">
        <x:v>2026 stretch target</x:v>
      </x:c>
      <x:c r="F5" s="278" t="str">
        <x:v>YoY</x:v>
      </x:c>
      <x:c r="G5" s="278" t="str">
        <x:v>Q1 2025</x:v>
      </x:c>
      <x:c r="H5" s="278" t="str">
        <x:v>Q1 2026</x:v>
      </x:c>
      <x:c r="I5" s="278" t="str">
        <x:v>Q1 YoY / progress</x:v>
      </x:c>
    </x:row>
    <x:row r="6" ht="38" customHeight="1">
      <x:c r="A6" s="85" t="str">
        <x:v>Consolidated net revenue (VND bn)</x:v>
      </x:c>
      <x:c r="B6" s="287" t="n">
        <x:f>'P3 Historical IS'!G6</x:f>
        <x:v>5956.025297015</x:v>
      </x:c>
      <x:c r="C6" s="210" t="n">
        <x:v>6500</x:v>
      </x:c>
      <x:c r="D6" s="111" t="n">
        <x:f>C6/B6-1</x:f>
        <x:v>0.091331832196486</x:v>
      </x:c>
      <x:c r="E6" s="210" t="n">
        <x:v>6800</x:v>
      </x:c>
      <x:c r="F6" s="111" t="n">
        <x:f>E6/B6-1</x:f>
        <x:v>0.14170099368247757</x:v>
      </x:c>
      <x:c r="G6" s="210" t="n">
        <x:v>1277</x:v>
      </x:c>
      <x:c r="H6" s="210" t="n">
        <x:v>1452</x:v>
      </x:c>
      <x:c r="I6" s="361" t="n">
        <x:f>H6/G6-1</x:f>
        <x:v>0.13703993735317144</x:v>
      </x:c>
    </x:row>
    <x:row r="7" ht="38" customHeight="1">
      <x:c r="A7" s="88" t="str">
        <x:v>Core PBT (VND bn)</x:v>
      </x:c>
      <x:c r="B7" s="288" t="n">
        <x:f>'P3 Historical IS'!G25</x:f>
        <x:v>2520.827</x:v>
      </x:c>
      <x:c r="C7" s="211" t="n">
        <x:v>2800</x:v>
      </x:c>
      <x:c r="D7" s="109" t="n">
        <x:f>C7/B7-1</x:f>
        <x:v>0.110746592288959</x:v>
      </x:c>
      <x:c r="E7" s="211" t="n">
        <x:v>3000</x:v>
      </x:c>
      <x:c r="F7" s="109" t="n">
        <x:f>E7/B7-1</x:f>
        <x:v>0.19008563459531325</x:v>
      </x:c>
      <x:c r="G7" s="211" t="n">
        <x:v>583</x:v>
      </x:c>
      <x:c r="H7" s="211" t="n">
        <x:v>716</x:v>
      </x:c>
      <x:c r="I7" s="362" t="n">
        <x:f>H7/G7-1</x:f>
        <x:v>0.228130360205832</x:v>
      </x:c>
    </x:row>
    <x:row r="8" ht="38" customHeight="1">
      <x:c r="A8" s="91" t="str">
        <x:v>System throughput (m TEU)</x:v>
      </x:c>
      <x:c r="B8" s="349" t="n">
        <x:f>'P3 Port Drivers'!G6</x:f>
        <x:v>5.079</x:v>
      </x:c>
      <x:c r="C8" s="135"/>
      <x:c r="D8" s="135"/>
      <x:c r="E8" s="135"/>
      <x:c r="F8" s="135"/>
      <x:c r="G8" s="135"/>
      <x:c r="H8" s="135" t="n">
        <x:v>1.233</x:v>
      </x:c>
      <x:c r="I8" s="363" t="n">
        <x:v>0.08</x:v>
      </x:c>
    </x:row>
    <x:row r="10" ht="32" customHeight="1">
      <x:c r="A10" s="278" t="str">
        <x:v>Metric</x:v>
      </x:c>
      <x:c r="B10" s="278" t="str">
        <x:v>Q1 2026 actual</x:v>
      </x:c>
      <x:c r="C10" s="278" t="str">
        <x:v>Registered plan</x:v>
      </x:c>
      <x:c r="D10" s="278" t="str">
        <x:v>Q1 / plan</x:v>
      </x:c>
      <x:c r="E10" s="278" t="str">
        <x:v>Stretch target</x:v>
      </x:c>
      <x:c r="F10" s="278" t="str">
        <x:v>Q1 / target</x:v>
      </x:c>
      <x:c r="G10" s="278" t="str">
        <x:v>Source ID</x:v>
      </x:c>
      <x:c r="H10" s="278" t="str">
        <x:v>Data class</x:v>
      </x:c>
      <x:c r="I10" s="278" t="str">
        <x:v>Audit note</x:v>
      </x:c>
    </x:row>
    <x:row r="11" ht="36" customHeight="1">
      <x:c r="A11" s="85" t="str">
        <x:v>Revenue (VND bn)</x:v>
      </x:c>
      <x:c r="B11" s="210" t="n">
        <x:v>1452</x:v>
      </x:c>
      <x:c r="C11" s="287" t="n">
        <x:f>C6</x:f>
        <x:v>6500</x:v>
      </x:c>
      <x:c r="D11" s="111" t="n">
        <x:f>B11/C11</x:f>
        <x:v>0.22338461538461538</x:v>
      </x:c>
      <x:c r="E11" s="287" t="n">
        <x:f>E6</x:f>
        <x:v>6800</x:v>
      </x:c>
      <x:c r="F11" s="111" t="n">
        <x:f>B11/E11</x:f>
        <x:v>0.21352941176470588</x:v>
      </x:c>
      <x:c r="G11" s="86" t="str">
        <x:v>SRC-G02 / SRC-G03</x:v>
      </x:c>
      <x:c r="H11" s="86" t="str">
        <x:v>Issuer actual + guidance</x:v>
      </x:c>
      <x:c r="I11" s="87" t="str">
        <x:v>Q1 progress is not a seasonally adjusted run rate.</x:v>
      </x:c>
    </x:row>
    <x:row r="12" ht="36" customHeight="1">
      <x:c r="A12" s="91" t="str">
        <x:v>PBT (VND bn)</x:v>
      </x:c>
      <x:c r="B12" s="212" t="n">
        <x:v>716</x:v>
      </x:c>
      <x:c r="C12" s="360" t="n">
        <x:f>C7</x:f>
        <x:v>2800</x:v>
      </x:c>
      <x:c r="D12" s="110" t="n">
        <x:f>B12/C12</x:f>
        <x:v>0.2557142857142857</x:v>
      </x:c>
      <x:c r="E12" s="360" t="n">
        <x:f>E7</x:f>
        <x:v>3000</x:v>
      </x:c>
      <x:c r="F12" s="110" t="n">
        <x:f>B12/E12</x:f>
        <x:v>0.23866666666666667</x:v>
      </x:c>
      <x:c r="G12" s="92" t="str">
        <x:v>SRC-G02 / SRC-G03</x:v>
      </x:c>
      <x:c r="H12" s="92" t="str">
        <x:v>Issuer actual + guidance</x:v>
      </x:c>
      <x:c r="I12" s="93" t="str">
        <x:v>Q1 progress is not an analyst forecast.</x:v>
      </x:c>
    </x:row>
    <x:row r="14" ht="21" customHeight="1">
      <x:c r="A14" s="286" t="str">
        <x:v>Issuer catalysts and operational facts</x:v>
      </x:c>
      <x:c r="B14" s="286" t="str">
        <x:v>Issuer catalysts and operational facts</x:v>
      </x:c>
      <x:c r="C14" s="286" t="str">
        <x:v>Issuer catalysts and operational facts</x:v>
      </x:c>
      <x:c r="D14" s="286" t="str">
        <x:v>Issuer catalysts and operational facts</x:v>
      </x:c>
      <x:c r="E14" s="286" t="str">
        <x:v>Issuer catalysts and operational facts</x:v>
      </x:c>
      <x:c r="F14" s="286" t="str">
        <x:v>Issuer catalysts and operational facts</x:v>
      </x:c>
      <x:c r="G14" s="286" t="str">
        <x:v>Issuer catalysts and operational facts</x:v>
      </x:c>
      <x:c r="H14" s="286" t="str">
        <x:v>Issuer catalysts and operational facts</x:v>
      </x:c>
      <x:c r="I14" s="286" t="str">
        <x:v>Issuer catalysts and operational facts</x:v>
      </x:c>
    </x:row>
    <x:row r="15" ht="32" customHeight="1">
      <x:c r="A15" s="278" t="str">
        <x:v>Catalyst / fact</x:v>
      </x:c>
      <x:c r="B15" s="278" t="str">
        <x:v>Date / timing</x:v>
      </x:c>
      <x:c r="C15" s="278" t="str">
        <x:v>Capacity / KPI</x:v>
      </x:c>
      <x:c r="D15" s="278" t="str">
        <x:v>Unit</x:v>
      </x:c>
      <x:c r="E15" s="278" t="str">
        <x:v>Evidence</x:v>
      </x:c>
      <x:c r="F15" s="278" t="str">
        <x:v>Source ID</x:v>
      </x:c>
      <x:c r="G15" s="278" t="str">
        <x:v>Data class</x:v>
      </x:c>
      <x:c r="H15" s="278" t="str">
        <x:v>Model implication</x:v>
      </x:c>
      <x:c r="I15" s="278" t="str">
        <x:v>Falsification risk</x:v>
      </x:c>
    </x:row>
    <x:row r="16" ht="48" customHeight="1">
      <x:c r="A16" s="85" t="str">
        <x:v>Nam Dinh Vu Phase 3 operational</x:v>
      </x:c>
      <x:c r="B16" s="86" t="str">
        <x:v>Late Sep / Oct 2025</x:v>
      </x:c>
      <x:c r="C16" s="210" t="n">
        <x:v>2</x:v>
      </x:c>
      <x:c r="D16" s="86" t="str">
        <x:v>m TEU cluster capacity</x:v>
      </x:c>
      <x:c r="E16" s="86" t="str">
        <x:v>Three phases complete</x:v>
      </x:c>
      <x:c r="F16" s="86" t="str">
        <x:v>SRC-G01 / SRC-G02</x:v>
      </x:c>
      <x:c r="G16" s="86" t="str">
        <x:v>Issuer fact</x:v>
      </x:c>
      <x:c r="H16" s="86" t="str">
        <x:v>Phase 4 must model utilization ramp, not repeat construction completion.</x:v>
      </x:c>
      <x:c r="I16" s="87" t="str">
        <x:v>Capacity may ramp slower than demand.</x:v>
      </x:c>
    </x:row>
    <x:row r="17" ht="48" customHeight="1">
      <x:c r="A17" s="88" t="str">
        <x:v>Gemalink Phase 2 groundbreaking</x:v>
      </x:c>
      <x:c r="B17" s="89" t="str">
        <x:v>17-Apr-2026</x:v>
      </x:c>
      <x:c r="C17" s="211" t="n">
        <x:v>3</x:v>
      </x:c>
      <x:c r="D17" s="89" t="str">
        <x:v>m TEU total capacity, over</x:v>
      </x:c>
      <x:c r="E17" s="89" t="str">
        <x:v>Q4 2027 operation timing</x:v>
      </x:c>
      <x:c r="F17" s="89" t="str">
        <x:v>SRC-G02</x:v>
      </x:c>
      <x:c r="G17" s="89" t="str">
        <x:v>Issuer fact</x:v>
      </x:c>
      <x:c r="H17" s="89" t="str">
        <x:v>Keep outside the 2026 historical benchmark; timing belongs in Phase 4.</x:v>
      </x:c>
      <x:c r="I17" s="90" t="str">
        <x:v>Delay, capex escalation or weak route additions.</x:v>
      </x:c>
    </x:row>
    <x:row r="18" ht="48" customHeight="1">
      <x:c r="A18" s="88" t="str">
        <x:v>Ha Nam canal upgrade</x:v>
      </x:c>
      <x:c r="B18" s="89" t="str">
        <x:v>Completed 2024</x:v>
      </x:c>
      <x:c r="C18" s="211" t="n">
        <x:v>-8.5</x:v>
      </x:c>
      <x:c r="D18" s="89" t="str">
        <x:v>mCD depth</x:v>
      </x:c>
      <x:c r="E18" s="89" t="str">
        <x:v>Vessels up to 50k DWT in 2026 disclosure</x:v>
      </x:c>
      <x:c r="F18" s="89" t="str">
        <x:v>SRC-G01 / SRC-G02</x:v>
      </x:c>
      <x:c r="G18" s="89" t="str">
        <x:v>Issuer fact</x:v>
      </x:c>
      <x:c r="H18" s="89" t="str">
        <x:v>Supports larger feeder calls and Northern competitiveness.</x:v>
      </x:c>
      <x:c r="I18" s="90" t="str">
        <x:v>Benefits may be competed away by new capacity.</x:v>
      </x:c>
    </x:row>
    <x:row r="19" ht="48" customHeight="1">
      <x:c r="A19" s="88" t="str">
        <x:v>Q1 2026 PBT mix</x:v>
      </x:c>
      <x:c r="B19" s="89" t="str">
        <x:v>Q1 2026</x:v>
      </x:c>
      <x:c r="C19" s="109" t="n">
        <x:v>0.85</x:v>
      </x:c>
      <x:c r="D19" s="89" t="str">
        <x:v>Port share</x:v>
      </x:c>
      <x:c r="E19" s="89" t="str">
        <x:v>Logistics/shipping approximately 15%</x:v>
      </x:c>
      <x:c r="F19" s="89" t="str">
        <x:v>SRC-G02</x:v>
      </x:c>
      <x:c r="G19" s="89" t="str">
        <x:v>Issuer mix</x:v>
      </x:c>
      <x:c r="H19" s="89" t="str">
        <x:v>Use as a reasonableness check, not a full-year forecast.</x:v>
      </x:c>
      <x:c r="I19" s="90" t="str">
        <x:v>Quarterly mix may not persist.</x:v>
      </x:c>
    </x:row>
    <x:row r="20" ht="48" customHeight="1">
      <x:c r="A20" s="91" t="str">
        <x:v>Registered 2026 PBT plan</x:v>
      </x:c>
      <x:c r="B20" s="92" t="str">
        <x:v>FY2026</x:v>
      </x:c>
      <x:c r="C20" s="212" t="n">
        <x:v>2800</x:v>
      </x:c>
      <x:c r="D20" s="92" t="str">
        <x:v>VND bn</x:v>
      </x:c>
      <x:c r="E20" s="92" t="str">
        <x:v>Core business PBT</x:v>
      </x:c>
      <x:c r="F20" s="92" t="str">
        <x:v>SRC-G03</x:v>
      </x:c>
      <x:c r="G20" s="92" t="str">
        <x:v>Management guidance</x:v>
      </x:c>
      <x:c r="H20" s="92" t="str">
        <x:v>Benchmark the Phase 4 base case against management, not vice versa.</x:v>
      </x:c>
      <x:c r="I20" s="93" t="str">
        <x:v>Plan can be exceeded or missed.</x:v>
      </x:c>
    </x:row>
    <x:row r="22" ht="26" customHeight="1">
      <x:c r="A22" s="342" t="str">
        <x:v>Scope guardrail: Phase 3 contains no 2026E–2028E analyst forecast, valuation, rating or target price. Forward-looking values above are explicitly labelled management guidance or project timing.</x:v>
      </x:c>
      <x:c r="B22" s="343" t="str">
        <x:v>Scope guardrail: Phase 3 contains no 2026E–2028E analyst forecast, valuation, rating or target price. Forward-looking values above are explicitly labelled management guidance or project timing.</x:v>
      </x:c>
      <x:c r="C22" s="343" t="str">
        <x:v>Scope guardrail: Phase 3 contains no 2026E–2028E analyst forecast, valuation, rating or target price. Forward-looking values above are explicitly labelled management guidance or project timing.</x:v>
      </x:c>
      <x:c r="D22" s="343" t="str">
        <x:v>Scope guardrail: Phase 3 contains no 2026E–2028E analyst forecast, valuation, rating or target price. Forward-looking values above are explicitly labelled management guidance or project timing.</x:v>
      </x:c>
      <x:c r="E22" s="343" t="str">
        <x:v>Scope guardrail: Phase 3 contains no 2026E–2028E analyst forecast, valuation, rating or target price. Forward-looking values above are explicitly labelled management guidance or project timing.</x:v>
      </x:c>
      <x:c r="F22" s="343" t="str">
        <x:v>Scope guardrail: Phase 3 contains no 2026E–2028E analyst forecast, valuation, rating or target price. Forward-looking values above are explicitly labelled management guidance or project timing.</x:v>
      </x:c>
      <x:c r="G22" s="343" t="str">
        <x:v>Scope guardrail: Phase 3 contains no 2026E–2028E analyst forecast, valuation, rating or target price. Forward-looking values above are explicitly labelled management guidance or project timing.</x:v>
      </x:c>
      <x:c r="H22" s="343" t="str">
        <x:v>Scope guardrail: Phase 3 contains no 2026E–2028E analyst forecast, valuation, rating or target price. Forward-looking values above are explicitly labelled management guidance or project timing.</x:v>
      </x:c>
      <x:c r="I22" s="344" t="str">
        <x:v>Scope guardrail: Phase 3 contains no 2026E–2028E analyst forecast, valuation, rating or target price. Forward-looking values above are explicitly labelled management guidance or project timing.</x:v>
      </x:c>
    </x:row>
    <x:row r="23" ht="26" customHeight="1">
      <x:c r="A23" s="357" t="str">
        <x:v>Scope guardrail: Phase 3 contains no 2026E–2028E analyst forecast, valuation, rating or target price. Forward-looking values above are explicitly labelled management guidance or project timing.</x:v>
      </x:c>
      <x:c r="B23" s="358" t="str">
        <x:v>Scope guardrail: Phase 3 contains no 2026E–2028E analyst forecast, valuation, rating or target price. Forward-looking values above are explicitly labelled management guidance or project timing.</x:v>
      </x:c>
      <x:c r="C23" s="358" t="str">
        <x:v>Scope guardrail: Phase 3 contains no 2026E–2028E analyst forecast, valuation, rating or target price. Forward-looking values above are explicitly labelled management guidance or project timing.</x:v>
      </x:c>
      <x:c r="D23" s="358" t="str">
        <x:v>Scope guardrail: Phase 3 contains no 2026E–2028E analyst forecast, valuation, rating or target price. Forward-looking values above are explicitly labelled management guidance or project timing.</x:v>
      </x:c>
      <x:c r="E23" s="358" t="str">
        <x:v>Scope guardrail: Phase 3 contains no 2026E–2028E analyst forecast, valuation, rating or target price. Forward-looking values above are explicitly labelled management guidance or project timing.</x:v>
      </x:c>
      <x:c r="F23" s="358" t="str">
        <x:v>Scope guardrail: Phase 3 contains no 2026E–2028E analyst forecast, valuation, rating or target price. Forward-looking values above are explicitly labelled management guidance or project timing.</x:v>
      </x:c>
      <x:c r="G23" s="358" t="str">
        <x:v>Scope guardrail: Phase 3 contains no 2026E–2028E analyst forecast, valuation, rating or target price. Forward-looking values above are explicitly labelled management guidance or project timing.</x:v>
      </x:c>
      <x:c r="H23" s="358" t="str">
        <x:v>Scope guardrail: Phase 3 contains no 2026E–2028E analyst forecast, valuation, rating or target price. Forward-looking values above are explicitly labelled management guidance or project timing.</x:v>
      </x:c>
      <x:c r="I23" s="359" t="str">
        <x:v>Scope guardrail: Phase 3 contains no 2026E–2028E analyst forecast, valuation, rating or target price. Forward-looking values above are explicitly labelled management guidance or project timing.</x:v>
      </x:c>
    </x:row>
    <x:row r="24" ht="26" customHeight="1">
      <x:c r="A24" s="345" t="str">
        <x:v>Scope guardrail: Phase 3 contains no 2026E–2028E analyst forecast, valuation, rating or target price. Forward-looking values above are explicitly labelled management guidance or project timing.</x:v>
      </x:c>
      <x:c r="B24" s="346" t="str">
        <x:v>Scope guardrail: Phase 3 contains no 2026E–2028E analyst forecast, valuation, rating or target price. Forward-looking values above are explicitly labelled management guidance or project timing.</x:v>
      </x:c>
      <x:c r="C24" s="346" t="str">
        <x:v>Scope guardrail: Phase 3 contains no 2026E–2028E analyst forecast, valuation, rating or target price. Forward-looking values above are explicitly labelled management guidance or project timing.</x:v>
      </x:c>
      <x:c r="D24" s="346" t="str">
        <x:v>Scope guardrail: Phase 3 contains no 2026E–2028E analyst forecast, valuation, rating or target price. Forward-looking values above are explicitly labelled management guidance or project timing.</x:v>
      </x:c>
      <x:c r="E24" s="346" t="str">
        <x:v>Scope guardrail: Phase 3 contains no 2026E–2028E analyst forecast, valuation, rating or target price. Forward-looking values above are explicitly labelled management guidance or project timing.</x:v>
      </x:c>
      <x:c r="F24" s="346" t="str">
        <x:v>Scope guardrail: Phase 3 contains no 2026E–2028E analyst forecast, valuation, rating or target price. Forward-looking values above are explicitly labelled management guidance or project timing.</x:v>
      </x:c>
      <x:c r="G24" s="346" t="str">
        <x:v>Scope guardrail: Phase 3 contains no 2026E–2028E analyst forecast, valuation, rating or target price. Forward-looking values above are explicitly labelled management guidance or project timing.</x:v>
      </x:c>
      <x:c r="H24" s="346" t="str">
        <x:v>Scope guardrail: Phase 3 contains no 2026E–2028E analyst forecast, valuation, rating or target price. Forward-looking values above are explicitly labelled management guidance or project timing.</x:v>
      </x:c>
      <x:c r="I24" s="347" t="str">
        <x:v>Scope guardrail: Phase 3 contains no 2026E–2028E analyst forecast, valuation, rating or target price. Forward-looking values above are explicitly labelled management guidance or project timing.</x:v>
      </x:c>
    </x:row>
  </x:sheetData>
  <x:mergeCells>
    <x:mergeCell ref="A1:I1"/>
    <x:mergeCell ref="A2:I2"/>
    <x:mergeCell ref="A4:I4"/>
    <x:mergeCell ref="A14:I14"/>
    <x:mergeCell ref="A22:I24"/>
  </x:mergeCells>
  <x:pageMargins left="0.7" right="0.7" top="0.75" bottom="0.75" header="0.3" footer="0.3"/>
  <x:legacyDrawing xmlns:r="http://schemas.openxmlformats.org/officeDocument/2006/relationships" r:id="R4b91a03827964427"/>
</x:worksheet>
</file>

<file path=xl/worksheets/sheet26.xml><?xml version="1.0" encoding="utf-8"?>
<x:worksheet xmlns:x="http://schemas.openxmlformats.org/spreadsheetml/2006/main">
  <x:sheetViews>
    <x:sheetView showGridLines="0" workbookViewId="0"/>
  </x:sheetViews>
  <x:sheetFormatPr defaultRowHeight="15"/>
  <x:cols>
    <x:col min="1" max="1" width="38" hidden="0" customWidth="1"/>
    <x:col min="2" max="2" width="15" hidden="0" customWidth="1"/>
    <x:col min="3" max="3" width="15" hidden="0" customWidth="1"/>
    <x:col min="4" max="4" width="15" hidden="0" customWidth="1"/>
    <x:col min="5" max="5" width="15" hidden="0" customWidth="1"/>
    <x:col min="6" max="6" width="14" hidden="0" customWidth="1"/>
    <x:col min="7" max="7" width="62" hidden="0" customWidth="1"/>
  </x:cols>
  <x:sheetData>
    <x:row r="1" ht="30" customHeight="1">
      <x:c r="A1" s="264" t="str">
        <x:v>Phase 3 — Five-Year Historical Model Control Sheet</x:v>
      </x:c>
      <x:c r="B1" s="264" t="str">
        <x:v>Phase 3 — Five-Year Historical Model Control Sheet</x:v>
      </x:c>
      <x:c r="C1" s="264" t="str">
        <x:v>Phase 3 — Five-Year Historical Model Control Sheet</x:v>
      </x:c>
      <x:c r="D1" s="264" t="str">
        <x:v>Phase 3 — Five-Year Historical Model Control Sheet</x:v>
      </x:c>
      <x:c r="E1" s="264" t="str">
        <x:v>Phase 3 — Five-Year Historical Model Control Sheet</x:v>
      </x:c>
      <x:c r="F1" s="264" t="str">
        <x:v>Phase 3 — Five-Year Historical Model Control Sheet</x:v>
      </x:c>
      <x:c r="G1" s="264" t="str">
        <x:v>Phase 3 — Five-Year Historical Model Control Sheet</x:v>
      </x:c>
    </x:row>
    <x:row r="2" ht="34" customHeight="1">
      <x:c r="A2" s="268" t="str">
        <x:v>Controls validate source coverage, raw-data linkage and model arithmetic. Passing checks validate structure, not investment merit.</x:v>
      </x:c>
      <x:c r="B2" s="268" t="str">
        <x:v>Controls validate source coverage, raw-data linkage and model arithmetic. Passing checks validate structure, not investment merit.</x:v>
      </x:c>
      <x:c r="C2" s="268" t="str">
        <x:v>Controls validate source coverage, raw-data linkage and model arithmetic. Passing checks validate structure, not investment merit.</x:v>
      </x:c>
      <x:c r="D2" s="268" t="str">
        <x:v>Controls validate source coverage, raw-data linkage and model arithmetic. Passing checks validate structure, not investment merit.</x:v>
      </x:c>
      <x:c r="E2" s="268" t="str">
        <x:v>Controls validate source coverage, raw-data linkage and model arithmetic. Passing checks validate structure, not investment merit.</x:v>
      </x:c>
      <x:c r="F2" s="268" t="str">
        <x:v>Controls validate source coverage, raw-data linkage and model arithmetic. Passing checks validate structure, not investment merit.</x:v>
      </x:c>
      <x:c r="G2" s="268" t="str">
        <x:v>Controls validate source coverage, raw-data linkage and model arithmetic. Passing checks validate structure, not investment merit.</x:v>
      </x:c>
    </x:row>
    <x:row r="4" ht="21" customHeight="1">
      <x:c r="A4" s="286" t="str">
        <x:v>Formula-driven checks</x:v>
      </x:c>
      <x:c r="B4" s="286" t="str">
        <x:v>Formula-driven checks</x:v>
      </x:c>
      <x:c r="C4" s="286" t="str">
        <x:v>Formula-driven checks</x:v>
      </x:c>
      <x:c r="D4" s="286" t="str">
        <x:v>Formula-driven checks</x:v>
      </x:c>
      <x:c r="E4" s="286" t="str">
        <x:v>Formula-driven checks</x:v>
      </x:c>
      <x:c r="F4" s="286" t="str">
        <x:v>Formula-driven checks</x:v>
      </x:c>
      <x:c r="G4" s="286" t="str">
        <x:v>Formula-driven checks</x:v>
      </x:c>
    </x:row>
    <x:row r="6" ht="32" customHeight="1">
      <x:c r="A6" s="278" t="str">
        <x:v>Check</x:v>
      </x:c>
      <x:c r="B6" s="278" t="str">
        <x:v>Actual</x:v>
      </x:c>
      <x:c r="C6" s="278" t="str">
        <x:v>Expected</x:v>
      </x:c>
      <x:c r="D6" s="278" t="str">
        <x:v>Difference</x:v>
      </x:c>
      <x:c r="E6" s="278" t="str">
        <x:v>Tolerance</x:v>
      </x:c>
      <x:c r="F6" s="278" t="str">
        <x:v>Status</x:v>
      </x:c>
      <x:c r="G6" s="278" t="str">
        <x:v>Control note</x:v>
      </x:c>
    </x:row>
    <x:row r="7" ht="25" customHeight="1">
      <x:c r="A7" s="85" t="str">
        <x:v>Registered source count</x:v>
      </x:c>
      <x:c r="B7" s="133" t="n">
        <x:f>COUNTA('Source Audit'!A7:A44)</x:f>
        <x:v>38</x:v>
      </x:c>
      <x:c r="C7" s="133" t="n">
        <x:v>38</x:v>
      </x:c>
      <x:c r="D7" s="133" t="n">
        <x:f>B7-C7</x:f>
        <x:v>0</x:v>
      </x:c>
      <x:c r="E7" s="133" t="n">
        <x:v>0</x:v>
      </x:c>
      <x:c r="F7" s="371" t="str">
        <x:f>IF(ABS(D7)&lt;=E7,"OK","CHECK")</x:f>
        <x:v>OK</x:v>
      </x:c>
      <x:c r="G7" s="87" t="str">
        <x:v>Source Audit includes VNStock plus four additional GMD annual-report sources.</x:v>
      </x:c>
    </x:row>
    <x:row r="8" ht="25" customHeight="1">
      <x:c r="A8" s="88" t="str">
        <x:v>Raw income-statement row count</x:v>
      </x:c>
      <x:c r="B8" s="134" t="n">
        <x:f>COUNTIF('Raw GMD VNStock'!A6:A193,"income_statement")</x:f>
        <x:v>25</x:v>
      </x:c>
      <x:c r="C8" s="134" t="n">
        <x:v>25</x:v>
      </x:c>
      <x:c r="D8" s="134" t="n">
        <x:f>B8-C8</x:f>
        <x:v>0</x:v>
      </x:c>
      <x:c r="E8" s="134" t="n">
        <x:v>0</x:v>
      </x:c>
      <x:c r="F8" s="372" t="str">
        <x:f>IF(ABS(D8)&lt;=E8,"OK","CHECK")</x:f>
        <x:v>OK</x:v>
      </x:c>
      <x:c r="G8" s="90" t="str">
        <x:v>VNStock annual income statement loaded.</x:v>
      </x:c>
    </x:row>
    <x:row r="9" ht="25" customHeight="1">
      <x:c r="A9" s="88" t="str">
        <x:v>Raw balance-sheet row count</x:v>
      </x:c>
      <x:c r="B9" s="134" t="n">
        <x:f>COUNTIF('Raw GMD VNStock'!A6:A193,"balance_sheet")</x:f>
        <x:v>122</x:v>
      </x:c>
      <x:c r="C9" s="134" t="n">
        <x:v>122</x:v>
      </x:c>
      <x:c r="D9" s="134" t="n">
        <x:f>B9-C9</x:f>
        <x:v>0</x:v>
      </x:c>
      <x:c r="E9" s="134" t="n">
        <x:v>0</x:v>
      </x:c>
      <x:c r="F9" s="372" t="str">
        <x:f>IF(ABS(D9)&lt;=E9,"OK","CHECK")</x:f>
        <x:v>OK</x:v>
      </x:c>
      <x:c r="G9" s="90" t="str">
        <x:v>VNStock annual balance sheet loaded.</x:v>
      </x:c>
    </x:row>
    <x:row r="10" ht="25" customHeight="1">
      <x:c r="A10" s="88" t="str">
        <x:v>Raw cash-flow row count</x:v>
      </x:c>
      <x:c r="B10" s="134" t="n">
        <x:f>COUNTIF('Raw GMD VNStock'!A6:A193,"cash_flow")</x:f>
        <x:v>41</x:v>
      </x:c>
      <x:c r="C10" s="134" t="n">
        <x:v>41</x:v>
      </x:c>
      <x:c r="D10" s="134" t="n">
        <x:f>B10-C10</x:f>
        <x:v>0</x:v>
      </x:c>
      <x:c r="E10" s="134" t="n">
        <x:v>0</x:v>
      </x:c>
      <x:c r="F10" s="372" t="str">
        <x:f>IF(ABS(D10)&lt;=E10,"OK","CHECK")</x:f>
        <x:v>OK</x:v>
      </x:c>
      <x:c r="G10" s="90" t="str">
        <x:v>VNStock annual cash flow loaded.</x:v>
      </x:c>
    </x:row>
    <x:row r="11" ht="25" customHeight="1">
      <x:c r="A11" s="88" t="str">
        <x:v>Segment revenue tie — 2021</x:v>
      </x:c>
      <x:c r="B11" s="134" t="n">
        <x:f>'P3 Historical IS'!C54</x:f>
        <x:v>-3.330001163703855e-7</x:v>
      </x:c>
      <x:c r="C11" s="134" t="n">
        <x:v>0</x:v>
      </x:c>
      <x:c r="D11" s="134" t="n">
        <x:f>B11-C11</x:f>
        <x:v>-3.330001163703855e-7</x:v>
      </x:c>
      <x:c r="E11" s="134" t="n">
        <x:v>0.01</x:v>
      </x:c>
      <x:c r="F11" s="372" t="str">
        <x:f>IF(ABS(D11)&lt;=E11,"OK","CHECK")</x:f>
        <x:v>OK</x:v>
      </x:c>
      <x:c r="G11" s="90" t="str">
        <x:v>Port + logistics + other = consolidated revenue.</x:v>
      </x:c>
    </x:row>
    <x:row r="12" ht="25" customHeight="1">
      <x:c r="A12" s="88" t="str">
        <x:v>PBT bridge — 2021</x:v>
      </x:c>
      <x:c r="B12" s="134" t="n">
        <x:f>'P3 Historical IS'!C24</x:f>
        <x:v>-2.2737367544323206e-13</x:v>
      </x:c>
      <x:c r="C12" s="134" t="n">
        <x:v>0</x:v>
      </x:c>
      <x:c r="D12" s="134" t="n">
        <x:f>B12-C12</x:f>
        <x:v>-2.2737367544323206e-13</x:v>
      </x:c>
      <x:c r="E12" s="134" t="n">
        <x:v>0.01</x:v>
      </x:c>
      <x:c r="F12" s="372" t="str">
        <x:f>IF(ABS(D12)&lt;=E12,"OK","CHECK")</x:f>
        <x:v>OK</x:v>
      </x:c>
      <x:c r="G12" s="90" t="str">
        <x:v>Calculated PBT ties to VNStock/audited PBT.</x:v>
      </x:c>
    </x:row>
    <x:row r="13" ht="25" customHeight="1">
      <x:c r="A13" s="88" t="str">
        <x:v>PAT bridge — 2021</x:v>
      </x:c>
      <x:c r="B13" s="134" t="n">
        <x:f>'P3 Historical IS'!C42</x:f>
        <x:v>0</x:v>
      </x:c>
      <x:c r="C13" s="134" t="n">
        <x:v>0</x:v>
      </x:c>
      <x:c r="D13" s="134" t="n">
        <x:f>B13-C13</x:f>
        <x:v>0</x:v>
      </x:c>
      <x:c r="E13" s="134" t="n">
        <x:v>0.01</x:v>
      </x:c>
      <x:c r="F13" s="372" t="str">
        <x:f>IF(ABS(D13)&lt;=E13,"OK","CHECK")</x:f>
        <x:v>OK</x:v>
      </x:c>
      <x:c r="G13" s="90" t="str">
        <x:v>Tax bridge ties to consolidated PAT.</x:v>
      </x:c>
    </x:row>
    <x:row r="14" ht="25" customHeight="1">
      <x:c r="A14" s="88" t="str">
        <x:v>PAT attribution — 2021</x:v>
      </x:c>
      <x:c r="B14" s="134" t="n">
        <x:f>'P3 Historical IS'!C45</x:f>
        <x:v>0</x:v>
      </x:c>
      <x:c r="C14" s="134" t="n">
        <x:v>0</x:v>
      </x:c>
      <x:c r="D14" s="134" t="n">
        <x:f>B14-C14</x:f>
        <x:v>0</x:v>
      </x:c>
      <x:c r="E14" s="134" t="n">
        <x:v>0.01</x:v>
      </x:c>
      <x:c r="F14" s="372" t="str">
        <x:f>IF(ABS(D14)&lt;=E14,"OK","CHECK")</x:f>
        <x:v>OK</x:v>
      </x:c>
      <x:c r="G14" s="90" t="str">
        <x:v>Parent + NCI = consolidated PAT.</x:v>
      </x:c>
    </x:row>
    <x:row r="15" ht="25" customHeight="1">
      <x:c r="A15" s="88" t="str">
        <x:v>Port revenue identity — 2021</x:v>
      </x:c>
      <x:c r="B15" s="134" t="n">
        <x:f>'P3 Port Drivers'!C8-'P3 Port Drivers'!C6*'P3 Port Drivers'!C10</x:f>
        <x:v>0</x:v>
      </x:c>
      <x:c r="C15" s="134" t="n">
        <x:v>0</x:v>
      </x:c>
      <x:c r="D15" s="134" t="n">
        <x:f>B15-C15</x:f>
        <x:v>0</x:v>
      </x:c>
      <x:c r="E15" s="134" t="n">
        <x:v>0.01</x:v>
      </x:c>
      <x:c r="F15" s="372" t="str">
        <x:f>IF(ABS(D15)&lt;=E15,"OK","CHECK")</x:f>
        <x:v>OK</x:v>
      </x:c>
      <x:c r="G15" s="90" t="str">
        <x:v>Throughput × unit proxy = port revenue.</x:v>
      </x:c>
    </x:row>
    <x:row r="16" ht="25" customHeight="1">
      <x:c r="A16" s="88" t="str">
        <x:v>Associate composition — 2021</x:v>
      </x:c>
      <x:c r="B16" s="134" t="n">
        <x:f>'P3 Associates'!C6-SUM('P3 Associates'!C7:C10)</x:f>
        <x:v>0</x:v>
      </x:c>
      <x:c r="C16" s="134" t="n">
        <x:v>0</x:v>
      </x:c>
      <x:c r="D16" s="134" t="n">
        <x:f>B16-C16</x:f>
        <x:v>0</x:v>
      </x:c>
      <x:c r="E16" s="134" t="n">
        <x:v>0.01</x:v>
      </x:c>
      <x:c r="F16" s="372" t="str">
        <x:f>IF(ABS(D16)&lt;=E16,"OK","CHECK")</x:f>
        <x:v>OK</x:v>
      </x:c>
      <x:c r="G16" s="90" t="str">
        <x:v>Named associates + residual = total.</x:v>
      </x:c>
    </x:row>
    <x:row r="17" ht="25" customHeight="1">
      <x:c r="A17" s="88" t="str">
        <x:v>Pre-WC bridge — 2021</x:v>
      </x:c>
      <x:c r="B17" s="134" t="n">
        <x:f>'P3 Cash Flow'!C28</x:f>
        <x:v>2.2737367544323206e-13</x:v>
      </x:c>
      <x:c r="C17" s="134" t="n">
        <x:v>0</x:v>
      </x:c>
      <x:c r="D17" s="134" t="n">
        <x:f>B17-C17</x:f>
        <x:v>2.2737367544323206e-13</x:v>
      </x:c>
      <x:c r="E17" s="134" t="n">
        <x:v>0.01</x:v>
      </x:c>
      <x:c r="F17" s="372" t="str">
        <x:f>IF(ABS(D17)&lt;=E17,"OK","CHECK")</x:f>
        <x:v>OK</x:v>
      </x:c>
      <x:c r="G17" s="90" t="str">
        <x:v>PBT and non-cash adjustments tie to the disclosed subtotal.</x:v>
      </x:c>
    </x:row>
    <x:row r="18" ht="25" customHeight="1">
      <x:c r="A18" s="88" t="str">
        <x:v>CFO reconstruction — 2021</x:v>
      </x:c>
      <x:c r="B18" s="134" t="n">
        <x:f>'P3 Cash Flow'!C43</x:f>
        <x:v>2.2737367544323206e-13</x:v>
      </x:c>
      <x:c r="C18" s="134" t="n">
        <x:v>0</x:v>
      </x:c>
      <x:c r="D18" s="134" t="n">
        <x:f>B18-C18</x:f>
        <x:v>2.2737367544323206e-13</x:v>
      </x:c>
      <x:c r="E18" s="134" t="n">
        <x:v>0.01</x:v>
      </x:c>
      <x:c r="F18" s="372" t="str">
        <x:f>IF(ABS(D18)&lt;=E18,"OK","CHECK")</x:f>
        <x:v>OK</x:v>
      </x:c>
      <x:c r="G18" s="90" t="str">
        <x:v>Cash-flow components tie to reported CFO.</x:v>
      </x:c>
    </x:row>
    <x:row r="19" ht="25" customHeight="1">
      <x:c r="A19" s="88" t="str">
        <x:v>Segment revenue tie — 2022</x:v>
      </x:c>
      <x:c r="B19" s="134" t="n">
        <x:f>'P3 Historical IS'!D54</x:f>
        <x:v>4.3000000005122274e-7</x:v>
      </x:c>
      <x:c r="C19" s="134" t="n">
        <x:v>0</x:v>
      </x:c>
      <x:c r="D19" s="134" t="n">
        <x:f>B19-C19</x:f>
        <x:v>4.3000000005122274e-7</x:v>
      </x:c>
      <x:c r="E19" s="134" t="n">
        <x:v>0.01</x:v>
      </x:c>
      <x:c r="F19" s="372" t="str">
        <x:f>IF(ABS(D19)&lt;=E19,"OK","CHECK")</x:f>
        <x:v>OK</x:v>
      </x:c>
      <x:c r="G19" s="90" t="str">
        <x:v>Port + logistics + other = consolidated revenue.</x:v>
      </x:c>
    </x:row>
    <x:row r="20" ht="25" customHeight="1">
      <x:c r="A20" s="88" t="str">
        <x:v>PBT bridge — 2022</x:v>
      </x:c>
      <x:c r="B20" s="134" t="n">
        <x:f>'P3 Historical IS'!D24</x:f>
        <x:v>0</x:v>
      </x:c>
      <x:c r="C20" s="134" t="n">
        <x:v>0</x:v>
      </x:c>
      <x:c r="D20" s="134" t="n">
        <x:f>B20-C20</x:f>
        <x:v>0</x:v>
      </x:c>
      <x:c r="E20" s="134" t="n">
        <x:v>0.01</x:v>
      </x:c>
      <x:c r="F20" s="372" t="str">
        <x:f>IF(ABS(D20)&lt;=E20,"OK","CHECK")</x:f>
        <x:v>OK</x:v>
      </x:c>
      <x:c r="G20" s="90" t="str">
        <x:v>Calculated PBT ties to VNStock/audited PBT.</x:v>
      </x:c>
    </x:row>
    <x:row r="21" ht="25" customHeight="1">
      <x:c r="A21" s="88" t="str">
        <x:v>PAT bridge — 2022</x:v>
      </x:c>
      <x:c r="B21" s="134" t="n">
        <x:f>'P3 Historical IS'!D42</x:f>
        <x:v>0</x:v>
      </x:c>
      <x:c r="C21" s="134" t="n">
        <x:v>0</x:v>
      </x:c>
      <x:c r="D21" s="134" t="n">
        <x:f>B21-C21</x:f>
        <x:v>0</x:v>
      </x:c>
      <x:c r="E21" s="134" t="n">
        <x:v>0.01</x:v>
      </x:c>
      <x:c r="F21" s="372" t="str">
        <x:f>IF(ABS(D21)&lt;=E21,"OK","CHECK")</x:f>
        <x:v>OK</x:v>
      </x:c>
      <x:c r="G21" s="90" t="str">
        <x:v>Tax bridge ties to consolidated PAT.</x:v>
      </x:c>
    </x:row>
    <x:row r="22" ht="25" customHeight="1">
      <x:c r="A22" s="88" t="str">
        <x:v>PAT attribution — 2022</x:v>
      </x:c>
      <x:c r="B22" s="134" t="n">
        <x:f>'P3 Historical IS'!D45</x:f>
        <x:v>0</x:v>
      </x:c>
      <x:c r="C22" s="134" t="n">
        <x:v>0</x:v>
      </x:c>
      <x:c r="D22" s="134" t="n">
        <x:f>B22-C22</x:f>
        <x:v>0</x:v>
      </x:c>
      <x:c r="E22" s="134" t="n">
        <x:v>0.01</x:v>
      </x:c>
      <x:c r="F22" s="372" t="str">
        <x:f>IF(ABS(D22)&lt;=E22,"OK","CHECK")</x:f>
        <x:v>OK</x:v>
      </x:c>
      <x:c r="G22" s="90" t="str">
        <x:v>Parent + NCI = consolidated PAT.</x:v>
      </x:c>
    </x:row>
    <x:row r="23" ht="25" customHeight="1">
      <x:c r="A23" s="88" t="str">
        <x:v>Port revenue identity — 2022</x:v>
      </x:c>
      <x:c r="B23" s="134" t="n">
        <x:f>'P3 Port Drivers'!D8-'P3 Port Drivers'!D6*'P3 Port Drivers'!D10</x:f>
        <x:v>0</x:v>
      </x:c>
      <x:c r="C23" s="134" t="n">
        <x:v>0</x:v>
      </x:c>
      <x:c r="D23" s="134" t="n">
        <x:f>B23-C23</x:f>
        <x:v>0</x:v>
      </x:c>
      <x:c r="E23" s="134" t="n">
        <x:v>0.01</x:v>
      </x:c>
      <x:c r="F23" s="372" t="str">
        <x:f>IF(ABS(D23)&lt;=E23,"OK","CHECK")</x:f>
        <x:v>OK</x:v>
      </x:c>
      <x:c r="G23" s="90" t="str">
        <x:v>Throughput × unit proxy = port revenue.</x:v>
      </x:c>
    </x:row>
    <x:row r="24" ht="25" customHeight="1">
      <x:c r="A24" s="88" t="str">
        <x:v>Associate composition — 2022</x:v>
      </x:c>
      <x:c r="B24" s="134" t="n">
        <x:f>'P3 Associates'!D6-SUM('P3 Associates'!D7:D10)</x:f>
        <x:v>0</x:v>
      </x:c>
      <x:c r="C24" s="134" t="n">
        <x:v>0</x:v>
      </x:c>
      <x:c r="D24" s="134" t="n">
        <x:f>B24-C24</x:f>
        <x:v>0</x:v>
      </x:c>
      <x:c r="E24" s="134" t="n">
        <x:v>0.01</x:v>
      </x:c>
      <x:c r="F24" s="372" t="str">
        <x:f>IF(ABS(D24)&lt;=E24,"OK","CHECK")</x:f>
        <x:v>OK</x:v>
      </x:c>
      <x:c r="G24" s="90" t="str">
        <x:v>Named associates + residual = total.</x:v>
      </x:c>
    </x:row>
    <x:row r="25" ht="25" customHeight="1">
      <x:c r="A25" s="88" t="str">
        <x:v>Pre-WC bridge — 2022</x:v>
      </x:c>
      <x:c r="B25" s="134" t="n">
        <x:f>'P3 Cash Flow'!D28</x:f>
        <x:v>0</x:v>
      </x:c>
      <x:c r="C25" s="134" t="n">
        <x:v>0</x:v>
      </x:c>
      <x:c r="D25" s="134" t="n">
        <x:f>B25-C25</x:f>
        <x:v>0</x:v>
      </x:c>
      <x:c r="E25" s="134" t="n">
        <x:v>0.01</x:v>
      </x:c>
      <x:c r="F25" s="372" t="str">
        <x:f>IF(ABS(D25)&lt;=E25,"OK","CHECK")</x:f>
        <x:v>OK</x:v>
      </x:c>
      <x:c r="G25" s="90" t="str">
        <x:v>PBT and non-cash adjustments tie to the disclosed subtotal.</x:v>
      </x:c>
    </x:row>
    <x:row r="26" ht="25" customHeight="1">
      <x:c r="A26" s="88" t="str">
        <x:v>CFO reconstruction — 2022</x:v>
      </x:c>
      <x:c r="B26" s="134" t="n">
        <x:f>'P3 Cash Flow'!D43</x:f>
        <x:v>0</x:v>
      </x:c>
      <x:c r="C26" s="134" t="n">
        <x:v>0</x:v>
      </x:c>
      <x:c r="D26" s="134" t="n">
        <x:f>B26-C26</x:f>
        <x:v>0</x:v>
      </x:c>
      <x:c r="E26" s="134" t="n">
        <x:v>0.01</x:v>
      </x:c>
      <x:c r="F26" s="372" t="str">
        <x:f>IF(ABS(D26)&lt;=E26,"OK","CHECK")</x:f>
        <x:v>OK</x:v>
      </x:c>
      <x:c r="G26" s="90" t="str">
        <x:v>Cash-flow components tie to reported CFO.</x:v>
      </x:c>
    </x:row>
    <x:row r="27" ht="25" customHeight="1">
      <x:c r="A27" s="88" t="str">
        <x:v>Segment revenue tie — 2023</x:v>
      </x:c>
      <x:c r="B27" s="134" t="n">
        <x:f>'P3 Historical IS'!E54</x:f>
        <x:v>-5.680003596353345e-7</x:v>
      </x:c>
      <x:c r="C27" s="134" t="n">
        <x:v>0</x:v>
      </x:c>
      <x:c r="D27" s="134" t="n">
        <x:f>B27-C27</x:f>
        <x:v>-5.680003596353345e-7</x:v>
      </x:c>
      <x:c r="E27" s="134" t="n">
        <x:v>0.01</x:v>
      </x:c>
      <x:c r="F27" s="372" t="str">
        <x:f>IF(ABS(D27)&lt;=E27,"OK","CHECK")</x:f>
        <x:v>OK</x:v>
      </x:c>
      <x:c r="G27" s="90" t="str">
        <x:v>Port + logistics + other = consolidated revenue.</x:v>
      </x:c>
    </x:row>
    <x:row r="28" ht="25" customHeight="1">
      <x:c r="A28" s="88" t="str">
        <x:v>PBT bridge — 2023</x:v>
      </x:c>
      <x:c r="B28" s="134" t="n">
        <x:f>'P3 Historical IS'!E24</x:f>
        <x:v>-4.547473508864641e-13</x:v>
      </x:c>
      <x:c r="C28" s="134" t="n">
        <x:v>0</x:v>
      </x:c>
      <x:c r="D28" s="134" t="n">
        <x:f>B28-C28</x:f>
        <x:v>-4.547473508864641e-13</x:v>
      </x:c>
      <x:c r="E28" s="134" t="n">
        <x:v>0.01</x:v>
      </x:c>
      <x:c r="F28" s="372" t="str">
        <x:f>IF(ABS(D28)&lt;=E28,"OK","CHECK")</x:f>
        <x:v>OK</x:v>
      </x:c>
      <x:c r="G28" s="90" t="str">
        <x:v>Calculated PBT ties to VNStock/audited PBT.</x:v>
      </x:c>
    </x:row>
    <x:row r="29" ht="25" customHeight="1">
      <x:c r="A29" s="88" t="str">
        <x:v>PAT bridge — 2023</x:v>
      </x:c>
      <x:c r="B29" s="134" t="n">
        <x:f>'P3 Historical IS'!E42</x:f>
        <x:v>0</x:v>
      </x:c>
      <x:c r="C29" s="134" t="n">
        <x:v>0</x:v>
      </x:c>
      <x:c r="D29" s="134" t="n">
        <x:f>B29-C29</x:f>
        <x:v>0</x:v>
      </x:c>
      <x:c r="E29" s="134" t="n">
        <x:v>0.01</x:v>
      </x:c>
      <x:c r="F29" s="372" t="str">
        <x:f>IF(ABS(D29)&lt;=E29,"OK","CHECK")</x:f>
        <x:v>OK</x:v>
      </x:c>
      <x:c r="G29" s="90" t="str">
        <x:v>Tax bridge ties to consolidated PAT.</x:v>
      </x:c>
    </x:row>
    <x:row r="30" ht="25" customHeight="1">
      <x:c r="A30" s="88" t="str">
        <x:v>PAT attribution — 2023</x:v>
      </x:c>
      <x:c r="B30" s="134" t="n">
        <x:f>'P3 Historical IS'!E45</x:f>
        <x:v>4.547473508864641e-13</x:v>
      </x:c>
      <x:c r="C30" s="134" t="n">
        <x:v>0</x:v>
      </x:c>
      <x:c r="D30" s="134" t="n">
        <x:f>B30-C30</x:f>
        <x:v>4.547473508864641e-13</x:v>
      </x:c>
      <x:c r="E30" s="134" t="n">
        <x:v>0.01</x:v>
      </x:c>
      <x:c r="F30" s="372" t="str">
        <x:f>IF(ABS(D30)&lt;=E30,"OK","CHECK")</x:f>
        <x:v>OK</x:v>
      </x:c>
      <x:c r="G30" s="90" t="str">
        <x:v>Parent + NCI = consolidated PAT.</x:v>
      </x:c>
    </x:row>
    <x:row r="31" ht="25" customHeight="1">
      <x:c r="A31" s="88" t="str">
        <x:v>Port revenue identity — 2023</x:v>
      </x:c>
      <x:c r="B31" s="134" t="n">
        <x:f>'P3 Port Drivers'!E8-'P3 Port Drivers'!E6*'P3 Port Drivers'!E10</x:f>
        <x:v>0</x:v>
      </x:c>
      <x:c r="C31" s="134" t="n">
        <x:v>0</x:v>
      </x:c>
      <x:c r="D31" s="134" t="n">
        <x:f>B31-C31</x:f>
        <x:v>0</x:v>
      </x:c>
      <x:c r="E31" s="134" t="n">
        <x:v>0.01</x:v>
      </x:c>
      <x:c r="F31" s="372" t="str">
        <x:f>IF(ABS(D31)&lt;=E31,"OK","CHECK")</x:f>
        <x:v>OK</x:v>
      </x:c>
      <x:c r="G31" s="90" t="str">
        <x:v>Throughput × unit proxy = port revenue.</x:v>
      </x:c>
    </x:row>
    <x:row r="32" ht="25" customHeight="1">
      <x:c r="A32" s="88" t="str">
        <x:v>Associate composition — 2023</x:v>
      </x:c>
      <x:c r="B32" s="134" t="n">
        <x:f>'P3 Associates'!E6-SUM('P3 Associates'!E7:E10)</x:f>
        <x:v>0</x:v>
      </x:c>
      <x:c r="C32" s="134" t="n">
        <x:v>0</x:v>
      </x:c>
      <x:c r="D32" s="134" t="n">
        <x:f>B32-C32</x:f>
        <x:v>0</x:v>
      </x:c>
      <x:c r="E32" s="134" t="n">
        <x:v>0.01</x:v>
      </x:c>
      <x:c r="F32" s="372" t="str">
        <x:f>IF(ABS(D32)&lt;=E32,"OK","CHECK")</x:f>
        <x:v>OK</x:v>
      </x:c>
      <x:c r="G32" s="90" t="str">
        <x:v>Named associates + residual = total.</x:v>
      </x:c>
    </x:row>
    <x:row r="33" ht="25" customHeight="1">
      <x:c r="A33" s="88" t="str">
        <x:v>Pre-WC bridge — 2023</x:v>
      </x:c>
      <x:c r="B33" s="134" t="n">
        <x:f>'P3 Cash Flow'!E28</x:f>
        <x:v>4.547473508864641e-13</x:v>
      </x:c>
      <x:c r="C33" s="134" t="n">
        <x:v>0</x:v>
      </x:c>
      <x:c r="D33" s="134" t="n">
        <x:f>B33-C33</x:f>
        <x:v>4.547473508864641e-13</x:v>
      </x:c>
      <x:c r="E33" s="134" t="n">
        <x:v>0.01</x:v>
      </x:c>
      <x:c r="F33" s="372" t="str">
        <x:f>IF(ABS(D33)&lt;=E33,"OK","CHECK")</x:f>
        <x:v>OK</x:v>
      </x:c>
      <x:c r="G33" s="90" t="str">
        <x:v>PBT and non-cash adjustments tie to the disclosed subtotal.</x:v>
      </x:c>
    </x:row>
    <x:row r="34" ht="25" customHeight="1">
      <x:c r="A34" s="88" t="str">
        <x:v>CFO reconstruction — 2023</x:v>
      </x:c>
      <x:c r="B34" s="134" t="n">
        <x:f>'P3 Cash Flow'!E43</x:f>
        <x:v>5.364597654988756e-13</x:v>
      </x:c>
      <x:c r="C34" s="134" t="n">
        <x:v>0</x:v>
      </x:c>
      <x:c r="D34" s="134" t="n">
        <x:f>B34-C34</x:f>
        <x:v>5.364597654988756e-13</x:v>
      </x:c>
      <x:c r="E34" s="134" t="n">
        <x:v>0.01</x:v>
      </x:c>
      <x:c r="F34" s="372" t="str">
        <x:f>IF(ABS(D34)&lt;=E34,"OK","CHECK")</x:f>
        <x:v>OK</x:v>
      </x:c>
      <x:c r="G34" s="90" t="str">
        <x:v>Cash-flow components tie to reported CFO.</x:v>
      </x:c>
    </x:row>
    <x:row r="35" ht="25" customHeight="1">
      <x:c r="A35" s="88" t="str">
        <x:v>Segment revenue tie — 2024</x:v>
      </x:c>
      <x:c r="B35" s="134" t="n">
        <x:f>'P3 Historical IS'!F54</x:f>
        <x:v>3.9000042306724936e-8</x:v>
      </x:c>
      <x:c r="C35" s="134" t="n">
        <x:v>0</x:v>
      </x:c>
      <x:c r="D35" s="134" t="n">
        <x:f>B35-C35</x:f>
        <x:v>3.9000042306724936e-8</x:v>
      </x:c>
      <x:c r="E35" s="134" t="n">
        <x:v>0.01</x:v>
      </x:c>
      <x:c r="F35" s="372" t="str">
        <x:f>IF(ABS(D35)&lt;=E35,"OK","CHECK")</x:f>
        <x:v>OK</x:v>
      </x:c>
      <x:c r="G35" s="90" t="str">
        <x:v>Port + logistics + other = consolidated revenue.</x:v>
      </x:c>
    </x:row>
    <x:row r="36" ht="25" customHeight="1">
      <x:c r="A36" s="88" t="str">
        <x:v>PBT bridge — 2024</x:v>
      </x:c>
      <x:c r="B36" s="134" t="n">
        <x:f>'P3 Historical IS'!F24</x:f>
        <x:v>0</x:v>
      </x:c>
      <x:c r="C36" s="134" t="n">
        <x:v>0</x:v>
      </x:c>
      <x:c r="D36" s="134" t="n">
        <x:f>B36-C36</x:f>
        <x:v>0</x:v>
      </x:c>
      <x:c r="E36" s="134" t="n">
        <x:v>0.01</x:v>
      </x:c>
      <x:c r="F36" s="372" t="str">
        <x:f>IF(ABS(D36)&lt;=E36,"OK","CHECK")</x:f>
        <x:v>OK</x:v>
      </x:c>
      <x:c r="G36" s="90" t="str">
        <x:v>Calculated PBT ties to VNStock/audited PBT.</x:v>
      </x:c>
    </x:row>
    <x:row r="37" ht="25" customHeight="1">
      <x:c r="A37" s="88" t="str">
        <x:v>PAT bridge — 2024</x:v>
      </x:c>
      <x:c r="B37" s="134" t="n">
        <x:f>'P3 Historical IS'!F42</x:f>
        <x:v>-2.2737367544323206e-13</x:v>
      </x:c>
      <x:c r="C37" s="134" t="n">
        <x:v>0</x:v>
      </x:c>
      <x:c r="D37" s="134" t="n">
        <x:f>B37-C37</x:f>
        <x:v>-2.2737367544323206e-13</x:v>
      </x:c>
      <x:c r="E37" s="134" t="n">
        <x:v>0.01</x:v>
      </x:c>
      <x:c r="F37" s="372" t="str">
        <x:f>IF(ABS(D37)&lt;=E37,"OK","CHECK")</x:f>
        <x:v>OK</x:v>
      </x:c>
      <x:c r="G37" s="90" t="str">
        <x:v>Tax bridge ties to consolidated PAT.</x:v>
      </x:c>
    </x:row>
    <x:row r="38" ht="25" customHeight="1">
      <x:c r="A38" s="88" t="str">
        <x:v>PAT attribution — 2024</x:v>
      </x:c>
      <x:c r="B38" s="134" t="n">
        <x:f>'P3 Historical IS'!F45</x:f>
        <x:v>0</x:v>
      </x:c>
      <x:c r="C38" s="134" t="n">
        <x:v>0</x:v>
      </x:c>
      <x:c r="D38" s="134" t="n">
        <x:f>B38-C38</x:f>
        <x:v>0</x:v>
      </x:c>
      <x:c r="E38" s="134" t="n">
        <x:v>0.01</x:v>
      </x:c>
      <x:c r="F38" s="372" t="str">
        <x:f>IF(ABS(D38)&lt;=E38,"OK","CHECK")</x:f>
        <x:v>OK</x:v>
      </x:c>
      <x:c r="G38" s="90" t="str">
        <x:v>Parent + NCI = consolidated PAT.</x:v>
      </x:c>
    </x:row>
    <x:row r="39" ht="25" customHeight="1">
      <x:c r="A39" s="88" t="str">
        <x:v>Port revenue identity — 2024</x:v>
      </x:c>
      <x:c r="B39" s="134" t="n">
        <x:f>'P3 Port Drivers'!F8-'P3 Port Drivers'!F6*'P3 Port Drivers'!F10</x:f>
        <x:v>0</x:v>
      </x:c>
      <x:c r="C39" s="134" t="n">
        <x:v>0</x:v>
      </x:c>
      <x:c r="D39" s="134" t="n">
        <x:f>B39-C39</x:f>
        <x:v>0</x:v>
      </x:c>
      <x:c r="E39" s="134" t="n">
        <x:v>0.01</x:v>
      </x:c>
      <x:c r="F39" s="372" t="str">
        <x:f>IF(ABS(D39)&lt;=E39,"OK","CHECK")</x:f>
        <x:v>OK</x:v>
      </x:c>
      <x:c r="G39" s="90" t="str">
        <x:v>Throughput × unit proxy = port revenue.</x:v>
      </x:c>
    </x:row>
    <x:row r="40" ht="25" customHeight="1">
      <x:c r="A40" s="88" t="str">
        <x:v>Associate composition — 2024</x:v>
      </x:c>
      <x:c r="B40" s="134" t="n">
        <x:f>'P3 Associates'!F6-SUM('P3 Associates'!F7:F10)</x:f>
        <x:v>0</x:v>
      </x:c>
      <x:c r="C40" s="134" t="n">
        <x:v>0</x:v>
      </x:c>
      <x:c r="D40" s="134" t="n">
        <x:f>B40-C40</x:f>
        <x:v>0</x:v>
      </x:c>
      <x:c r="E40" s="134" t="n">
        <x:v>0.01</x:v>
      </x:c>
      <x:c r="F40" s="372" t="str">
        <x:f>IF(ABS(D40)&lt;=E40,"OK","CHECK")</x:f>
        <x:v>OK</x:v>
      </x:c>
      <x:c r="G40" s="90" t="str">
        <x:v>Named associates + residual = total.</x:v>
      </x:c>
    </x:row>
    <x:row r="41" ht="25" customHeight="1">
      <x:c r="A41" s="88" t="str">
        <x:v>Pre-WC bridge — 2024</x:v>
      </x:c>
      <x:c r="B41" s="134" t="n">
        <x:f>'P3 Cash Flow'!F28</x:f>
        <x:v>4.547473508864641e-13</x:v>
      </x:c>
      <x:c r="C41" s="134" t="n">
        <x:v>0</x:v>
      </x:c>
      <x:c r="D41" s="134" t="n">
        <x:f>B41-C41</x:f>
        <x:v>4.547473508864641e-13</x:v>
      </x:c>
      <x:c r="E41" s="134" t="n">
        <x:v>0.01</x:v>
      </x:c>
      <x:c r="F41" s="372" t="str">
        <x:f>IF(ABS(D41)&lt;=E41,"OK","CHECK")</x:f>
        <x:v>OK</x:v>
      </x:c>
      <x:c r="G41" s="90" t="str">
        <x:v>PBT and non-cash adjustments tie to the disclosed subtotal.</x:v>
      </x:c>
    </x:row>
    <x:row r="42" ht="25" customHeight="1">
      <x:c r="A42" s="88" t="str">
        <x:v>CFO reconstruction — 2024</x:v>
      </x:c>
      <x:c r="B42" s="134" t="n">
        <x:f>'P3 Cash Flow'!F43</x:f>
        <x:v>4.547473508864641e-13</x:v>
      </x:c>
      <x:c r="C42" s="134" t="n">
        <x:v>0</x:v>
      </x:c>
      <x:c r="D42" s="134" t="n">
        <x:f>B42-C42</x:f>
        <x:v>4.547473508864641e-13</x:v>
      </x:c>
      <x:c r="E42" s="134" t="n">
        <x:v>0.01</x:v>
      </x:c>
      <x:c r="F42" s="372" t="str">
        <x:f>IF(ABS(D42)&lt;=E42,"OK","CHECK")</x:f>
        <x:v>OK</x:v>
      </x:c>
      <x:c r="G42" s="90" t="str">
        <x:v>Cash-flow components tie to reported CFO.</x:v>
      </x:c>
    </x:row>
    <x:row r="43" ht="25" customHeight="1">
      <x:c r="A43" s="88" t="str">
        <x:v>Segment revenue tie — 2025</x:v>
      </x:c>
      <x:c r="B43" s="134" t="n">
        <x:f>'P3 Historical IS'!G54</x:f>
        <x:v>-0.0000010150006346520968</x:v>
      </x:c>
      <x:c r="C43" s="134" t="n">
        <x:v>0</x:v>
      </x:c>
      <x:c r="D43" s="134" t="n">
        <x:f>B43-C43</x:f>
        <x:v>-0.0000010150006346520968</x:v>
      </x:c>
      <x:c r="E43" s="134" t="n">
        <x:v>0.01</x:v>
      </x:c>
      <x:c r="F43" s="372" t="str">
        <x:f>IF(ABS(D43)&lt;=E43,"OK","CHECK")</x:f>
        <x:v>OK</x:v>
      </x:c>
      <x:c r="G43" s="90" t="str">
        <x:v>Port + logistics + other = consolidated revenue.</x:v>
      </x:c>
    </x:row>
    <x:row r="44" ht="25" customHeight="1">
      <x:c r="A44" s="88" t="str">
        <x:v>PBT bridge — 2025</x:v>
      </x:c>
      <x:c r="B44" s="134" t="n">
        <x:f>'P3 Historical IS'!G24</x:f>
        <x:v>0</x:v>
      </x:c>
      <x:c r="C44" s="134" t="n">
        <x:v>0</x:v>
      </x:c>
      <x:c r="D44" s="134" t="n">
        <x:f>B44-C44</x:f>
        <x:v>0</x:v>
      </x:c>
      <x:c r="E44" s="134" t="n">
        <x:v>0.01</x:v>
      </x:c>
      <x:c r="F44" s="372" t="str">
        <x:f>IF(ABS(D44)&lt;=E44,"OK","CHECK")</x:f>
        <x:v>OK</x:v>
      </x:c>
      <x:c r="G44" s="90" t="str">
        <x:v>Calculated PBT ties to VNStock/audited PBT.</x:v>
      </x:c>
    </x:row>
    <x:row r="45" ht="25" customHeight="1">
      <x:c r="A45" s="88" t="str">
        <x:v>PAT bridge — 2025</x:v>
      </x:c>
      <x:c r="B45" s="134" t="n">
        <x:f>'P3 Historical IS'!G42</x:f>
        <x:v>4.547473508864641e-13</x:v>
      </x:c>
      <x:c r="C45" s="134" t="n">
        <x:v>0</x:v>
      </x:c>
      <x:c r="D45" s="134" t="n">
        <x:f>B45-C45</x:f>
        <x:v>4.547473508864641e-13</x:v>
      </x:c>
      <x:c r="E45" s="134" t="n">
        <x:v>0.01</x:v>
      </x:c>
      <x:c r="F45" s="372" t="str">
        <x:f>IF(ABS(D45)&lt;=E45,"OK","CHECK")</x:f>
        <x:v>OK</x:v>
      </x:c>
      <x:c r="G45" s="90" t="str">
        <x:v>Tax bridge ties to consolidated PAT.</x:v>
      </x:c>
    </x:row>
    <x:row r="46" ht="25" customHeight="1">
      <x:c r="A46" s="88" t="str">
        <x:v>PAT attribution — 2025</x:v>
      </x:c>
      <x:c r="B46" s="134" t="n">
        <x:f>'P3 Historical IS'!G45</x:f>
        <x:v>0</x:v>
      </x:c>
      <x:c r="C46" s="134" t="n">
        <x:v>0</x:v>
      </x:c>
      <x:c r="D46" s="134" t="n">
        <x:f>B46-C46</x:f>
        <x:v>0</x:v>
      </x:c>
      <x:c r="E46" s="134" t="n">
        <x:v>0.01</x:v>
      </x:c>
      <x:c r="F46" s="372" t="str">
        <x:f>IF(ABS(D46)&lt;=E46,"OK","CHECK")</x:f>
        <x:v>OK</x:v>
      </x:c>
      <x:c r="G46" s="90" t="str">
        <x:v>Parent + NCI = consolidated PAT.</x:v>
      </x:c>
    </x:row>
    <x:row r="47" ht="25" customHeight="1">
      <x:c r="A47" s="88" t="str">
        <x:v>Port revenue identity — 2025</x:v>
      </x:c>
      <x:c r="B47" s="134" t="n">
        <x:f>'P3 Port Drivers'!G8-'P3 Port Drivers'!G6*'P3 Port Drivers'!G10</x:f>
        <x:v>0</x:v>
      </x:c>
      <x:c r="C47" s="134" t="n">
        <x:v>0</x:v>
      </x:c>
      <x:c r="D47" s="134" t="n">
        <x:f>B47-C47</x:f>
        <x:v>0</x:v>
      </x:c>
      <x:c r="E47" s="134" t="n">
        <x:v>0.01</x:v>
      </x:c>
      <x:c r="F47" s="372" t="str">
        <x:f>IF(ABS(D47)&lt;=E47,"OK","CHECK")</x:f>
        <x:v>OK</x:v>
      </x:c>
      <x:c r="G47" s="90" t="str">
        <x:v>Throughput × unit proxy = port revenue.</x:v>
      </x:c>
    </x:row>
    <x:row r="48" ht="25" customHeight="1">
      <x:c r="A48" s="88" t="str">
        <x:v>Associate composition — 2025</x:v>
      </x:c>
      <x:c r="B48" s="134" t="n">
        <x:f>'P3 Associates'!G6-SUM('P3 Associates'!G7:G10)</x:f>
        <x:v>0</x:v>
      </x:c>
      <x:c r="C48" s="134" t="n">
        <x:v>0</x:v>
      </x:c>
      <x:c r="D48" s="134" t="n">
        <x:f>B48-C48</x:f>
        <x:v>0</x:v>
      </x:c>
      <x:c r="E48" s="134" t="n">
        <x:v>0.01</x:v>
      </x:c>
      <x:c r="F48" s="372" t="str">
        <x:f>IF(ABS(D48)&lt;=E48,"OK","CHECK")</x:f>
        <x:v>OK</x:v>
      </x:c>
      <x:c r="G48" s="90" t="str">
        <x:v>Named associates + residual = total.</x:v>
      </x:c>
    </x:row>
    <x:row r="49" ht="25" customHeight="1">
      <x:c r="A49" s="88" t="str">
        <x:v>Pre-WC bridge — 2025</x:v>
      </x:c>
      <x:c r="B49" s="134" t="n">
        <x:f>'P3 Cash Flow'!G28</x:f>
        <x:v>0</x:v>
      </x:c>
      <x:c r="C49" s="134" t="n">
        <x:v>0</x:v>
      </x:c>
      <x:c r="D49" s="134" t="n">
        <x:f>B49-C49</x:f>
        <x:v>0</x:v>
      </x:c>
      <x:c r="E49" s="134" t="n">
        <x:v>0.01</x:v>
      </x:c>
      <x:c r="F49" s="372" t="str">
        <x:f>IF(ABS(D49)&lt;=E49,"OK","CHECK")</x:f>
        <x:v>OK</x:v>
      </x:c>
      <x:c r="G49" s="90" t="str">
        <x:v>PBT and non-cash adjustments tie to the disclosed subtotal.</x:v>
      </x:c>
    </x:row>
    <x:row r="50" ht="25" customHeight="1">
      <x:c r="A50" s="88" t="str">
        <x:v>CFO reconstruction — 2025</x:v>
      </x:c>
      <x:c r="B50" s="134" t="n">
        <x:f>'P3 Cash Flow'!G43</x:f>
        <x:v>0</x:v>
      </x:c>
      <x:c r="C50" s="134" t="n">
        <x:v>0</x:v>
      </x:c>
      <x:c r="D50" s="134" t="n">
        <x:f>B50-C50</x:f>
        <x:v>0</x:v>
      </x:c>
      <x:c r="E50" s="134" t="n">
        <x:v>0.01</x:v>
      </x:c>
      <x:c r="F50" s="372" t="str">
        <x:f>IF(ABS(D50)&lt;=E50,"OK","CHECK")</x:f>
        <x:v>OK</x:v>
      </x:c>
      <x:c r="G50" s="90" t="str">
        <x:v>Cash-flow components tie to reported CFO.</x:v>
      </x:c>
    </x:row>
    <x:row r="51" ht="25" customHeight="1">
      <x:c r="A51" s="88" t="str">
        <x:v>Revenue bridge — 2022</x:v>
      </x:c>
      <x:c r="B51" s="134" t="n">
        <x:f>'P3 Port Drivers'!D24</x:f>
        <x:v>-1.1368683772161603e-13</x:v>
      </x:c>
      <x:c r="C51" s="134" t="n">
        <x:v>0</x:v>
      </x:c>
      <x:c r="D51" s="134" t="n">
        <x:f>B51-C51</x:f>
        <x:v>-1.1368683772161603e-13</x:v>
      </x:c>
      <x:c r="E51" s="134" t="n">
        <x:v>0.01</x:v>
      </x:c>
      <x:c r="F51" s="372" t="str">
        <x:f>IF(ABS(D51)&lt;=E51,"OK","CHECK")</x:f>
        <x:v>OK</x:v>
      </x:c>
      <x:c r="G51" s="90" t="str">
        <x:v>Volume + unit/mix/scope = revenue change.</x:v>
      </x:c>
    </x:row>
    <x:row r="52" ht="25" customHeight="1">
      <x:c r="A52" s="88" t="str">
        <x:v>Revenue bridge — 2023</x:v>
      </x:c>
      <x:c r="B52" s="134" t="n">
        <x:f>'P3 Port Drivers'!E24</x:f>
        <x:v>0</x:v>
      </x:c>
      <x:c r="C52" s="134" t="n">
        <x:v>0</x:v>
      </x:c>
      <x:c r="D52" s="134" t="n">
        <x:f>B52-C52</x:f>
        <x:v>0</x:v>
      </x:c>
      <x:c r="E52" s="134" t="n">
        <x:v>0.01</x:v>
      </x:c>
      <x:c r="F52" s="372" t="str">
        <x:f>IF(ABS(D52)&lt;=E52,"OK","CHECK")</x:f>
        <x:v>OK</x:v>
      </x:c>
      <x:c r="G52" s="90" t="str">
        <x:v>Volume + unit/mix/scope = revenue change.</x:v>
      </x:c>
    </x:row>
    <x:row r="53" ht="25" customHeight="1">
      <x:c r="A53" s="88" t="str">
        <x:v>Revenue bridge — 2024</x:v>
      </x:c>
      <x:c r="B53" s="134" t="n">
        <x:f>'P3 Port Drivers'!F24</x:f>
        <x:v>0</x:v>
      </x:c>
      <x:c r="C53" s="134" t="n">
        <x:v>0</x:v>
      </x:c>
      <x:c r="D53" s="134" t="n">
        <x:f>B53-C53</x:f>
        <x:v>0</x:v>
      </x:c>
      <x:c r="E53" s="134" t="n">
        <x:v>0.01</x:v>
      </x:c>
      <x:c r="F53" s="372" t="str">
        <x:f>IF(ABS(D53)&lt;=E53,"OK","CHECK")</x:f>
        <x:v>OK</x:v>
      </x:c>
      <x:c r="G53" s="90" t="str">
        <x:v>Volume + unit/mix/scope = revenue change.</x:v>
      </x:c>
    </x:row>
    <x:row r="54" ht="25" customHeight="1">
      <x:c r="A54" s="88" t="str">
        <x:v>Revenue bridge — 2025</x:v>
      </x:c>
      <x:c r="B54" s="134" t="n">
        <x:f>'P3 Port Drivers'!G24</x:f>
        <x:v>0</x:v>
      </x:c>
      <x:c r="C54" s="134" t="n">
        <x:v>0</x:v>
      </x:c>
      <x:c r="D54" s="134" t="n">
        <x:f>B54-C54</x:f>
        <x:v>0</x:v>
      </x:c>
      <x:c r="E54" s="134" t="n">
        <x:v>0.01</x:v>
      </x:c>
      <x:c r="F54" s="372" t="str">
        <x:f>IF(ABS(D54)&lt;=E54,"OK","CHECK")</x:f>
        <x:v>OK</x:v>
      </x:c>
      <x:c r="G54" s="90" t="str">
        <x:v>Volume + unit/mix/scope = revenue change.</x:v>
      </x:c>
    </x:row>
    <x:row r="55" ht="25" customHeight="1">
      <x:c r="A55" s="91" t="str">
        <x:v>No forecast / valuation output</x:v>
      </x:c>
      <x:c r="B55" s="135" t="n">
        <x:f>0</x:f>
        <x:v>0</x:v>
      </x:c>
      <x:c r="C55" s="135" t="n">
        <x:v>0</x:v>
      </x:c>
      <x:c r="D55" s="135" t="n">
        <x:f>B55-C55</x:f>
        <x:v>0</x:v>
      </x:c>
      <x:c r="E55" s="135" t="n">
        <x:v>0</x:v>
      </x:c>
      <x:c r="F55" s="373" t="str">
        <x:f>IF(ABS(D55)&lt;=E55,"OK","CHECK")</x:f>
        <x:v>OK</x:v>
      </x:c>
      <x:c r="G55" s="93" t="str">
        <x:v>Phase 3 contains issuer guidance but no analyst forecast, rating or target price.</x:v>
      </x:c>
    </x:row>
    <x:row r="57" ht="21" customHeight="1">
      <x:c r="A57" s="286" t="str">
        <x:v>Overall Phase 3 status</x:v>
      </x:c>
      <x:c r="B57" s="286" t="str">
        <x:v>Overall Phase 3 status</x:v>
      </x:c>
      <x:c r="C57" s="286" t="str">
        <x:v>Overall Phase 3 status</x:v>
      </x:c>
      <x:c r="D57" s="286" t="str">
        <x:v>Overall Phase 3 status</x:v>
      </x:c>
      <x:c r="E57" s="286" t="str">
        <x:v>Overall Phase 3 status</x:v>
      </x:c>
      <x:c r="F57" s="286" t="str">
        <x:v>Overall Phase 3 status</x:v>
      </x:c>
      <x:c r="G57" s="286" t="str">
        <x:v>Overall Phase 3 status</x:v>
      </x:c>
    </x:row>
    <x:row r="58" ht="31" customHeight="1">
      <x:c r="A58" s="270" t="str">
        <x:v>Phase 3 model status</x:v>
      </x:c>
      <x:c r="B58" s="376" t="str">
        <x:f>IF(COUNTIF(F7:F55,"CHECK")=0,"OK — five-year raw-linked history reconciled; ready for Phase 4","CHECK — resolve Phase 3 controls")</x:f>
        <x:v>OK — five-year raw-linked history reconciled; ready for Phase 4</x:v>
      </x:c>
      <x:c r="C58" s="376"/>
      <x:c r="D58" s="376"/>
      <x:c r="E58" s="376"/>
      <x:c r="F58" s="376"/>
      <x:c r="G58" s="376"/>
    </x:row>
  </x:sheetData>
  <x:mergeCells>
    <x:mergeCell ref="A1:G1"/>
    <x:mergeCell ref="A2:G2"/>
    <x:mergeCell ref="A4:G4"/>
    <x:mergeCell ref="A57:G57"/>
    <x:mergeCell ref="B58:G58"/>
  </x:mergeCells>
  <x:conditionalFormatting sqref="A7:G55">
    <x:cfRule type="expression" dxfId="5" priority="1">
      <x:formula>$F7="CHECK"</x:formula>
    </x:cfRule>
  </x:conditionalFormatting>
  <x:pageMargins left="0.7" right="0.7" top="0.75" bottom="0.75" header="0.3" footer="0.3"/>
</x:worksheet>
</file>

<file path=xl/worksheets/sheet27.xml><?xml version="1.0" encoding="utf-8"?>
<x:worksheet xmlns:x="http://schemas.openxmlformats.org/spreadsheetml/2006/main">
  <x:sheetViews>
    <x:sheetView showGridLines="0" workbookViewId="0"/>
  </x:sheetViews>
  <x:sheetFormatPr defaultRowHeight="15"/>
  <x:cols>
    <x:col min="1" max="1" width="43" hidden="0" customWidth="1"/>
    <x:col min="2" max="2" width="20" hidden="0" customWidth="1"/>
    <x:col min="3" max="3" width="18" hidden="0" customWidth="1"/>
    <x:col min="4" max="4" width="17" hidden="0" customWidth="1"/>
    <x:col min="5" max="5" width="66" hidden="0" customWidth="1"/>
    <x:col min="6" max="6" width="25" hidden="0" customWidth="1"/>
    <x:col min="7" max="7" width="20" hidden="0" customWidth="1"/>
    <x:col min="8" max="8" width="62" hidden="0" customWidth="1"/>
  </x:cols>
  <x:sheetData>
    <x:row r="1" ht="30" customHeight="1">
      <x:c r="A1" s="408" t="str">
        <x:v>Raw GMD Market &amp; Valuation Facts</x:v>
      </x:c>
      <x:c r="B1" s="408" t="str">
        <x:v>Raw GMD Market &amp; Valuation Facts</x:v>
      </x:c>
      <x:c r="C1" s="408" t="str">
        <x:v>Raw GMD Market &amp; Valuation Facts</x:v>
      </x:c>
      <x:c r="D1" s="408" t="str">
        <x:v>Raw GMD Market &amp; Valuation Facts</x:v>
      </x:c>
      <x:c r="E1" s="408" t="str">
        <x:v>Raw GMD Market &amp; Valuation Facts</x:v>
      </x:c>
      <x:c r="F1" s="408" t="str">
        <x:v>Raw GMD Market &amp; Valuation Facts</x:v>
      </x:c>
      <x:c r="G1" s="408" t="str">
        <x:v>Raw GMD Market &amp; Valuation Facts</x:v>
      </x:c>
      <x:c r="H1" s="408" t="str">
        <x:v>Raw GMD Market &amp; Valuation Facts</x:v>
      </x:c>
    </x:row>
    <x:row r="2" ht="34" customHeight="1">
      <x:c r="A2" s="412" t="str">
        <x:v>Market data and issuer facts used by Phase 4. Price is in VND thousand; balance-sheet links are in VND billion.</x:v>
      </x:c>
      <x:c r="B2" s="412" t="str">
        <x:v>Market data and issuer facts used by Phase 4. Price is in VND thousand; balance-sheet links are in VND billion.</x:v>
      </x:c>
      <x:c r="C2" s="412" t="str">
        <x:v>Market data and issuer facts used by Phase 4. Price is in VND thousand; balance-sheet links are in VND billion.</x:v>
      </x:c>
      <x:c r="D2" s="412" t="str">
        <x:v>Market data and issuer facts used by Phase 4. Price is in VND thousand; balance-sheet links are in VND billion.</x:v>
      </x:c>
      <x:c r="E2" s="412" t="str">
        <x:v>Market data and issuer facts used by Phase 4. Price is in VND thousand; balance-sheet links are in VND billion.</x:v>
      </x:c>
      <x:c r="F2" s="412" t="str">
        <x:v>Market data and issuer facts used by Phase 4. Price is in VND thousand; balance-sheet links are in VND billion.</x:v>
      </x:c>
      <x:c r="G2" s="412" t="str">
        <x:v>Market data and issuer facts used by Phase 4. Price is in VND thousand; balance-sheet links are in VND billion.</x:v>
      </x:c>
      <x:c r="H2" s="412" t="str">
        <x:v>Market data and issuer facts used by Phase 4. Price is in VND thousand; balance-sheet links are in VND billion.</x:v>
      </x:c>
    </x:row>
    <x:row r="4" ht="22" customHeight="1">
      <x:c r="A4" s="415" t="str">
        <x:v>GMD daily OHLCV — VNStock VCI, cross-checked to KBS</x:v>
      </x:c>
      <x:c r="B4" s="415" t="str">
        <x:v>GMD daily OHLCV — VNStock VCI, cross-checked to KBS</x:v>
      </x:c>
      <x:c r="C4" s="415" t="str">
        <x:v>GMD daily OHLCV — VNStock VCI, cross-checked to KBS</x:v>
      </x:c>
      <x:c r="D4" s="415" t="str">
        <x:v>GMD daily OHLCV — VNStock VCI, cross-checked to KBS</x:v>
      </x:c>
      <x:c r="E4" s="415" t="str">
        <x:v>GMD daily OHLCV — VNStock VCI, cross-checked to KBS</x:v>
      </x:c>
      <x:c r="F4" s="415" t="str">
        <x:v>GMD daily OHLCV — VNStock VCI, cross-checked to KBS</x:v>
      </x:c>
      <x:c r="G4" s="415" t="str">
        <x:v>GMD daily OHLCV — VNStock VCI, cross-checked to KBS</x:v>
      </x:c>
      <x:c r="H4" s="415" t="str">
        <x:v>GMD daily OHLCV — VNStock VCI, cross-checked to KBS</x:v>
      </x:c>
    </x:row>
    <x:row r="5" ht="32" customHeight="1">
      <x:c r="A5" s="421" t="str">
        <x:v>Date</x:v>
      </x:c>
      <x:c r="B5" s="421" t="str">
        <x:v>Open</x:v>
      </x:c>
      <x:c r="C5" s="421" t="str">
        <x:v>High</x:v>
      </x:c>
      <x:c r="D5" s="421" t="str">
        <x:v>Low</x:v>
      </x:c>
      <x:c r="E5" s="421" t="str">
        <x:v>Close</x:v>
      </x:c>
      <x:c r="F5" s="421" t="str">
        <x:v>Volume</x:v>
      </x:c>
      <x:c r="G5" s="421" t="str">
        <x:v>Source ID</x:v>
      </x:c>
      <x:c r="H5" s="421" t="str">
        <x:v>Source URL</x:v>
      </x:c>
    </x:row>
    <x:row r="6" ht="25" customHeight="1">
      <x:c r="A6" s="422" t="n">
        <x:v>46220</x:v>
      </x:c>
      <x:c r="B6" s="425" t="n">
        <x:v>79</x:v>
      </x:c>
      <x:c r="C6" s="425" t="n">
        <x:v>79</x:v>
      </x:c>
      <x:c r="D6" s="425" t="n">
        <x:v>76.4</x:v>
      </x:c>
      <x:c r="E6" s="425" t="n">
        <x:v>77.5</x:v>
      </x:c>
      <x:c r="F6" s="130" t="n">
        <x:v>990500</x:v>
      </x:c>
      <x:c r="G6" s="86" t="str">
        <x:v>SRC-P401</x:v>
      </x:c>
      <x:c r="H6" s="428" t="str">
        <x:v>https://vnstocks.com/docs/vnstock/du-lieu-thi-truong-market-data</x:v>
      </x:c>
    </x:row>
    <x:row r="7" ht="25" customHeight="1">
      <x:c r="A7" s="423" t="n">
        <x:v>46223</x:v>
      </x:c>
      <x:c r="B7" s="426" t="n">
        <x:v>76.7</x:v>
      </x:c>
      <x:c r="C7" s="426" t="n">
        <x:v>77.1</x:v>
      </x:c>
      <x:c r="D7" s="426" t="n">
        <x:v>75.3</x:v>
      </x:c>
      <x:c r="E7" s="426" t="n">
        <x:v>76</x:v>
      </x:c>
      <x:c r="F7" s="131" t="n">
        <x:v>923100</x:v>
      </x:c>
      <x:c r="G7" s="89" t="str">
        <x:v>SRC-P401</x:v>
      </x:c>
      <x:c r="H7" s="429" t="str">
        <x:v>https://vnstocks.com/docs/vnstock/du-lieu-thi-truong-market-data</x:v>
      </x:c>
    </x:row>
    <x:row r="8" ht="25" customHeight="1">
      <x:c r="A8" s="423" t="n">
        <x:v>46224</x:v>
      </x:c>
      <x:c r="B8" s="426" t="n">
        <x:v>76</x:v>
      </x:c>
      <x:c r="C8" s="426" t="n">
        <x:v>77.4</x:v>
      </x:c>
      <x:c r="D8" s="426" t="n">
        <x:v>75.7</x:v>
      </x:c>
      <x:c r="E8" s="426" t="n">
        <x:v>76</x:v>
      </x:c>
      <x:c r="F8" s="131" t="n">
        <x:v>874700</x:v>
      </x:c>
      <x:c r="G8" s="89" t="str">
        <x:v>SRC-P401</x:v>
      </x:c>
      <x:c r="H8" s="429" t="str">
        <x:v>https://vnstocks.com/docs/vnstock/du-lieu-thi-truong-market-data</x:v>
      </x:c>
    </x:row>
    <x:row r="9" ht="25" customHeight="1">
      <x:c r="A9" s="423" t="n">
        <x:v>46225</x:v>
      </x:c>
      <x:c r="B9" s="426" t="n">
        <x:v>75.7</x:v>
      </x:c>
      <x:c r="C9" s="426" t="n">
        <x:v>76.3</x:v>
      </x:c>
      <x:c r="D9" s="426" t="n">
        <x:v>72</x:v>
      </x:c>
      <x:c r="E9" s="426" t="n">
        <x:v>72</x:v>
      </x:c>
      <x:c r="F9" s="131" t="n">
        <x:v>2233100</x:v>
      </x:c>
      <x:c r="G9" s="89" t="str">
        <x:v>SRC-P401</x:v>
      </x:c>
      <x:c r="H9" s="429" t="str">
        <x:v>https://vnstocks.com/docs/vnstock/du-lieu-thi-truong-market-data</x:v>
      </x:c>
    </x:row>
    <x:row r="10" ht="25" customHeight="1">
      <x:c r="A10" s="423" t="n">
        <x:v>46226</x:v>
      </x:c>
      <x:c r="B10" s="426" t="n">
        <x:v>71.9</x:v>
      </x:c>
      <x:c r="C10" s="426" t="n">
        <x:v>72.2</x:v>
      </x:c>
      <x:c r="D10" s="426" t="n">
        <x:v>67</x:v>
      </x:c>
      <x:c r="E10" s="426" t="n">
        <x:v>72</x:v>
      </x:c>
      <x:c r="F10" s="131" t="n">
        <x:v>3404000</x:v>
      </x:c>
      <x:c r="G10" s="89" t="str">
        <x:v>SRC-P401</x:v>
      </x:c>
      <x:c r="H10" s="429" t="str">
        <x:v>https://vnstocks.com/docs/vnstock/du-lieu-thi-truong-market-data</x:v>
      </x:c>
    </x:row>
    <x:row r="11" ht="25" customHeight="1">
      <x:c r="A11" s="424" t="n">
        <x:v>46227</x:v>
      </x:c>
      <x:c r="B11" s="427" t="n">
        <x:v>72</x:v>
      </x:c>
      <x:c r="C11" s="427" t="n">
        <x:v>73.2</x:v>
      </x:c>
      <x:c r="D11" s="427" t="n">
        <x:v>70.6</x:v>
      </x:c>
      <x:c r="E11" s="427" t="n">
        <x:v>73.2</x:v>
      </x:c>
      <x:c r="F11" s="132" t="n">
        <x:v>1829400</x:v>
      </x:c>
      <x:c r="G11" s="92" t="str">
        <x:v>SRC-P401</x:v>
      </x:c>
      <x:c r="H11" s="430" t="str">
        <x:v>https://vnstocks.com/docs/vnstock/du-lieu-thi-truong-market-data</x:v>
      </x:c>
    </x:row>
    <x:row r="13" ht="22" customHeight="1">
      <x:c r="A13" s="415" t="str">
        <x:v>Valuation, operating and guidance facts</x:v>
      </x:c>
      <x:c r="B13" s="415" t="str">
        <x:v>Valuation, operating and guidance facts</x:v>
      </x:c>
      <x:c r="C13" s="415" t="str">
        <x:v>Valuation, operating and guidance facts</x:v>
      </x:c>
      <x:c r="D13" s="415" t="str">
        <x:v>Valuation, operating and guidance facts</x:v>
      </x:c>
      <x:c r="E13" s="415" t="str">
        <x:v>Valuation, operating and guidance facts</x:v>
      </x:c>
      <x:c r="F13" s="415" t="str">
        <x:v>Valuation, operating and guidance facts</x:v>
      </x:c>
      <x:c r="G13" s="415" t="str">
        <x:v>Valuation, operating and guidance facts</x:v>
      </x:c>
      <x:c r="H13" s="415" t="str">
        <x:v>Valuation, operating and guidance facts</x:v>
      </x:c>
    </x:row>
    <x:row r="14" ht="32" customHeight="1">
      <x:c r="A14" s="421" t="str">
        <x:v>Metric</x:v>
      </x:c>
      <x:c r="B14" s="421" t="str">
        <x:v>Unit</x:v>
      </x:c>
      <x:c r="C14" s="421" t="str">
        <x:v>Value</x:v>
      </x:c>
      <x:c r="D14" s="421" t="str">
        <x:v>Source ID</x:v>
      </x:c>
      <x:c r="E14" s="421" t="str">
        <x:v>Source URL</x:v>
      </x:c>
      <x:c r="F14" s="421" t="str">
        <x:v>Data class</x:v>
      </x:c>
      <x:c r="G14" s="421" t="str">
        <x:v>As of / period</x:v>
      </x:c>
      <x:c r="H14" s="421" t="str">
        <x:v>Audit note</x:v>
      </x:c>
    </x:row>
    <x:row r="15" ht="32" customHeight="1">
      <x:c r="A15" s="85" t="str">
        <x:v>Latest close</x:v>
      </x:c>
      <x:c r="B15" s="86" t="str">
        <x:v>VND '000/share</x:v>
      </x:c>
      <x:c r="C15" s="210" t="n">
        <x:f>E11</x:f>
        <x:v>73.2</x:v>
      </x:c>
      <x:c r="D15" s="86" t="str">
        <x:v>SRC-P401</x:v>
      </x:c>
      <x:c r="E15" s="97" t="str">
        <x:v>https://vnstocks.com/docs/vnstock/du-lieu-thi-truong-market-data</x:v>
      </x:c>
      <x:c r="F15" s="86" t="str">
        <x:v>Market actual</x:v>
      </x:c>
      <x:c r="G15" s="86" t="str">
        <x:v>24-Jul-2026</x:v>
      </x:c>
      <x:c r="H15" s="87" t="str">
        <x:v>Latest trading day before the 25-Jul-2026 cut-off.</x:v>
      </x:c>
    </x:row>
    <x:row r="16" ht="32" customHeight="1">
      <x:c r="A16" s="88" t="str">
        <x:v>Listed shares</x:v>
      </x:c>
      <x:c r="B16" s="89" t="str">
        <x:v>m shares</x:v>
      </x:c>
      <x:c r="C16" s="211" t="n">
        <x:v>426.495109</x:v>
      </x:c>
      <x:c r="D16" s="89" t="str">
        <x:v>SRC-P402</x:v>
      </x:c>
      <x:c r="E16" s="98" t="str">
        <x:v>https://www.gemadept.com.vn/en/shareholders/</x:v>
      </x:c>
      <x:c r="F16" s="89" t="str">
        <x:v>Issuer fact</x:v>
      </x:c>
      <x:c r="G16" s="89" t="str">
        <x:v>25-Jul-2026</x:v>
      </x:c>
      <x:c r="H16" s="90" t="str">
        <x:v>Official listed-share count divided by one million.</x:v>
      </x:c>
    </x:row>
    <x:row r="17" ht="32" customHeight="1">
      <x:c r="A17" s="88" t="str">
        <x:v>Cash and cash equivalents</x:v>
      </x:c>
      <x:c r="B17" s="89" t="str">
        <x:v>VND bn</x:v>
      </x:c>
      <x:c r="C17" s="288" t="n">
        <x:f>'Raw GMD VNStock'!I32/'Raw GMD VNStock'!$B$3</x:f>
        <x:v>1622.29483877</x:v>
      </x:c>
      <x:c r="D17" s="89" t="str">
        <x:v>SRC-API01</x:v>
      </x:c>
      <x:c r="E17" s="98" t="str">
        <x:v>https://vnstocks.com/docs/vnstock/phan-tich-co-ban-fundamental</x:v>
      </x:c>
      <x:c r="F17" s="89" t="str">
        <x:v>Linked API actual</x:v>
      </x:c>
      <x:c r="G17" s="89" t="str">
        <x:v>FY2025</x:v>
      </x:c>
      <x:c r="H17" s="90" t="str">
        <x:v>Year-end balance-sheet cash.</x:v>
      </x:c>
    </x:row>
    <x:row r="18" ht="32" customHeight="1">
      <x:c r="A18" s="88" t="str">
        <x:v>Short-term investments</x:v>
      </x:c>
      <x:c r="B18" s="89" t="str">
        <x:v>VND bn</x:v>
      </x:c>
      <x:c r="C18" s="288" t="n">
        <x:f>'Raw GMD VNStock'!I35/'Raw GMD VNStock'!$B$3</x:f>
        <x:v>2738.596210765</x:v>
      </x:c>
      <x:c r="D18" s="89" t="str">
        <x:v>SRC-API01</x:v>
      </x:c>
      <x:c r="E18" s="98" t="str">
        <x:v>https://vnstocks.com/docs/vnstock/phan-tich-co-ban-fundamental</x:v>
      </x:c>
      <x:c r="F18" s="89" t="str">
        <x:v>Linked API actual</x:v>
      </x:c>
      <x:c r="G18" s="89" t="str">
        <x:v>FY2025</x:v>
      </x:c>
      <x:c r="H18" s="90" t="str">
        <x:v>Positive total short-term investment row.</x:v>
      </x:c>
    </x:row>
    <x:row r="19" ht="32" customHeight="1">
      <x:c r="A19" s="88" t="str">
        <x:v>Short-term borrowings</x:v>
      </x:c>
      <x:c r="B19" s="89" t="str">
        <x:v>VND bn</x:v>
      </x:c>
      <x:c r="C19" s="288" t="n">
        <x:f>'Raw GMD VNStock'!I86/'Raw GMD VNStock'!$B$3</x:f>
        <x:v>307.522460143</x:v>
      </x:c>
      <x:c r="D19" s="89" t="str">
        <x:v>SRC-API01</x:v>
      </x:c>
      <x:c r="E19" s="98" t="str">
        <x:v>https://vnstocks.com/docs/vnstock/phan-tich-co-ban-fundamental</x:v>
      </x:c>
      <x:c r="F19" s="89" t="str">
        <x:v>Linked API actual</x:v>
      </x:c>
      <x:c r="G19" s="89" t="str">
        <x:v>FY2025</x:v>
      </x:c>
      <x:c r="H19" s="90" t="str">
        <x:v>Gross debt.</x:v>
      </x:c>
    </x:row>
    <x:row r="20" ht="32" customHeight="1">
      <x:c r="A20" s="88" t="str">
        <x:v>Long-term borrowings</x:v>
      </x:c>
      <x:c r="B20" s="89" t="str">
        <x:v>VND bn</x:v>
      </x:c>
      <x:c r="C20" s="288" t="n">
        <x:f>'Raw GMD VNStock'!I101/'Raw GMD VNStock'!$B$3</x:f>
        <x:v>2081.640014993</x:v>
      </x:c>
      <x:c r="D20" s="89" t="str">
        <x:v>SRC-API01</x:v>
      </x:c>
      <x:c r="E20" s="98" t="str">
        <x:v>https://vnstocks.com/docs/vnstock/phan-tich-co-ban-fundamental</x:v>
      </x:c>
      <x:c r="F20" s="89" t="str">
        <x:v>Linked API actual</x:v>
      </x:c>
      <x:c r="G20" s="89" t="str">
        <x:v>FY2025</x:v>
      </x:c>
      <x:c r="H20" s="90" t="str">
        <x:v>Gross debt.</x:v>
      </x:c>
    </x:row>
    <x:row r="21" ht="32" customHeight="1">
      <x:c r="A21" s="88" t="str">
        <x:v>Net cash</x:v>
      </x:c>
      <x:c r="B21" s="89" t="str">
        <x:v>VND bn</x:v>
      </x:c>
      <x:c r="C21" s="211" t="n">
        <x:f>SUM(C17:C18)-SUM(C19:C20)</x:f>
        <x:v>1971.728574399</x:v>
      </x:c>
      <x:c r="D21" s="89" t="str">
        <x:v>Model formula</x:v>
      </x:c>
      <x:c r="E21" s="98" t="str"/>
      <x:c r="F21" s="89" t="str">
        <x:v>Model output</x:v>
      </x:c>
      <x:c r="G21" s="89" t="str">
        <x:v>FY2025</x:v>
      </x:c>
      <x:c r="H21" s="90" t="str">
        <x:v>Cash plus short-term investments less short- and long-term borrowings.</x:v>
      </x:c>
    </x:row>
    <x:row r="22" ht="32" customHeight="1">
      <x:c r="A22" s="88" t="str">
        <x:v>Market capitalization</x:v>
      </x:c>
      <x:c r="B22" s="89" t="str">
        <x:v>VND bn</x:v>
      </x:c>
      <x:c r="C22" s="211" t="n">
        <x:f>C15*C16</x:f>
        <x:v>31219.4419788</x:v>
      </x:c>
      <x:c r="D22" s="89" t="str">
        <x:v>Model formula</x:v>
      </x:c>
      <x:c r="E22" s="98" t="str"/>
      <x:c r="F22" s="89" t="str">
        <x:v>Model output</x:v>
      </x:c>
      <x:c r="G22" s="89" t="str">
        <x:v>24-Jul-2026</x:v>
      </x:c>
      <x:c r="H22" s="90" t="str">
        <x:v>Close price multiplied by listed shares.</x:v>
      </x:c>
    </x:row>
    <x:row r="23" ht="32" customHeight="1">
      <x:c r="A23" s="88" t="str">
        <x:v>Vietnam national container throughput</x:v>
      </x:c>
      <x:c r="B23" s="89" t="str">
        <x:v>m TEU</x:v>
      </x:c>
      <x:c r="C23" s="211" t="n">
        <x:v>34</x:v>
      </x:c>
      <x:c r="D23" s="89" t="str">
        <x:v>SRC-I01</x:v>
      </x:c>
      <x:c r="E23" s="98" t="str">
        <x:v>https://vimawa.gov.vn/vi/node/15301</x:v>
      </x:c>
      <x:c r="F23" s="89" t="str">
        <x:v>Regulator actual / rounded</x:v>
      </x:c>
      <x:c r="G23" s="89" t="str">
        <x:v>FY2025</x:v>
      </x:c>
      <x:c r="H23" s="90" t="str">
        <x:v>National anchor; source scope includes the regulator's combined transport result.</x:v>
      </x:c>
    </x:row>
    <x:row r="24" ht="32" customHeight="1">
      <x:c r="A24" s="88" t="str">
        <x:v>Vietnam 10-year government bond yield</x:v>
      </x:c>
      <x:c r="B24" s="89" t="str">
        <x:v>%</x:v>
      </x:c>
      <x:c r="C24" s="431" t="n">
        <x:v>0.04409</x:v>
      </x:c>
      <x:c r="D24" s="89" t="str">
        <x:v>SRC-P403</x:v>
      </x:c>
      <x:c r="E24" s="98" t="str">
        <x:v>https://asianbondsonline.adb.org/vietnam/</x:v>
      </x:c>
      <x:c r="F24" s="89" t="str">
        <x:v>Market actual</x:v>
      </x:c>
      <x:c r="G24" s="89" t="str">
        <x:v>23-Jul-2026</x:v>
      </x:c>
      <x:c r="H24" s="90" t="str">
        <x:v>Rounded to 4.5% in valuation assumptions.</x:v>
      </x:c>
    </x:row>
    <x:row r="25" ht="32" customHeight="1">
      <x:c r="A25" s="88" t="str">
        <x:v>Q1 2026 revenue</x:v>
      </x:c>
      <x:c r="B25" s="89" t="str">
        <x:v>VND bn</x:v>
      </x:c>
      <x:c r="C25" s="288" t="n">
        <x:f>'P3 Guidance'!B11</x:f>
        <x:v>1452</x:v>
      </x:c>
      <x:c r="D25" s="89" t="str">
        <x:v>SRC-G02</x:v>
      </x:c>
      <x:c r="E25" s="98" t="str">
        <x:v>https://www.gemadept.com.vn/wp-content/uploads/2026/05/IR-NEWSLETTER-Q12026.pdf</x:v>
      </x:c>
      <x:c r="F25" s="89" t="str">
        <x:v>Issuer actual</x:v>
      </x:c>
      <x:c r="G25" s="89" t="str">
        <x:v>Q1 2026</x:v>
      </x:c>
      <x:c r="H25" s="90" t="str">
        <x:v>Latest company actual.</x:v>
      </x:c>
    </x:row>
    <x:row r="26" ht="32" customHeight="1">
      <x:c r="A26" s="88" t="str">
        <x:v>Q1 2026 PBT</x:v>
      </x:c>
      <x:c r="B26" s="89" t="str">
        <x:v>VND bn</x:v>
      </x:c>
      <x:c r="C26" s="288" t="n">
        <x:f>'P3 Guidance'!B12</x:f>
        <x:v>716</x:v>
      </x:c>
      <x:c r="D26" s="89" t="str">
        <x:v>SRC-G02</x:v>
      </x:c>
      <x:c r="E26" s="98" t="str">
        <x:v>https://www.gemadept.com.vn/wp-content/uploads/2026/05/IR-NEWSLETTER-Q12026.pdf</x:v>
      </x:c>
      <x:c r="F26" s="89" t="str">
        <x:v>Issuer actual</x:v>
      </x:c>
      <x:c r="G26" s="89" t="str">
        <x:v>Q1 2026</x:v>
      </x:c>
      <x:c r="H26" s="90" t="str">
        <x:v>Latest company actual.</x:v>
      </x:c>
    </x:row>
    <x:row r="27" ht="32" customHeight="1">
      <x:c r="A27" s="88" t="str">
        <x:v>2026 registered revenue plan</x:v>
      </x:c>
      <x:c r="B27" s="89" t="str">
        <x:v>VND bn</x:v>
      </x:c>
      <x:c r="C27" s="288" t="n">
        <x:f>'P3 Guidance'!C11</x:f>
        <x:v>6500</x:v>
      </x:c>
      <x:c r="D27" s="89" t="str">
        <x:v>SRC-G03</x:v>
      </x:c>
      <x:c r="E27" s="98" t="str">
        <x:v>https://www.gemadept.com.vn/wp-content/uploads/2026/04/AGM-2026-7.3.-Submission-03-Business-Plan-2026.pdf</x:v>
      </x:c>
      <x:c r="F27" s="89" t="str">
        <x:v>Management guidance</x:v>
      </x:c>
      <x:c r="G27" s="89" t="str">
        <x:v>FY2026</x:v>
      </x:c>
      <x:c r="H27" s="90" t="str">
        <x:v>Benchmark, not analyst estimate.</x:v>
      </x:c>
    </x:row>
    <x:row r="28" ht="32" customHeight="1">
      <x:c r="A28" s="88" t="str">
        <x:v>2026 registered PBT plan</x:v>
      </x:c>
      <x:c r="B28" s="89" t="str">
        <x:v>VND bn</x:v>
      </x:c>
      <x:c r="C28" s="288" t="n">
        <x:f>'P3 Guidance'!C12</x:f>
        <x:v>2800</x:v>
      </x:c>
      <x:c r="D28" s="89" t="str">
        <x:v>SRC-G03</x:v>
      </x:c>
      <x:c r="E28" s="98" t="str">
        <x:v>https://www.gemadept.com.vn/wp-content/uploads/2026/04/AGM-2026-7.3.-Submission-03-Business-Plan-2026.pdf</x:v>
      </x:c>
      <x:c r="F28" s="89" t="str">
        <x:v>Management guidance</x:v>
      </x:c>
      <x:c r="G28" s="89" t="str">
        <x:v>FY2026</x:v>
      </x:c>
      <x:c r="H28" s="90" t="str">
        <x:v>Benchmark, not analyst estimate.</x:v>
      </x:c>
    </x:row>
    <x:row r="29" ht="32" customHeight="1">
      <x:c r="A29" s="88" t="str">
        <x:v>2026 stretch revenue target</x:v>
      </x:c>
      <x:c r="B29" s="89" t="str">
        <x:v>VND bn</x:v>
      </x:c>
      <x:c r="C29" s="288" t="n">
        <x:f>'P3 Guidance'!E11</x:f>
        <x:v>6800</x:v>
      </x:c>
      <x:c r="D29" s="89" t="str">
        <x:v>SRC-G03</x:v>
      </x:c>
      <x:c r="E29" s="98" t="str">
        <x:v>https://www.gemadept.com.vn/wp-content/uploads/2026/04/AGM-2026-7.3.-Submission-03-Business-Plan-2026.pdf</x:v>
      </x:c>
      <x:c r="F29" s="89" t="str">
        <x:v>Management target</x:v>
      </x:c>
      <x:c r="G29" s="89" t="str">
        <x:v>FY2026</x:v>
      </x:c>
      <x:c r="H29" s="90" t="str">
        <x:v>Upside benchmark.</x:v>
      </x:c>
    </x:row>
    <x:row r="30" ht="32" customHeight="1">
      <x:c r="A30" s="91" t="str">
        <x:v>2026 stretch PBT target</x:v>
      </x:c>
      <x:c r="B30" s="92" t="str">
        <x:v>VND bn</x:v>
      </x:c>
      <x:c r="C30" s="360" t="n">
        <x:f>'P3 Guidance'!E12</x:f>
        <x:v>3000</x:v>
      </x:c>
      <x:c r="D30" s="92" t="str">
        <x:v>SRC-G03</x:v>
      </x:c>
      <x:c r="E30" s="99" t="str">
        <x:v>https://www.gemadept.com.vn/wp-content/uploads/2026/04/AGM-2026-7.3.-Submission-03-Business-Plan-2026.pdf</x:v>
      </x:c>
      <x:c r="F30" s="92" t="str">
        <x:v>Management target</x:v>
      </x:c>
      <x:c r="G30" s="92" t="str">
        <x:v>FY2026</x:v>
      </x:c>
      <x:c r="H30" s="93" t="str">
        <x:v>Upside benchmark.</x:v>
      </x:c>
    </x:row>
  </x:sheetData>
  <x:mergeCells>
    <x:mergeCell ref="A1:H1"/>
    <x:mergeCell ref="A2:H2"/>
    <x:mergeCell ref="A4:H4"/>
    <x:mergeCell ref="A13:H13"/>
  </x:mergeCells>
  <x:pageMargins left="0.7" right="0.7" top="0.75" bottom="0.75" header="0.3" footer="0.3"/>
  <x:legacyDrawing xmlns:r="http://schemas.openxmlformats.org/officeDocument/2006/relationships" r:id="R458103e045314565"/>
  <x:tableParts count="2">
    <x:tablePart xmlns:r="http://schemas.openxmlformats.org/officeDocument/2006/relationships" r:id="R6f739963db7d4f5d"/>
    <x:tablePart xmlns:r="http://schemas.openxmlformats.org/officeDocument/2006/relationships" r:id="Rda1a076e385e42f1"/>
  </x:tableParts>
</x:worksheet>
</file>

<file path=xl/worksheets/sheet28.xml><?xml version="1.0" encoding="utf-8"?>
<x:worksheet xmlns:x="http://schemas.openxmlformats.org/spreadsheetml/2006/main">
  <x:sheetViews>
    <x:sheetView showGridLines="0" workbookViewId="0"/>
  </x:sheetViews>
  <x:sheetFormatPr defaultRowHeight="15"/>
  <x:cols>
    <x:col min="1" max="1" width="49" hidden="0" customWidth="1"/>
    <x:col min="2" max="2" width="18" hidden="0" customWidth="1"/>
    <x:col min="3" max="3" width="16" hidden="0" customWidth="1"/>
    <x:col min="4" max="4" width="16" hidden="0" customWidth="1"/>
    <x:col min="5" max="5" width="16" hidden="0" customWidth="1"/>
    <x:col min="6" max="6" width="16" hidden="0" customWidth="1"/>
    <x:col min="7" max="7" width="16" hidden="0" customWidth="1"/>
    <x:col min="8" max="8" width="34" hidden="0" customWidth="1"/>
    <x:col min="9" max="9" width="24" hidden="0" customWidth="1"/>
    <x:col min="10" max="10" width="62" hidden="0" customWidth="1"/>
  </x:cols>
  <x:sheetData>
    <x:row r="1" ht="30" customHeight="1">
      <x:c r="A1" s="408" t="str">
        <x:v>Phase 4 — Source-Linked Baselines &amp; Scenario Assumptions</x:v>
      </x:c>
      <x:c r="B1" s="408" t="str">
        <x:v>Phase 4 — Source-Linked Baselines &amp; Scenario Assumptions</x:v>
      </x:c>
      <x:c r="C1" s="408" t="str">
        <x:v>Phase 4 — Source-Linked Baselines &amp; Scenario Assumptions</x:v>
      </x:c>
      <x:c r="D1" s="408" t="str">
        <x:v>Phase 4 — Source-Linked Baselines &amp; Scenario Assumptions</x:v>
      </x:c>
      <x:c r="E1" s="408" t="str">
        <x:v>Phase 4 — Source-Linked Baselines &amp; Scenario Assumptions</x:v>
      </x:c>
      <x:c r="F1" s="408" t="str">
        <x:v>Phase 4 — Source-Linked Baselines &amp; Scenario Assumptions</x:v>
      </x:c>
      <x:c r="G1" s="408" t="str">
        <x:v>Phase 4 — Source-Linked Baselines &amp; Scenario Assumptions</x:v>
      </x:c>
      <x:c r="H1" s="408" t="str">
        <x:v>Phase 4 — Source-Linked Baselines &amp; Scenario Assumptions</x:v>
      </x:c>
      <x:c r="I1" s="408" t="str">
        <x:v>Phase 4 — Source-Linked Baselines &amp; Scenario Assumptions</x:v>
      </x:c>
      <x:c r="J1" s="408" t="str">
        <x:v>Phase 4 — Source-Linked Baselines &amp; Scenario Assumptions</x:v>
      </x:c>
    </x:row>
    <x:row r="2" ht="34" customHeight="1">
      <x:c r="A2" s="412" t="str">
        <x:v>Blue-font yellow cells are editable analyst assumptions. Green cells link to historical, market or issuer-fact sheets. Forecasts extend to 2030 to make the DCF terminal bridge more defensible.</x:v>
      </x:c>
      <x:c r="B2" s="412" t="str">
        <x:v>Blue-font yellow cells are editable analyst assumptions. Green cells link to historical, market or issuer-fact sheets. Forecasts extend to 2030 to make the DCF terminal bridge more defensible.</x:v>
      </x:c>
      <x:c r="C2" s="412" t="str">
        <x:v>Blue-font yellow cells are editable analyst assumptions. Green cells link to historical, market or issuer-fact sheets. Forecasts extend to 2030 to make the DCF terminal bridge more defensible.</x:v>
      </x:c>
      <x:c r="D2" s="412" t="str">
        <x:v>Blue-font yellow cells are editable analyst assumptions. Green cells link to historical, market or issuer-fact sheets. Forecasts extend to 2030 to make the DCF terminal bridge more defensible.</x:v>
      </x:c>
      <x:c r="E2" s="412" t="str">
        <x:v>Blue-font yellow cells are editable analyst assumptions. Green cells link to historical, market or issuer-fact sheets. Forecasts extend to 2030 to make the DCF terminal bridge more defensible.</x:v>
      </x:c>
      <x:c r="F2" s="412" t="str">
        <x:v>Blue-font yellow cells are editable analyst assumptions. Green cells link to historical, market or issuer-fact sheets. Forecasts extend to 2030 to make the DCF terminal bridge more defensible.</x:v>
      </x:c>
      <x:c r="G2" s="412" t="str">
        <x:v>Blue-font yellow cells are editable analyst assumptions. Green cells link to historical, market or issuer-fact sheets. Forecasts extend to 2030 to make the DCF terminal bridge more defensible.</x:v>
      </x:c>
      <x:c r="H2" s="412" t="str">
        <x:v>Blue-font yellow cells are editable analyst assumptions. Green cells link to historical, market or issuer-fact sheets. Forecasts extend to 2030 to make the DCF terminal bridge more defensible.</x:v>
      </x:c>
      <x:c r="I2" s="412" t="str">
        <x:v>Blue-font yellow cells are editable analyst assumptions. Green cells link to historical, market or issuer-fact sheets. Forecasts extend to 2030 to make the DCF terminal bridge more defensible.</x:v>
      </x:c>
      <x:c r="J2" s="412" t="str">
        <x:v>Blue-font yellow cells are editable analyst assumptions. Green cells link to historical, market or issuer-fact sheets. Forecasts extend to 2030 to make the DCF terminal bridge more defensible.</x:v>
      </x:c>
    </x:row>
    <x:row r="4" ht="22" customHeight="1">
      <x:c r="A4" s="415" t="str">
        <x:v>Source-linked baselines and calibration anchors</x:v>
      </x:c>
      <x:c r="B4" s="415" t="str">
        <x:v>Source-linked baselines and calibration anchors</x:v>
      </x:c>
      <x:c r="C4" s="415" t="str">
        <x:v>Source-linked baselines and calibration anchors</x:v>
      </x:c>
      <x:c r="D4" s="415" t="str">
        <x:v>Source-linked baselines and calibration anchors</x:v>
      </x:c>
      <x:c r="E4" s="415" t="str">
        <x:v>Source-linked baselines and calibration anchors</x:v>
      </x:c>
      <x:c r="F4" s="415" t="str">
        <x:v>Source-linked baselines and calibration anchors</x:v>
      </x:c>
      <x:c r="G4" s="415" t="str">
        <x:v>Source-linked baselines and calibration anchors</x:v>
      </x:c>
      <x:c r="H4" s="415" t="str">
        <x:v>Source-linked baselines and calibration anchors</x:v>
      </x:c>
      <x:c r="I4" s="415" t="str">
        <x:v>Source-linked baselines and calibration anchors</x:v>
      </x:c>
      <x:c r="J4" s="415" t="str">
        <x:v>Source-linked baselines and calibration anchors</x:v>
      </x:c>
    </x:row>
    <x:row r="5" ht="32" customHeight="1">
      <x:c r="A5" s="421" t="str">
        <x:v>Metric</x:v>
      </x:c>
      <x:c r="B5" s="421" t="str">
        <x:v>Unit</x:v>
      </x:c>
      <x:c r="C5" s="421" t="str">
        <x:v>Value</x:v>
      </x:c>
      <x:c r="D5" s="421" t="str">
        <x:v>Source / driver</x:v>
      </x:c>
      <x:c r="E5" s="421" t="str">
        <x:v>Data class</x:v>
      </x:c>
      <x:c r="F5" s="421" t="str">
        <x:v>Usage</x:v>
      </x:c>
      <x:c r="G5" s="421" t="str">
        <x:v>Calibration note</x:v>
      </x:c>
      <x:c r="H5" s="421" t="str">
        <x:v>2026 check</x:v>
      </x:c>
      <x:c r="I5" s="421" t="str">
        <x:v>Status</x:v>
      </x:c>
      <x:c r="J5" s="421" t="str">
        <x:v>Owner</x:v>
      </x:c>
    </x:row>
    <x:row r="6" ht="31" customHeight="1">
      <x:c r="A6" s="85" t="str">
        <x:v>2025 national container throughput</x:v>
      </x:c>
      <x:c r="B6" s="86" t="str">
        <x:v>m TEU</x:v>
      </x:c>
      <x:c r="C6" s="287" t="n">
        <x:f>'Raw GMD Market'!C23</x:f>
        <x:v>34</x:v>
      </x:c>
      <x:c r="D6" s="86" t="str">
        <x:v>SRC-I01</x:v>
      </x:c>
      <x:c r="E6" s="86" t="str">
        <x:v>Linked fact</x:v>
      </x:c>
      <x:c r="F6" s="86" t="str">
        <x:v>National demand base</x:v>
      </x:c>
      <x:c r="G6" s="86" t="str">
        <x:v>Rounded regulator anchor.</x:v>
      </x:c>
      <x:c r="H6" s="86" t="str"/>
      <x:c r="I6" s="86" t="str"/>
      <x:c r="J6" s="87" t="str">
        <x:v>Analyst</x:v>
      </x:c>
    </x:row>
    <x:row r="7" ht="31" customHeight="1">
      <x:c r="A7" s="88" t="str">
        <x:v>2025 GMD system throughput</x:v>
      </x:c>
      <x:c r="B7" s="89" t="str">
        <x:v>m TEU</x:v>
      </x:c>
      <x:c r="C7" s="288" t="n">
        <x:f>'P3 Port Drivers'!G6</x:f>
        <x:v>5.079</x:v>
      </x:c>
      <x:c r="D7" s="89" t="str">
        <x:v>P3 Port Drivers</x:v>
      </x:c>
      <x:c r="E7" s="89" t="str">
        <x:v>Linked actual</x:v>
      </x:c>
      <x:c r="F7" s="89" t="str">
        <x:v>Company volume base</x:v>
      </x:c>
      <x:c r="G7" s="89" t="str">
        <x:v>Issuer system scope.</x:v>
      </x:c>
      <x:c r="H7" s="89" t="str"/>
      <x:c r="I7" s="89" t="str"/>
      <x:c r="J7" s="90" t="str">
        <x:v>Analyst</x:v>
      </x:c>
    </x:row>
    <x:row r="8" ht="31" customHeight="1">
      <x:c r="A8" s="88" t="str">
        <x:v>2025 implied unit/mix/scope proxy</x:v>
      </x:c>
      <x:c r="B8" s="89" t="str">
        <x:v>VND '000/TEU</x:v>
      </x:c>
      <x:c r="C8" s="288" t="n">
        <x:f>'P3 Port Drivers'!G10</x:f>
        <x:v>1034.5004154361095</x:v>
      </x:c>
      <x:c r="D8" s="89" t="str">
        <x:v>P3 Port Drivers</x:v>
      </x:c>
      <x:c r="E8" s="89" t="str">
        <x:v>Linked model proxy</x:v>
      </x:c>
      <x:c r="F8" s="89" t="str">
        <x:v>Port revenue bridge</x:v>
      </x:c>
      <x:c r="G8" s="89" t="str">
        <x:v>Not a clean tariff.</x:v>
      </x:c>
      <x:c r="H8" s="89" t="str"/>
      <x:c r="I8" s="89" t="str"/>
      <x:c r="J8" s="90" t="str">
        <x:v>Analyst</x:v>
      </x:c>
    </x:row>
    <x:row r="9" ht="31" customHeight="1">
      <x:c r="A9" s="88" t="str">
        <x:v>2025 port external revenue</x:v>
      </x:c>
      <x:c r="B9" s="89" t="str">
        <x:v>VND bn</x:v>
      </x:c>
      <x:c r="C9" s="288" t="n">
        <x:f>'P3 Port Drivers'!G8</x:f>
        <x:v>5254.22761</x:v>
      </x:c>
      <x:c r="D9" s="89" t="str">
        <x:v>P3 Port Drivers</x:v>
      </x:c>
      <x:c r="E9" s="89" t="str">
        <x:v>Linked actual</x:v>
      </x:c>
      <x:c r="F9" s="89" t="str">
        <x:v>Segment base</x:v>
      </x:c>
      <x:c r="G9" s="89" t="str">
        <x:v>Consolidated external port revenue.</x:v>
      </x:c>
      <x:c r="H9" s="89" t="str"/>
      <x:c r="I9" s="89" t="str"/>
      <x:c r="J9" s="90" t="str">
        <x:v>Analyst</x:v>
      </x:c>
    </x:row>
    <x:row r="10" ht="31" customHeight="1">
      <x:c r="A10" s="88" t="str">
        <x:v>2025 logistics external revenue</x:v>
      </x:c>
      <x:c r="B10" s="89" t="str">
        <x:v>VND bn</x:v>
      </x:c>
      <x:c r="C10" s="288" t="n">
        <x:f>'P3 Historical IS'!G50</x:f>
        <x:v>693.74057</x:v>
      </x:c>
      <x:c r="D10" s="89" t="str">
        <x:v>P3 Historical IS</x:v>
      </x:c>
      <x:c r="E10" s="89" t="str">
        <x:v>Linked actual</x:v>
      </x:c>
      <x:c r="F10" s="89" t="str">
        <x:v>Segment base</x:v>
      </x:c>
      <x:c r="G10" s="89" t="str">
        <x:v>External logistics revenue.</x:v>
      </x:c>
      <x:c r="H10" s="89" t="str"/>
      <x:c r="I10" s="89" t="str"/>
      <x:c r="J10" s="90" t="str">
        <x:v>Analyst</x:v>
      </x:c>
    </x:row>
    <x:row r="11" ht="31" customHeight="1">
      <x:c r="A11" s="88" t="str">
        <x:v>2025 other external revenue</x:v>
      </x:c>
      <x:c r="B11" s="89" t="str">
        <x:v>VND bn</x:v>
      </x:c>
      <x:c r="C11" s="288" t="n">
        <x:f>'P3 Historical IS'!G51</x:f>
        <x:v>8.057116</x:v>
      </x:c>
      <x:c r="D11" s="89" t="str">
        <x:v>P3 Historical IS</x:v>
      </x:c>
      <x:c r="E11" s="89" t="str">
        <x:v>Linked actual</x:v>
      </x:c>
      <x:c r="F11" s="89" t="str">
        <x:v>Segment base</x:v>
      </x:c>
      <x:c r="G11" s="89" t="str">
        <x:v>Small residual segment.</x:v>
      </x:c>
      <x:c r="H11" s="89" t="str"/>
      <x:c r="I11" s="89" t="str"/>
      <x:c r="J11" s="90" t="str">
        <x:v>Analyst</x:v>
      </x:c>
    </x:row>
    <x:row r="12" ht="31" customHeight="1">
      <x:c r="A12" s="88" t="str">
        <x:v>2025 consolidated revenue</x:v>
      </x:c>
      <x:c r="B12" s="89" t="str">
        <x:v>VND bn</x:v>
      </x:c>
      <x:c r="C12" s="288" t="n">
        <x:f>'P3 Historical IS'!G6</x:f>
        <x:v>5956.025297015</x:v>
      </x:c>
      <x:c r="D12" s="89" t="str">
        <x:v>P3 Historical IS</x:v>
      </x:c>
      <x:c r="E12" s="89" t="str">
        <x:v>Linked actual</x:v>
      </x:c>
      <x:c r="F12" s="89" t="str">
        <x:v>Forecast base</x:v>
      </x:c>
      <x:c r="G12" s="89" t="str">
        <x:v>Audited/API-linked.</x:v>
      </x:c>
      <x:c r="H12" s="89" t="str"/>
      <x:c r="I12" s="89" t="str"/>
      <x:c r="J12" s="90" t="str">
        <x:v>Analyst</x:v>
      </x:c>
    </x:row>
    <x:row r="13" ht="31" customHeight="1">
      <x:c r="A13" s="88" t="str">
        <x:v>2025 consolidated operating margin</x:v>
      </x:c>
      <x:c r="B13" s="89" t="str">
        <x:v>%</x:v>
      </x:c>
      <x:c r="C13" s="125" t="n">
        <x:f>'P3 Historical IS'!G13</x:f>
        <x:v>0.27652039677743034</x:v>
      </x:c>
      <x:c r="D13" s="89" t="str">
        <x:v>P3 Historical IS</x:v>
      </x:c>
      <x:c r="E13" s="89" t="str">
        <x:v>Linked model output</x:v>
      </x:c>
      <x:c r="F13" s="89" t="str">
        <x:v>EBIT forecast base</x:v>
      </x:c>
      <x:c r="G13" s="89" t="str">
        <x:v>Before financial, associate and other items.</x:v>
      </x:c>
      <x:c r="H13" s="89" t="str"/>
      <x:c r="I13" s="89" t="str"/>
      <x:c r="J13" s="90" t="str">
        <x:v>Analyst</x:v>
      </x:c>
    </x:row>
    <x:row r="14" ht="31" customHeight="1">
      <x:c r="A14" s="88" t="str">
        <x:v>2025 Gemalink associate contribution</x:v>
      </x:c>
      <x:c r="B14" s="89" t="str">
        <x:v>VND bn</x:v>
      </x:c>
      <x:c r="C14" s="288" t="n">
        <x:f>'P3 Associates'!G7</x:f>
        <x:v>826.81</x:v>
      </x:c>
      <x:c r="D14" s="89" t="str">
        <x:v>P3 Associates</x:v>
      </x:c>
      <x:c r="E14" s="89" t="str">
        <x:v>Linked actual</x:v>
      </x:c>
      <x:c r="F14" s="89" t="str">
        <x:v>Associate forecast base</x:v>
      </x:c>
      <x:c r="G14" s="89" t="str">
        <x:v>Equity-accounted.</x:v>
      </x:c>
      <x:c r="H14" s="89" t="str"/>
      <x:c r="I14" s="89" t="str"/>
      <x:c r="J14" s="90" t="str">
        <x:v>Analyst</x:v>
      </x:c>
    </x:row>
    <x:row r="15" ht="31" customHeight="1">
      <x:c r="A15" s="88" t="str">
        <x:v>2025 SCS associate contribution</x:v>
      </x:c>
      <x:c r="B15" s="89" t="str">
        <x:v>VND bn</x:v>
      </x:c>
      <x:c r="C15" s="288" t="n">
        <x:f>'P3 Associates'!G8</x:f>
        <x:v>258.588</x:v>
      </x:c>
      <x:c r="D15" s="89" t="str">
        <x:v>P3 Associates</x:v>
      </x:c>
      <x:c r="E15" s="89" t="str">
        <x:v>Linked actual</x:v>
      </x:c>
      <x:c r="F15" s="89" t="str">
        <x:v>Associate forecast base</x:v>
      </x:c>
      <x:c r="G15" s="89" t="str">
        <x:v>Equity-accounted.</x:v>
      </x:c>
      <x:c r="H15" s="89" t="str"/>
      <x:c r="I15" s="89" t="str"/>
      <x:c r="J15" s="90" t="str">
        <x:v>Analyst</x:v>
      </x:c>
    </x:row>
    <x:row r="16" ht="31" customHeight="1">
      <x:c r="A16" s="88" t="str">
        <x:v>2025 CJ Gemadept Logistics contribution</x:v>
      </x:c>
      <x:c r="B16" s="89" t="str">
        <x:v>VND bn</x:v>
      </x:c>
      <x:c r="C16" s="288" t="n">
        <x:f>'P3 Associates'!G9</x:f>
        <x:v>46.182</x:v>
      </x:c>
      <x:c r="D16" s="89" t="str">
        <x:v>P3 Associates</x:v>
      </x:c>
      <x:c r="E16" s="89" t="str">
        <x:v>Linked actual</x:v>
      </x:c>
      <x:c r="F16" s="89" t="str">
        <x:v>Associate forecast base</x:v>
      </x:c>
      <x:c r="G16" s="89" t="str">
        <x:v>Equity-accounted.</x:v>
      </x:c>
      <x:c r="H16" s="89" t="str"/>
      <x:c r="I16" s="89" t="str"/>
      <x:c r="J16" s="90" t="str">
        <x:v>Analyst</x:v>
      </x:c>
    </x:row>
    <x:row r="17" ht="31" customHeight="1">
      <x:c r="A17" s="88" t="str">
        <x:v>2025 other associate contribution</x:v>
      </x:c>
      <x:c r="B17" s="89" t="str">
        <x:v>VND bn</x:v>
      </x:c>
      <x:c r="C17" s="288" t="n">
        <x:f>'P3 Associates'!G10</x:f>
        <x:v>26.07937794700001</x:v>
      </x:c>
      <x:c r="D17" s="89" t="str">
        <x:v>P3 Associates</x:v>
      </x:c>
      <x:c r="E17" s="89" t="str">
        <x:v>Linked model output</x:v>
      </x:c>
      <x:c r="F17" s="89" t="str">
        <x:v>Associate forecast base</x:v>
      </x:c>
      <x:c r="G17" s="89" t="str">
        <x:v>Residual associates.</x:v>
      </x:c>
      <x:c r="H17" s="89" t="str"/>
      <x:c r="I17" s="89" t="str"/>
      <x:c r="J17" s="90" t="str">
        <x:v>Analyst</x:v>
      </x:c>
    </x:row>
    <x:row r="18" ht="31" customHeight="1">
      <x:c r="A18" s="88" t="str">
        <x:v>Listed shares</x:v>
      </x:c>
      <x:c r="B18" s="89" t="str">
        <x:v>m shares</x:v>
      </x:c>
      <x:c r="C18" s="288" t="n">
        <x:f>'Raw GMD Market'!C16</x:f>
        <x:v>426.495109</x:v>
      </x:c>
      <x:c r="D18" s="89" t="str">
        <x:v>SRC-P402</x:v>
      </x:c>
      <x:c r="E18" s="89" t="str">
        <x:v>Linked issuer fact</x:v>
      </x:c>
      <x:c r="F18" s="89" t="str">
        <x:v>Per-share valuation</x:v>
      </x:c>
      <x:c r="G18" s="89" t="str">
        <x:v>As of 25-Jul-2026.</x:v>
      </x:c>
      <x:c r="H18" s="89" t="str"/>
      <x:c r="I18" s="89" t="str"/>
      <x:c r="J18" s="90" t="str">
        <x:v>Analyst</x:v>
      </x:c>
    </x:row>
    <x:row r="19" ht="31" customHeight="1">
      <x:c r="A19" s="88" t="str">
        <x:v>Latest close</x:v>
      </x:c>
      <x:c r="B19" s="89" t="str">
        <x:v>VND '000/share</x:v>
      </x:c>
      <x:c r="C19" s="288" t="n">
        <x:f>'Raw GMD Market'!C15</x:f>
        <x:v>73.2</x:v>
      </x:c>
      <x:c r="D19" s="89" t="str">
        <x:v>SRC-P401</x:v>
      </x:c>
      <x:c r="E19" s="89" t="str">
        <x:v>Linked market actual</x:v>
      </x:c>
      <x:c r="F19" s="89" t="str">
        <x:v>Upside/downside</x:v>
      </x:c>
      <x:c r="G19" s="89" t="str">
        <x:v>24-Jul-2026 close.</x:v>
      </x:c>
      <x:c r="H19" s="89" t="str"/>
      <x:c r="I19" s="89" t="str"/>
      <x:c r="J19" s="90" t="str">
        <x:v>Analyst</x:v>
      </x:c>
    </x:row>
    <x:row r="20" ht="31" customHeight="1">
      <x:c r="A20" s="88" t="str">
        <x:v>FY2025 net cash</x:v>
      </x:c>
      <x:c r="B20" s="89" t="str">
        <x:v>VND bn</x:v>
      </x:c>
      <x:c r="C20" s="288" t="n">
        <x:f>'Raw GMD Market'!C21</x:f>
        <x:v>1971.728574399</x:v>
      </x:c>
      <x:c r="D20" s="89" t="str">
        <x:v>Raw GMD Market</x:v>
      </x:c>
      <x:c r="E20" s="89" t="str">
        <x:v>Linked model output</x:v>
      </x:c>
      <x:c r="F20" s="89" t="str">
        <x:v>DCF equity bridge</x:v>
      </x:c>
      <x:c r="G20" s="89" t="str">
        <x:v>Cash + ST investments - gross debt.</x:v>
      </x:c>
      <x:c r="H20" s="89" t="str"/>
      <x:c r="I20" s="89" t="str"/>
      <x:c r="J20" s="90" t="str">
        <x:v>Analyst</x:v>
      </x:c>
    </x:row>
    <x:row r="21" ht="31" customHeight="1">
      <x:c r="A21" s="88" t="str">
        <x:v>2026 registered revenue plan</x:v>
      </x:c>
      <x:c r="B21" s="89" t="str">
        <x:v>VND bn</x:v>
      </x:c>
      <x:c r="C21" s="288" t="n">
        <x:f>'Raw GMD Market'!C27</x:f>
        <x:v>6500</x:v>
      </x:c>
      <x:c r="D21" s="89" t="str">
        <x:v>SRC-G03</x:v>
      </x:c>
      <x:c r="E21" s="89" t="str">
        <x:v>Management guidance</x:v>
      </x:c>
      <x:c r="F21" s="89" t="str">
        <x:v>Forecast benchmark</x:v>
      </x:c>
      <x:c r="G21" s="89" t="str">
        <x:v>Not analyst forecast.</x:v>
      </x:c>
      <x:c r="H21" s="89" t="str"/>
      <x:c r="I21" s="89" t="str"/>
      <x:c r="J21" s="90" t="str">
        <x:v>Analyst</x:v>
      </x:c>
    </x:row>
    <x:row r="22" ht="31" customHeight="1">
      <x:c r="A22" s="88" t="str">
        <x:v>2026 registered PBT plan</x:v>
      </x:c>
      <x:c r="B22" s="89" t="str">
        <x:v>VND bn</x:v>
      </x:c>
      <x:c r="C22" s="288" t="n">
        <x:f>'Raw GMD Market'!C28</x:f>
        <x:v>2800</x:v>
      </x:c>
      <x:c r="D22" s="89" t="str">
        <x:v>SRC-G03</x:v>
      </x:c>
      <x:c r="E22" s="89" t="str">
        <x:v>Management guidance</x:v>
      </x:c>
      <x:c r="F22" s="89" t="str">
        <x:v>Forecast benchmark</x:v>
      </x:c>
      <x:c r="G22" s="89" t="str">
        <x:v>Not analyst forecast.</x:v>
      </x:c>
      <x:c r="H22" s="89" t="str"/>
      <x:c r="I22" s="89" t="str"/>
      <x:c r="J22" s="90" t="str">
        <x:v>Analyst</x:v>
      </x:c>
    </x:row>
    <x:row r="23" ht="31" customHeight="1">
      <x:c r="A23" s="88" t="str">
        <x:v>2026 stretch revenue target</x:v>
      </x:c>
      <x:c r="B23" s="89" t="str">
        <x:v>VND bn</x:v>
      </x:c>
      <x:c r="C23" s="288" t="n">
        <x:f>'Raw GMD Market'!C29</x:f>
        <x:v>6800</x:v>
      </x:c>
      <x:c r="D23" s="89" t="str">
        <x:v>SRC-G03</x:v>
      </x:c>
      <x:c r="E23" s="89" t="str">
        <x:v>Management target</x:v>
      </x:c>
      <x:c r="F23" s="89" t="str">
        <x:v>Base-case calibration</x:v>
      </x:c>
      <x:c r="G23" s="89" t="str">
        <x:v>Base case should be near, not mechanically equal.</x:v>
      </x:c>
      <x:c r="H23" s="89" t="str"/>
      <x:c r="I23" s="89" t="str"/>
      <x:c r="J23" s="90" t="str">
        <x:v>Analyst</x:v>
      </x:c>
    </x:row>
    <x:row r="24" ht="31" customHeight="1">
      <x:c r="A24" s="88" t="str">
        <x:v>2026 stretch PBT target</x:v>
      </x:c>
      <x:c r="B24" s="89" t="str">
        <x:v>VND bn</x:v>
      </x:c>
      <x:c r="C24" s="288" t="n">
        <x:f>'Raw GMD Market'!C30</x:f>
        <x:v>3000</x:v>
      </x:c>
      <x:c r="D24" s="89" t="str">
        <x:v>SRC-G03</x:v>
      </x:c>
      <x:c r="E24" s="89" t="str">
        <x:v>Management target</x:v>
      </x:c>
      <x:c r="F24" s="89" t="str">
        <x:v>Base-case calibration</x:v>
      </x:c>
      <x:c r="G24" s="89" t="str">
        <x:v>Base case should be near, not mechanically equal.</x:v>
      </x:c>
      <x:c r="H24" s="89" t="str"/>
      <x:c r="I24" s="89" t="str"/>
      <x:c r="J24" s="90" t="str">
        <x:v>Analyst</x:v>
      </x:c>
    </x:row>
    <x:row r="25" ht="31" customHeight="1">
      <x:c r="A25" s="88" t="str">
        <x:v>Q1 2026 revenue</x:v>
      </x:c>
      <x:c r="B25" s="89" t="str">
        <x:v>VND bn</x:v>
      </x:c>
      <x:c r="C25" s="288" t="n">
        <x:f>'Raw GMD Market'!C25</x:f>
        <x:v>1452</x:v>
      </x:c>
      <x:c r="D25" s="89" t="str">
        <x:v>SRC-G02</x:v>
      </x:c>
      <x:c r="E25" s="89" t="str">
        <x:v>Issuer actual</x:v>
      </x:c>
      <x:c r="F25" s="89" t="str">
        <x:v>Run-rate check</x:v>
      </x:c>
      <x:c r="G25" s="89" t="str">
        <x:v>Q1 seasonality prevents straight annualization.</x:v>
      </x:c>
      <x:c r="H25" s="89" t="str"/>
      <x:c r="I25" s="89" t="str"/>
      <x:c r="J25" s="90" t="str">
        <x:v>Analyst</x:v>
      </x:c>
    </x:row>
    <x:row r="26" ht="31" customHeight="1">
      <x:c r="A26" s="88" t="str">
        <x:v>Q1 2026 PBT</x:v>
      </x:c>
      <x:c r="B26" s="89" t="str">
        <x:v>VND bn</x:v>
      </x:c>
      <x:c r="C26" s="288" t="n">
        <x:f>'Raw GMD Market'!C26</x:f>
        <x:v>716</x:v>
      </x:c>
      <x:c r="D26" s="89" t="str">
        <x:v>SRC-G02</x:v>
      </x:c>
      <x:c r="E26" s="89" t="str">
        <x:v>Issuer actual</x:v>
      </x:c>
      <x:c r="F26" s="89" t="str">
        <x:v>Run-rate check</x:v>
      </x:c>
      <x:c r="G26" s="89" t="str">
        <x:v>Q1 seasonality prevents straight annualization.</x:v>
      </x:c>
      <x:c r="H26" s="89" t="str"/>
      <x:c r="I26" s="89" t="str"/>
      <x:c r="J26" s="90" t="str">
        <x:v>Analyst</x:v>
      </x:c>
    </x:row>
    <x:row r="27" ht="31" customHeight="1">
      <x:c r="A27" s="91" t="str">
        <x:v>Vietnam 10-year government bond yield</x:v>
      </x:c>
      <x:c r="B27" s="92" t="str">
        <x:v>%</x:v>
      </x:c>
      <x:c r="C27" s="432" t="n">
        <x:f>'Raw GMD Market'!C24</x:f>
        <x:v>0.04409</x:v>
      </x:c>
      <x:c r="D27" s="92" t="str">
        <x:v>SRC-P403</x:v>
      </x:c>
      <x:c r="E27" s="92" t="str">
        <x:v>Linked market actual</x:v>
      </x:c>
      <x:c r="F27" s="92" t="str">
        <x:v>Risk-free anchor</x:v>
      </x:c>
      <x:c r="G27" s="92" t="str">
        <x:v>Rounded to 4.5% below.</x:v>
      </x:c>
      <x:c r="H27" s="92" t="str"/>
      <x:c r="I27" s="92" t="str"/>
      <x:c r="J27" s="93" t="str">
        <x:v>Analyst</x:v>
      </x:c>
    </x:row>
    <x:row r="30" ht="22" customHeight="1">
      <x:c r="A30" s="415" t="str">
        <x:v>Base case — editable forecast drivers</x:v>
      </x:c>
      <x:c r="B30" s="415" t="str">
        <x:v>Base case — editable forecast drivers</x:v>
      </x:c>
      <x:c r="C30" s="415" t="str">
        <x:v>Base case — editable forecast drivers</x:v>
      </x:c>
      <x:c r="D30" s="415" t="str">
        <x:v>Base case — editable forecast drivers</x:v>
      </x:c>
      <x:c r="E30" s="415" t="str">
        <x:v>Base case — editable forecast drivers</x:v>
      </x:c>
      <x:c r="F30" s="415" t="str">
        <x:v>Base case — editable forecast drivers</x:v>
      </x:c>
      <x:c r="G30" s="415" t="str">
        <x:v>Base case — editable forecast drivers</x:v>
      </x:c>
      <x:c r="H30" s="415" t="str">
        <x:v>Base case — editable forecast drivers</x:v>
      </x:c>
      <x:c r="I30" s="415" t="str">
        <x:v>Base case — editable forecast drivers</x:v>
      </x:c>
      <x:c r="J30" s="415" t="str">
        <x:v>Base case — editable forecast drivers</x:v>
      </x:c>
    </x:row>
    <x:row r="31" ht="32" customHeight="1">
      <x:c r="A31" s="421" t="str">
        <x:v>Driver</x:v>
      </x:c>
      <x:c r="B31" s="421" t="str">
        <x:v>Unit</x:v>
      </x:c>
      <x:c r="C31" s="433" t="n">
        <x:v>46387</x:v>
      </x:c>
      <x:c r="D31" s="433" t="n">
        <x:v>46752</x:v>
      </x:c>
      <x:c r="E31" s="433" t="n">
        <x:v>47118</x:v>
      </x:c>
      <x:c r="F31" s="433" t="n">
        <x:v>47483</x:v>
      </x:c>
      <x:c r="G31" s="433" t="n">
        <x:v>47848</x:v>
      </x:c>
      <x:c r="H31" s="421" t="str">
        <x:v>Source / logic</x:v>
      </x:c>
      <x:c r="I31" s="421" t="str">
        <x:v>Data class</x:v>
      </x:c>
      <x:c r="J31" s="421" t="str">
        <x:v>Analyst note</x:v>
      </x:c>
    </x:row>
    <x:row r="32" ht="31" customHeight="1">
      <x:c r="A32" s="85" t="str">
        <x:v>National container throughput growth</x:v>
      </x:c>
      <x:c r="B32" s="86" t="str">
        <x:v>%</x:v>
      </x:c>
      <x:c r="C32" s="436" t="n">
        <x:v>0.1</x:v>
      </x:c>
      <x:c r="D32" s="436" t="n">
        <x:v>0.08</x:v>
      </x:c>
      <x:c r="E32" s="436" t="n">
        <x:v>0.07</x:v>
      </x:c>
      <x:c r="F32" s="436" t="n">
        <x:v>0.065</x:v>
      </x:c>
      <x:c r="G32" s="436" t="n">
        <x:v>0.06</x:v>
      </x:c>
      <x:c r="H32" s="86" t="str">
        <x:v>Historical + macro + disclosed capacity</x:v>
      </x:c>
      <x:c r="I32" s="86" t="str">
        <x:v>Analyst assumption</x:v>
      </x:c>
      <x:c r="J32" s="87" t="str">
        <x:v>Macro-to-volume assumption; deliberately below 1H2026 trade-value growth.</x:v>
      </x:c>
    </x:row>
    <x:row r="33" ht="31" customHeight="1">
      <x:c r="A33" s="88" t="str">
        <x:v>GMD share of national throughput</x:v>
      </x:c>
      <x:c r="B33" s="89" t="str">
        <x:v>%</x:v>
      </x:c>
      <x:c r="C33" s="439" t="n">
        <x:v>0.152</x:v>
      </x:c>
      <x:c r="D33" s="439" t="n">
        <x:v>0.155</x:v>
      </x:c>
      <x:c r="E33" s="439" t="n">
        <x:v>0.163</x:v>
      </x:c>
      <x:c r="F33" s="439" t="n">
        <x:v>0.17</x:v>
      </x:c>
      <x:c r="G33" s="439" t="n">
        <x:v>0.175</x:v>
      </x:c>
      <x:c r="H33" s="89" t="str">
        <x:v>Historical + macro + disclosed capacity</x:v>
      </x:c>
      <x:c r="I33" s="89" t="str">
        <x:v>Analyst assumption</x:v>
      </x:c>
      <x:c r="J33" s="90" t="str">
        <x:v>Captures asset position, route wins and Gemalink Phase 2 ramp.</x:v>
      </x:c>
    </x:row>
    <x:row r="34" ht="31" customHeight="1">
      <x:c r="A34" s="88" t="str">
        <x:v>Implied unit/mix/scope proxy growth</x:v>
      </x:c>
      <x:c r="B34" s="89" t="str">
        <x:v>%</x:v>
      </x:c>
      <x:c r="C34" s="439" t="n">
        <x:v>0.025</x:v>
      </x:c>
      <x:c r="D34" s="439" t="n">
        <x:v>0.03</x:v>
      </x:c>
      <x:c r="E34" s="439" t="n">
        <x:v>0.03</x:v>
      </x:c>
      <x:c r="F34" s="439" t="n">
        <x:v>0.03</x:v>
      </x:c>
      <x:c r="G34" s="439" t="n">
        <x:v>0.03</x:v>
      </x:c>
      <x:c r="H34" s="89" t="str">
        <x:v>Historical + macro + disclosed capacity</x:v>
      </x:c>
      <x:c r="I34" s="89" t="str">
        <x:v>Analyst assumption</x:v>
      </x:c>
      <x:c r="J34" s="90" t="str">
        <x:v>Price, cargo mix, service mix and recognition scope; not a pure tariff.</x:v>
      </x:c>
    </x:row>
    <x:row r="35" ht="31" customHeight="1">
      <x:c r="A35" s="88" t="str">
        <x:v>Logistics external revenue growth</x:v>
      </x:c>
      <x:c r="B35" s="89" t="str">
        <x:v>%</x:v>
      </x:c>
      <x:c r="C35" s="439" t="n">
        <x:v>0.04</x:v>
      </x:c>
      <x:c r="D35" s="439" t="n">
        <x:v>0.05</x:v>
      </x:c>
      <x:c r="E35" s="439" t="n">
        <x:v>0.06</x:v>
      </x:c>
      <x:c r="F35" s="439" t="n">
        <x:v>0.06</x:v>
      </x:c>
      <x:c r="G35" s="439" t="n">
        <x:v>0.06</x:v>
      </x:c>
      <x:c r="H35" s="89" t="str">
        <x:v>Historical + macro + disclosed capacity</x:v>
      </x:c>
      <x:c r="I35" s="89" t="str">
        <x:v>Analyst assumption</x:v>
      </x:c>
      <x:c r="J35" s="90" t="str">
        <x:v>Separate from port throughput.</x:v>
      </x:c>
    </x:row>
    <x:row r="36" ht="31" customHeight="1">
      <x:c r="A36" s="88" t="str">
        <x:v>Other external revenue growth</x:v>
      </x:c>
      <x:c r="B36" s="89" t="str">
        <x:v>%</x:v>
      </x:c>
      <x:c r="C36" s="439" t="n">
        <x:v>0</x:v>
      </x:c>
      <x:c r="D36" s="439" t="n">
        <x:v>0</x:v>
      </x:c>
      <x:c r="E36" s="439" t="n">
        <x:v>0</x:v>
      </x:c>
      <x:c r="F36" s="439" t="n">
        <x:v>0</x:v>
      </x:c>
      <x:c r="G36" s="439" t="n">
        <x:v>0</x:v>
      </x:c>
      <x:c r="H36" s="89" t="str">
        <x:v>Historical + macro + disclosed capacity</x:v>
      </x:c>
      <x:c r="I36" s="89" t="str">
        <x:v>Analyst assumption</x:v>
      </x:c>
      <x:c r="J36" s="90" t="str">
        <x:v>Small residual segment; kept conservative.</x:v>
      </x:c>
    </x:row>
    <x:row r="37" ht="31" customHeight="1">
      <x:c r="A37" s="88" t="str">
        <x:v>Consolidated operating margin</x:v>
      </x:c>
      <x:c r="B37" s="89" t="str">
        <x:v>%</x:v>
      </x:c>
      <x:c r="C37" s="439" t="n">
        <x:v>0.28</x:v>
      </x:c>
      <x:c r="D37" s="439" t="n">
        <x:v>0.285</x:v>
      </x:c>
      <x:c r="E37" s="439" t="n">
        <x:v>0.29</x:v>
      </x:c>
      <x:c r="F37" s="439" t="n">
        <x:v>0.295</x:v>
      </x:c>
      <x:c r="G37" s="439" t="n">
        <x:v>0.3</x:v>
      </x:c>
      <x:c r="H37" s="89" t="str">
        <x:v>Historical + macro + disclosed capacity</x:v>
      </x:c>
      <x:c r="I37" s="89" t="str">
        <x:v>Analyst assumption</x:v>
      </x:c>
      <x:c r="J37" s="90" t="str">
        <x:v>Before financial, associate and other items.</x:v>
      </x:c>
    </x:row>
    <x:row r="38" ht="31" customHeight="1">
      <x:c r="A38" s="88" t="str">
        <x:v>Financial income</x:v>
      </x:c>
      <x:c r="B38" s="89" t="str">
        <x:v>VND bn</x:v>
      </x:c>
      <x:c r="C38" s="440" t="n">
        <x:v>225</x:v>
      </x:c>
      <x:c r="D38" s="440" t="n">
        <x:v>220</x:v>
      </x:c>
      <x:c r="E38" s="440" t="n">
        <x:v>210</x:v>
      </x:c>
      <x:c r="F38" s="440" t="n">
        <x:v>200</x:v>
      </x:c>
      <x:c r="G38" s="440" t="n">
        <x:v>190</x:v>
      </x:c>
      <x:c r="H38" s="89" t="str">
        <x:v>Historical + macro + disclosed capacity</x:v>
      </x:c>
      <x:c r="I38" s="89" t="str">
        <x:v>Analyst assumption</x:v>
      </x:c>
      <x:c r="J38" s="90" t="str">
        <x:v>Cash-yield assumption linked to balance-sheet liquidity.</x:v>
      </x:c>
    </x:row>
    <x:row r="39" ht="31" customHeight="1">
      <x:c r="A39" s="88" t="str">
        <x:v>Financial expense</x:v>
      </x:c>
      <x:c r="B39" s="89" t="str">
        <x:v>VND bn</x:v>
      </x:c>
      <x:c r="C39" s="440" t="n">
        <x:v>120</x:v>
      </x:c>
      <x:c r="D39" s="440" t="n">
        <x:v>125</x:v>
      </x:c>
      <x:c r="E39" s="440" t="n">
        <x:v>130</x:v>
      </x:c>
      <x:c r="F39" s="440" t="n">
        <x:v>135</x:v>
      </x:c>
      <x:c r="G39" s="440" t="n">
        <x:v>140</x:v>
      </x:c>
      <x:c r="H39" s="89" t="str">
        <x:v>Historical + macro + disclosed capacity</x:v>
      </x:c>
      <x:c r="I39" s="89" t="str">
        <x:v>Analyst assumption</x:v>
      </x:c>
      <x:c r="J39" s="90" t="str">
        <x:v>Gross-financing cost assumption.</x:v>
      </x:c>
    </x:row>
    <x:row r="40" ht="31" customHeight="1">
      <x:c r="A40" s="88" t="str">
        <x:v>Other profit/(loss)</x:v>
      </x:c>
      <x:c r="B40" s="89" t="str">
        <x:v>VND bn</x:v>
      </x:c>
      <x:c r="C40" s="440" t="n">
        <x:v>-250</x:v>
      </x:c>
      <x:c r="D40" s="440" t="n">
        <x:v>-250</x:v>
      </x:c>
      <x:c r="E40" s="440" t="n">
        <x:v>-250</x:v>
      </x:c>
      <x:c r="F40" s="440" t="n">
        <x:v>-250</x:v>
      </x:c>
      <x:c r="G40" s="440" t="n">
        <x:v>-250</x:v>
      </x:c>
      <x:c r="H40" s="89" t="str">
        <x:v>Historical + macro + disclosed capacity</x:v>
      </x:c>
      <x:c r="I40" s="89" t="str">
        <x:v>Analyst assumption</x:v>
      </x:c>
      <x:c r="J40" s="90" t="str">
        <x:v>Recurring conservative loss allowance.</x:v>
      </x:c>
    </x:row>
    <x:row r="41" ht="31" customHeight="1">
      <x:c r="A41" s="88" t="str">
        <x:v>Gemalink associate-profit growth</x:v>
      </x:c>
      <x:c r="B41" s="89" t="str">
        <x:v>%</x:v>
      </x:c>
      <x:c r="C41" s="439" t="n">
        <x:v>0.1</x:v>
      </x:c>
      <x:c r="D41" s="439" t="n">
        <x:v>0.1</x:v>
      </x:c>
      <x:c r="E41" s="439" t="n">
        <x:v>0.25</x:v>
      </x:c>
      <x:c r="F41" s="439" t="n">
        <x:v>0.18</x:v>
      </x:c>
      <x:c r="G41" s="439" t="n">
        <x:v>0.12</x:v>
      </x:c>
      <x:c r="H41" s="89" t="str">
        <x:v>Historical + macro + disclosed capacity</x:v>
      </x:c>
      <x:c r="I41" s="89" t="str">
        <x:v>Analyst assumption</x:v>
      </x:c>
      <x:c r="J41" s="90" t="str">
        <x:v>Phase 2 operation assumed from Q4 2027, with material ramp from 2028.</x:v>
      </x:c>
    </x:row>
    <x:row r="42" ht="31" customHeight="1">
      <x:c r="A42" s="88" t="str">
        <x:v>SCS associate-profit growth</x:v>
      </x:c>
      <x:c r="B42" s="89" t="str">
        <x:v>%</x:v>
      </x:c>
      <x:c r="C42" s="439" t="n">
        <x:v>0.07</x:v>
      </x:c>
      <x:c r="D42" s="439" t="n">
        <x:v>0.07</x:v>
      </x:c>
      <x:c r="E42" s="439" t="n">
        <x:v>0.07</x:v>
      </x:c>
      <x:c r="F42" s="439" t="n">
        <x:v>0.07</x:v>
      </x:c>
      <x:c r="G42" s="439" t="n">
        <x:v>0.07</x:v>
      </x:c>
      <x:c r="H42" s="89" t="str">
        <x:v>Historical + macro + disclosed capacity</x:v>
      </x:c>
      <x:c r="I42" s="89" t="str">
        <x:v>Analyst assumption</x:v>
      </x:c>
      <x:c r="J42" s="90" t="str">
        <x:v>Air-cargo associate growth.</x:v>
      </x:c>
    </x:row>
    <x:row r="43" ht="31" customHeight="1">
      <x:c r="A43" s="88" t="str">
        <x:v>CJ Gemadept Logistics profit growth</x:v>
      </x:c>
      <x:c r="B43" s="89" t="str">
        <x:v>%</x:v>
      </x:c>
      <x:c r="C43" s="439" t="n">
        <x:v>0.06</x:v>
      </x:c>
      <x:c r="D43" s="439" t="n">
        <x:v>0.06</x:v>
      </x:c>
      <x:c r="E43" s="439" t="n">
        <x:v>0.06</x:v>
      </x:c>
      <x:c r="F43" s="439" t="n">
        <x:v>0.06</x:v>
      </x:c>
      <x:c r="G43" s="439" t="n">
        <x:v>0.06</x:v>
      </x:c>
      <x:c r="H43" s="89" t="str">
        <x:v>Historical + macro + disclosed capacity</x:v>
      </x:c>
      <x:c r="I43" s="89" t="str">
        <x:v>Analyst assumption</x:v>
      </x:c>
      <x:c r="J43" s="90" t="str">
        <x:v>Logistics-associate growth.</x:v>
      </x:c>
    </x:row>
    <x:row r="44" ht="31" customHeight="1">
      <x:c r="A44" s="88" t="str">
        <x:v>Other associate-profit growth</x:v>
      </x:c>
      <x:c r="B44" s="89" t="str">
        <x:v>%</x:v>
      </x:c>
      <x:c r="C44" s="439" t="n">
        <x:v>0.04</x:v>
      </x:c>
      <x:c r="D44" s="439" t="n">
        <x:v>0.04</x:v>
      </x:c>
      <x:c r="E44" s="439" t="n">
        <x:v>0.04</x:v>
      </x:c>
      <x:c r="F44" s="439" t="n">
        <x:v>0.04</x:v>
      </x:c>
      <x:c r="G44" s="439" t="n">
        <x:v>0.04</x:v>
      </x:c>
      <x:c r="H44" s="89" t="str">
        <x:v>Historical + macro + disclosed capacity</x:v>
      </x:c>
      <x:c r="I44" s="89" t="str">
        <x:v>Analyst assumption</x:v>
      </x:c>
      <x:c r="J44" s="90" t="str">
        <x:v>Residual associate bucket.</x:v>
      </x:c>
    </x:row>
    <x:row r="45" ht="31" customHeight="1">
      <x:c r="A45" s="88" t="str">
        <x:v>Effective PBT tax rate</x:v>
      </x:c>
      <x:c r="B45" s="89" t="str">
        <x:v>%</x:v>
      </x:c>
      <x:c r="C45" s="439" t="n">
        <x:v>0.095</x:v>
      </x:c>
      <x:c r="D45" s="439" t="n">
        <x:v>0.095</x:v>
      </x:c>
      <x:c r="E45" s="439" t="n">
        <x:v>0.1</x:v>
      </x:c>
      <x:c r="F45" s="439" t="n">
        <x:v>0.1</x:v>
      </x:c>
      <x:c r="G45" s="439" t="n">
        <x:v>0.1</x:v>
      </x:c>
      <x:c r="H45" s="89" t="str">
        <x:v>Historical + macro + disclosed capacity</x:v>
      </x:c>
      <x:c r="I45" s="89" t="str">
        <x:v>Analyst assumption</x:v>
      </x:c>
      <x:c r="J45" s="90" t="str">
        <x:v>Lower than statutory rate because associate income is after tax.</x:v>
      </x:c>
    </x:row>
    <x:row r="46" ht="31" customHeight="1">
      <x:c r="A46" s="88" t="str">
        <x:v>NCI share of consolidated PAT</x:v>
      </x:c>
      <x:c r="B46" s="89" t="str">
        <x:v>%</x:v>
      </x:c>
      <x:c r="C46" s="439" t="n">
        <x:v>0.22</x:v>
      </x:c>
      <x:c r="D46" s="439" t="n">
        <x:v>0.22</x:v>
      </x:c>
      <x:c r="E46" s="439" t="n">
        <x:v>0.22</x:v>
      </x:c>
      <x:c r="F46" s="439" t="n">
        <x:v>0.22</x:v>
      </x:c>
      <x:c r="G46" s="439" t="n">
        <x:v>0.22</x:v>
      </x:c>
      <x:c r="H46" s="89" t="str">
        <x:v>Historical + macro + disclosed capacity</x:v>
      </x:c>
      <x:c r="I46" s="89" t="str">
        <x:v>Analyst assumption</x:v>
      </x:c>
      <x:c r="J46" s="90" t="str">
        <x:v>Attribution assumption.</x:v>
      </x:c>
    </x:row>
    <x:row r="47" ht="31" customHeight="1">
      <x:c r="A47" s="88" t="str">
        <x:v>D&amp;A</x:v>
      </x:c>
      <x:c r="B47" s="89" t="str">
        <x:v>VND bn</x:v>
      </x:c>
      <x:c r="C47" s="440" t="n">
        <x:v>500</x:v>
      </x:c>
      <x:c r="D47" s="440" t="n">
        <x:v>580</x:v>
      </x:c>
      <x:c r="E47" s="440" t="n">
        <x:v>680</x:v>
      </x:c>
      <x:c r="F47" s="440" t="n">
        <x:v>750</x:v>
      </x:c>
      <x:c r="G47" s="440" t="n">
        <x:v>820</x:v>
      </x:c>
      <x:c r="H47" s="89" t="str">
        <x:v>Historical + macro + disclosed capacity</x:v>
      </x:c>
      <x:c r="I47" s="89" t="str">
        <x:v>Analyst assumption</x:v>
      </x:c>
      <x:c r="J47" s="90" t="str">
        <x:v>Ramps with new consolidated assets.</x:v>
      </x:c>
    </x:row>
    <x:row r="48" ht="31" customHeight="1">
      <x:c r="A48" s="88" t="str">
        <x:v>Cash capex</x:v>
      </x:c>
      <x:c r="B48" s="89" t="str">
        <x:v>VND bn</x:v>
      </x:c>
      <x:c r="C48" s="440" t="n">
        <x:v>1400</x:v>
      </x:c>
      <x:c r="D48" s="440" t="n">
        <x:v>1200</x:v>
      </x:c>
      <x:c r="E48" s="440" t="n">
        <x:v>1000</x:v>
      </x:c>
      <x:c r="F48" s="440" t="n">
        <x:v>850</x:v>
      </x:c>
      <x:c r="G48" s="440" t="n">
        <x:v>800</x:v>
      </x:c>
      <x:c r="H48" s="89" t="str">
        <x:v>Historical + macro + disclosed capacity</x:v>
      </x:c>
      <x:c r="I48" s="89" t="str">
        <x:v>Analyst assumption</x:v>
      </x:c>
      <x:c r="J48" s="90" t="str">
        <x:v>Elevated through the expansion cycle, then normalizes.</x:v>
      </x:c>
    </x:row>
    <x:row r="49" ht="31" customHeight="1">
      <x:c r="A49" s="88" t="str">
        <x:v>NWC investment / incremental revenue</x:v>
      </x:c>
      <x:c r="B49" s="89" t="str">
        <x:v>%</x:v>
      </x:c>
      <x:c r="C49" s="439" t="n">
        <x:v>0.02</x:v>
      </x:c>
      <x:c r="D49" s="439" t="n">
        <x:v>0.02</x:v>
      </x:c>
      <x:c r="E49" s="439" t="n">
        <x:v>0.02</x:v>
      </x:c>
      <x:c r="F49" s="439" t="n">
        <x:v>0.02</x:v>
      </x:c>
      <x:c r="G49" s="439" t="n">
        <x:v>0.02</x:v>
      </x:c>
      <x:c r="H49" s="89" t="str">
        <x:v>Historical + macro + disclosed capacity</x:v>
      </x:c>
      <x:c r="I49" s="89" t="str">
        <x:v>Analyst assumption</x:v>
      </x:c>
      <x:c r="J49" s="90" t="str">
        <x:v>Simplified cash working-capital assumption.</x:v>
      </x:c>
    </x:row>
    <x:row r="50" ht="31" customHeight="1">
      <x:c r="A50" s="91" t="str">
        <x:v>Statutory tax rate on consolidated EBIT</x:v>
      </x:c>
      <x:c r="B50" s="92" t="str">
        <x:v>%</x:v>
      </x:c>
      <x:c r="C50" s="443" t="n">
        <x:v>0.2</x:v>
      </x:c>
      <x:c r="D50" s="443" t="n">
        <x:v>0.2</x:v>
      </x:c>
      <x:c r="E50" s="443" t="n">
        <x:v>0.2</x:v>
      </x:c>
      <x:c r="F50" s="443" t="n">
        <x:v>0.2</x:v>
      </x:c>
      <x:c r="G50" s="443" t="n">
        <x:v>0.2</x:v>
      </x:c>
      <x:c r="H50" s="92" t="str">
        <x:v>Historical + macro + disclosed capacity</x:v>
      </x:c>
      <x:c r="I50" s="92" t="str">
        <x:v>Analyst assumption</x:v>
      </x:c>
      <x:c r="J50" s="93" t="str">
        <x:v>Used in FCFF; separate from consolidated effective tax.</x:v>
      </x:c>
    </x:row>
    <x:row r="54" ht="22" customHeight="1">
      <x:c r="A54" s="446" t="str">
        <x:v>Bull case — editable forecast drivers</x:v>
      </x:c>
      <x:c r="B54" s="446" t="str">
        <x:v>Bull case — editable forecast drivers</x:v>
      </x:c>
      <x:c r="C54" s="446" t="str">
        <x:v>Bull case — editable forecast drivers</x:v>
      </x:c>
      <x:c r="D54" s="446" t="str">
        <x:v>Bull case — editable forecast drivers</x:v>
      </x:c>
      <x:c r="E54" s="446" t="str">
        <x:v>Bull case — editable forecast drivers</x:v>
      </x:c>
      <x:c r="F54" s="446" t="str">
        <x:v>Bull case — editable forecast drivers</x:v>
      </x:c>
      <x:c r="G54" s="446" t="str">
        <x:v>Bull case — editable forecast drivers</x:v>
      </x:c>
      <x:c r="H54" s="446" t="str">
        <x:v>Bull case — editable forecast drivers</x:v>
      </x:c>
      <x:c r="I54" s="446" t="str">
        <x:v>Bull case — editable forecast drivers</x:v>
      </x:c>
      <x:c r="J54" s="446" t="str">
        <x:v>Bull case — editable forecast drivers</x:v>
      </x:c>
    </x:row>
    <x:row r="55" ht="32" customHeight="1">
      <x:c r="A55" s="421" t="str">
        <x:v>Driver</x:v>
      </x:c>
      <x:c r="B55" s="421" t="str">
        <x:v>Unit</x:v>
      </x:c>
      <x:c r="C55" s="433" t="n">
        <x:v>46387</x:v>
      </x:c>
      <x:c r="D55" s="433" t="n">
        <x:v>46752</x:v>
      </x:c>
      <x:c r="E55" s="433" t="n">
        <x:v>47118</x:v>
      </x:c>
      <x:c r="F55" s="433" t="n">
        <x:v>47483</x:v>
      </x:c>
      <x:c r="G55" s="433" t="n">
        <x:v>47848</x:v>
      </x:c>
      <x:c r="H55" s="421" t="str">
        <x:v>Source / logic</x:v>
      </x:c>
      <x:c r="I55" s="421" t="str">
        <x:v>Data class</x:v>
      </x:c>
      <x:c r="J55" s="421" t="str">
        <x:v>Analyst note</x:v>
      </x:c>
    </x:row>
    <x:row r="56" ht="31" customHeight="1">
      <x:c r="A56" s="85" t="str">
        <x:v>National container throughput growth</x:v>
      </x:c>
      <x:c r="B56" s="86" t="str">
        <x:v>%</x:v>
      </x:c>
      <x:c r="C56" s="436" t="n">
        <x:v>0.14</x:v>
      </x:c>
      <x:c r="D56" s="436" t="n">
        <x:v>0.12</x:v>
      </x:c>
      <x:c r="E56" s="436" t="n">
        <x:v>0.1</x:v>
      </x:c>
      <x:c r="F56" s="436" t="n">
        <x:v>0.08</x:v>
      </x:c>
      <x:c r="G56" s="436" t="n">
        <x:v>0.07</x:v>
      </x:c>
      <x:c r="H56" s="86" t="str">
        <x:v>Historical + macro + disclosed capacity</x:v>
      </x:c>
      <x:c r="I56" s="86" t="str">
        <x:v>Analyst assumption</x:v>
      </x:c>
      <x:c r="J56" s="87" t="str">
        <x:v>Macro-to-volume assumption; deliberately below 1H2026 trade-value growth.</x:v>
      </x:c>
    </x:row>
    <x:row r="57" ht="31" customHeight="1">
      <x:c r="A57" s="88" t="str">
        <x:v>GMD share of national throughput</x:v>
      </x:c>
      <x:c r="B57" s="89" t="str">
        <x:v>%</x:v>
      </x:c>
      <x:c r="C57" s="439" t="n">
        <x:v>0.154</x:v>
      </x:c>
      <x:c r="D57" s="439" t="n">
        <x:v>0.16</x:v>
      </x:c>
      <x:c r="E57" s="439" t="n">
        <x:v>0.175</x:v>
      </x:c>
      <x:c r="F57" s="439" t="n">
        <x:v>0.185</x:v>
      </x:c>
      <x:c r="G57" s="439" t="n">
        <x:v>0.19</x:v>
      </x:c>
      <x:c r="H57" s="89" t="str">
        <x:v>Historical + macro + disclosed capacity</x:v>
      </x:c>
      <x:c r="I57" s="89" t="str">
        <x:v>Analyst assumption</x:v>
      </x:c>
      <x:c r="J57" s="90" t="str">
        <x:v>Captures asset position, route wins and Gemalink Phase 2 ramp.</x:v>
      </x:c>
    </x:row>
    <x:row r="58" ht="31" customHeight="1">
      <x:c r="A58" s="88" t="str">
        <x:v>Implied unit/mix/scope proxy growth</x:v>
      </x:c>
      <x:c r="B58" s="89" t="str">
        <x:v>%</x:v>
      </x:c>
      <x:c r="C58" s="439" t="n">
        <x:v>0.04</x:v>
      </x:c>
      <x:c r="D58" s="439" t="n">
        <x:v>0.04</x:v>
      </x:c>
      <x:c r="E58" s="439" t="n">
        <x:v>0.04</x:v>
      </x:c>
      <x:c r="F58" s="439" t="n">
        <x:v>0.035</x:v>
      </x:c>
      <x:c r="G58" s="439" t="n">
        <x:v>0.035</x:v>
      </x:c>
      <x:c r="H58" s="89" t="str">
        <x:v>Historical + macro + disclosed capacity</x:v>
      </x:c>
      <x:c r="I58" s="89" t="str">
        <x:v>Analyst assumption</x:v>
      </x:c>
      <x:c r="J58" s="90" t="str">
        <x:v>Price, cargo mix, service mix and recognition scope; not a pure tariff.</x:v>
      </x:c>
    </x:row>
    <x:row r="59" ht="31" customHeight="1">
      <x:c r="A59" s="88" t="str">
        <x:v>Logistics external revenue growth</x:v>
      </x:c>
      <x:c r="B59" s="89" t="str">
        <x:v>%</x:v>
      </x:c>
      <x:c r="C59" s="439" t="n">
        <x:v>0.07</x:v>
      </x:c>
      <x:c r="D59" s="439" t="n">
        <x:v>0.08</x:v>
      </x:c>
      <x:c r="E59" s="439" t="n">
        <x:v>0.08</x:v>
      </x:c>
      <x:c r="F59" s="439" t="n">
        <x:v>0.07</x:v>
      </x:c>
      <x:c r="G59" s="439" t="n">
        <x:v>0.07</x:v>
      </x:c>
      <x:c r="H59" s="89" t="str">
        <x:v>Historical + macro + disclosed capacity</x:v>
      </x:c>
      <x:c r="I59" s="89" t="str">
        <x:v>Analyst assumption</x:v>
      </x:c>
      <x:c r="J59" s="90" t="str">
        <x:v>Separate from port throughput.</x:v>
      </x:c>
    </x:row>
    <x:row r="60" ht="31" customHeight="1">
      <x:c r="A60" s="88" t="str">
        <x:v>Other external revenue growth</x:v>
      </x:c>
      <x:c r="B60" s="89" t="str">
        <x:v>%</x:v>
      </x:c>
      <x:c r="C60" s="439" t="n">
        <x:v>0</x:v>
      </x:c>
      <x:c r="D60" s="439" t="n">
        <x:v>0</x:v>
      </x:c>
      <x:c r="E60" s="439" t="n">
        <x:v>0</x:v>
      </x:c>
      <x:c r="F60" s="439" t="n">
        <x:v>0</x:v>
      </x:c>
      <x:c r="G60" s="439" t="n">
        <x:v>0</x:v>
      </x:c>
      <x:c r="H60" s="89" t="str">
        <x:v>Historical + macro + disclosed capacity</x:v>
      </x:c>
      <x:c r="I60" s="89" t="str">
        <x:v>Analyst assumption</x:v>
      </x:c>
      <x:c r="J60" s="90" t="str">
        <x:v>Small residual segment; kept conservative.</x:v>
      </x:c>
    </x:row>
    <x:row r="61" ht="31" customHeight="1">
      <x:c r="A61" s="88" t="str">
        <x:v>Consolidated operating margin</x:v>
      </x:c>
      <x:c r="B61" s="89" t="str">
        <x:v>%</x:v>
      </x:c>
      <x:c r="C61" s="439" t="n">
        <x:v>0.285</x:v>
      </x:c>
      <x:c r="D61" s="439" t="n">
        <x:v>0.295</x:v>
      </x:c>
      <x:c r="E61" s="439" t="n">
        <x:v>0.305</x:v>
      </x:c>
      <x:c r="F61" s="439" t="n">
        <x:v>0.31</x:v>
      </x:c>
      <x:c r="G61" s="439" t="n">
        <x:v>0.315</x:v>
      </x:c>
      <x:c r="H61" s="89" t="str">
        <x:v>Historical + macro + disclosed capacity</x:v>
      </x:c>
      <x:c r="I61" s="89" t="str">
        <x:v>Analyst assumption</x:v>
      </x:c>
      <x:c r="J61" s="90" t="str">
        <x:v>Before financial, associate and other items.</x:v>
      </x:c>
    </x:row>
    <x:row r="62" ht="31" customHeight="1">
      <x:c r="A62" s="88" t="str">
        <x:v>Financial income</x:v>
      </x:c>
      <x:c r="B62" s="89" t="str">
        <x:v>VND bn</x:v>
      </x:c>
      <x:c r="C62" s="440" t="n">
        <x:v>230</x:v>
      </x:c>
      <x:c r="D62" s="440" t="n">
        <x:v>225</x:v>
      </x:c>
      <x:c r="E62" s="440" t="n">
        <x:v>220</x:v>
      </x:c>
      <x:c r="F62" s="440" t="n">
        <x:v>215</x:v>
      </x:c>
      <x:c r="G62" s="440" t="n">
        <x:v>210</x:v>
      </x:c>
      <x:c r="H62" s="89" t="str">
        <x:v>Historical + macro + disclosed capacity</x:v>
      </x:c>
      <x:c r="I62" s="89" t="str">
        <x:v>Analyst assumption</x:v>
      </x:c>
      <x:c r="J62" s="90" t="str">
        <x:v>Cash-yield assumption linked to balance-sheet liquidity.</x:v>
      </x:c>
    </x:row>
    <x:row r="63" ht="31" customHeight="1">
      <x:c r="A63" s="88" t="str">
        <x:v>Financial expense</x:v>
      </x:c>
      <x:c r="B63" s="89" t="str">
        <x:v>VND bn</x:v>
      </x:c>
      <x:c r="C63" s="440" t="n">
        <x:v>115</x:v>
      </x:c>
      <x:c r="D63" s="440" t="n">
        <x:v>115</x:v>
      </x:c>
      <x:c r="E63" s="440" t="n">
        <x:v>120</x:v>
      </x:c>
      <x:c r="F63" s="440" t="n">
        <x:v>125</x:v>
      </x:c>
      <x:c r="G63" s="440" t="n">
        <x:v>130</x:v>
      </x:c>
      <x:c r="H63" s="89" t="str">
        <x:v>Historical + macro + disclosed capacity</x:v>
      </x:c>
      <x:c r="I63" s="89" t="str">
        <x:v>Analyst assumption</x:v>
      </x:c>
      <x:c r="J63" s="90" t="str">
        <x:v>Gross-financing cost assumption.</x:v>
      </x:c>
    </x:row>
    <x:row r="64" ht="31" customHeight="1">
      <x:c r="A64" s="88" t="str">
        <x:v>Other profit/(loss)</x:v>
      </x:c>
      <x:c r="B64" s="89" t="str">
        <x:v>VND bn</x:v>
      </x:c>
      <x:c r="C64" s="440" t="n">
        <x:v>-220</x:v>
      </x:c>
      <x:c r="D64" s="440" t="n">
        <x:v>-220</x:v>
      </x:c>
      <x:c r="E64" s="440" t="n">
        <x:v>-220</x:v>
      </x:c>
      <x:c r="F64" s="440" t="n">
        <x:v>-220</x:v>
      </x:c>
      <x:c r="G64" s="440" t="n">
        <x:v>-220</x:v>
      </x:c>
      <x:c r="H64" s="89" t="str">
        <x:v>Historical + macro + disclosed capacity</x:v>
      </x:c>
      <x:c r="I64" s="89" t="str">
        <x:v>Analyst assumption</x:v>
      </x:c>
      <x:c r="J64" s="90" t="str">
        <x:v>Recurring conservative loss allowance.</x:v>
      </x:c>
    </x:row>
    <x:row r="65" ht="31" customHeight="1">
      <x:c r="A65" s="88" t="str">
        <x:v>Gemalink associate-profit growth</x:v>
      </x:c>
      <x:c r="B65" s="89" t="str">
        <x:v>%</x:v>
      </x:c>
      <x:c r="C65" s="439" t="n">
        <x:v>0.15</x:v>
      </x:c>
      <x:c r="D65" s="439" t="n">
        <x:v>0.15</x:v>
      </x:c>
      <x:c r="E65" s="439" t="n">
        <x:v>0.35</x:v>
      </x:c>
      <x:c r="F65" s="439" t="n">
        <x:v>0.22</x:v>
      </x:c>
      <x:c r="G65" s="439" t="n">
        <x:v>0.15</x:v>
      </x:c>
      <x:c r="H65" s="89" t="str">
        <x:v>Historical + macro + disclosed capacity</x:v>
      </x:c>
      <x:c r="I65" s="89" t="str">
        <x:v>Analyst assumption</x:v>
      </x:c>
      <x:c r="J65" s="90" t="str">
        <x:v>Phase 2 operation assumed from Q4 2027, with material ramp from 2028.</x:v>
      </x:c>
    </x:row>
    <x:row r="66" ht="31" customHeight="1">
      <x:c r="A66" s="88" t="str">
        <x:v>SCS associate-profit growth</x:v>
      </x:c>
      <x:c r="B66" s="89" t="str">
        <x:v>%</x:v>
      </x:c>
      <x:c r="C66" s="439" t="n">
        <x:v>0.09</x:v>
      </x:c>
      <x:c r="D66" s="439" t="n">
        <x:v>0.09</x:v>
      </x:c>
      <x:c r="E66" s="439" t="n">
        <x:v>0.09</x:v>
      </x:c>
      <x:c r="F66" s="439" t="n">
        <x:v>0.08</x:v>
      </x:c>
      <x:c r="G66" s="439" t="n">
        <x:v>0.08</x:v>
      </x:c>
      <x:c r="H66" s="89" t="str">
        <x:v>Historical + macro + disclosed capacity</x:v>
      </x:c>
      <x:c r="I66" s="89" t="str">
        <x:v>Analyst assumption</x:v>
      </x:c>
      <x:c r="J66" s="90" t="str">
        <x:v>Air-cargo associate growth.</x:v>
      </x:c>
    </x:row>
    <x:row r="67" ht="31" customHeight="1">
      <x:c r="A67" s="88" t="str">
        <x:v>CJ Gemadept Logistics profit growth</x:v>
      </x:c>
      <x:c r="B67" s="89" t="str">
        <x:v>%</x:v>
      </x:c>
      <x:c r="C67" s="439" t="n">
        <x:v>0.08</x:v>
      </x:c>
      <x:c r="D67" s="439" t="n">
        <x:v>0.08</x:v>
      </x:c>
      <x:c r="E67" s="439" t="n">
        <x:v>0.08</x:v>
      </x:c>
      <x:c r="F67" s="439" t="n">
        <x:v>0.08</x:v>
      </x:c>
      <x:c r="G67" s="439" t="n">
        <x:v>0.08</x:v>
      </x:c>
      <x:c r="H67" s="89" t="str">
        <x:v>Historical + macro + disclosed capacity</x:v>
      </x:c>
      <x:c r="I67" s="89" t="str">
        <x:v>Analyst assumption</x:v>
      </x:c>
      <x:c r="J67" s="90" t="str">
        <x:v>Logistics-associate growth.</x:v>
      </x:c>
    </x:row>
    <x:row r="68" ht="31" customHeight="1">
      <x:c r="A68" s="88" t="str">
        <x:v>Other associate-profit growth</x:v>
      </x:c>
      <x:c r="B68" s="89" t="str">
        <x:v>%</x:v>
      </x:c>
      <x:c r="C68" s="439" t="n">
        <x:v>0.06</x:v>
      </x:c>
      <x:c r="D68" s="439" t="n">
        <x:v>0.06</x:v>
      </x:c>
      <x:c r="E68" s="439" t="n">
        <x:v>0.06</x:v>
      </x:c>
      <x:c r="F68" s="439" t="n">
        <x:v>0.06</x:v>
      </x:c>
      <x:c r="G68" s="439" t="n">
        <x:v>0.06</x:v>
      </x:c>
      <x:c r="H68" s="89" t="str">
        <x:v>Historical + macro + disclosed capacity</x:v>
      </x:c>
      <x:c r="I68" s="89" t="str">
        <x:v>Analyst assumption</x:v>
      </x:c>
      <x:c r="J68" s="90" t="str">
        <x:v>Residual associate bucket.</x:v>
      </x:c>
    </x:row>
    <x:row r="69" ht="31" customHeight="1">
      <x:c r="A69" s="88" t="str">
        <x:v>Effective PBT tax rate</x:v>
      </x:c>
      <x:c r="B69" s="89" t="str">
        <x:v>%</x:v>
      </x:c>
      <x:c r="C69" s="439" t="n">
        <x:v>0.09</x:v>
      </x:c>
      <x:c r="D69" s="439" t="n">
        <x:v>0.09</x:v>
      </x:c>
      <x:c r="E69" s="439" t="n">
        <x:v>0.09</x:v>
      </x:c>
      <x:c r="F69" s="439" t="n">
        <x:v>0.09</x:v>
      </x:c>
      <x:c r="G69" s="439" t="n">
        <x:v>0.09</x:v>
      </x:c>
      <x:c r="H69" s="89" t="str">
        <x:v>Historical + macro + disclosed capacity</x:v>
      </x:c>
      <x:c r="I69" s="89" t="str">
        <x:v>Analyst assumption</x:v>
      </x:c>
      <x:c r="J69" s="90" t="str">
        <x:v>Lower than statutory rate because associate income is after tax.</x:v>
      </x:c>
    </x:row>
    <x:row r="70" ht="31" customHeight="1">
      <x:c r="A70" s="88" t="str">
        <x:v>NCI share of consolidated PAT</x:v>
      </x:c>
      <x:c r="B70" s="89" t="str">
        <x:v>%</x:v>
      </x:c>
      <x:c r="C70" s="439" t="n">
        <x:v>0.2</x:v>
      </x:c>
      <x:c r="D70" s="439" t="n">
        <x:v>0.2</x:v>
      </x:c>
      <x:c r="E70" s="439" t="n">
        <x:v>0.2</x:v>
      </x:c>
      <x:c r="F70" s="439" t="n">
        <x:v>0.2</x:v>
      </x:c>
      <x:c r="G70" s="439" t="n">
        <x:v>0.2</x:v>
      </x:c>
      <x:c r="H70" s="89" t="str">
        <x:v>Historical + macro + disclosed capacity</x:v>
      </x:c>
      <x:c r="I70" s="89" t="str">
        <x:v>Analyst assumption</x:v>
      </x:c>
      <x:c r="J70" s="90" t="str">
        <x:v>Attribution assumption.</x:v>
      </x:c>
    </x:row>
    <x:row r="71" ht="31" customHeight="1">
      <x:c r="A71" s="88" t="str">
        <x:v>D&amp;A</x:v>
      </x:c>
      <x:c r="B71" s="89" t="str">
        <x:v>VND bn</x:v>
      </x:c>
      <x:c r="C71" s="440" t="n">
        <x:v>520</x:v>
      </x:c>
      <x:c r="D71" s="440" t="n">
        <x:v>620</x:v>
      </x:c>
      <x:c r="E71" s="440" t="n">
        <x:v>750</x:v>
      </x:c>
      <x:c r="F71" s="440" t="n">
        <x:v>850</x:v>
      </x:c>
      <x:c r="G71" s="440" t="n">
        <x:v>920</x:v>
      </x:c>
      <x:c r="H71" s="89" t="str">
        <x:v>Historical + macro + disclosed capacity</x:v>
      </x:c>
      <x:c r="I71" s="89" t="str">
        <x:v>Analyst assumption</x:v>
      </x:c>
      <x:c r="J71" s="90" t="str">
        <x:v>Ramps with new consolidated assets.</x:v>
      </x:c>
    </x:row>
    <x:row r="72" ht="31" customHeight="1">
      <x:c r="A72" s="88" t="str">
        <x:v>Cash capex</x:v>
      </x:c>
      <x:c r="B72" s="89" t="str">
        <x:v>VND bn</x:v>
      </x:c>
      <x:c r="C72" s="440" t="n">
        <x:v>1450</x:v>
      </x:c>
      <x:c r="D72" s="440" t="n">
        <x:v>1250</x:v>
      </x:c>
      <x:c r="E72" s="440" t="n">
        <x:v>1050</x:v>
      </x:c>
      <x:c r="F72" s="440" t="n">
        <x:v>900</x:v>
      </x:c>
      <x:c r="G72" s="440" t="n">
        <x:v>850</x:v>
      </x:c>
      <x:c r="H72" s="89" t="str">
        <x:v>Historical + macro + disclosed capacity</x:v>
      </x:c>
      <x:c r="I72" s="89" t="str">
        <x:v>Analyst assumption</x:v>
      </x:c>
      <x:c r="J72" s="90" t="str">
        <x:v>Elevated through the expansion cycle, then normalizes.</x:v>
      </x:c>
    </x:row>
    <x:row r="73" ht="31" customHeight="1">
      <x:c r="A73" s="88" t="str">
        <x:v>NWC investment / incremental revenue</x:v>
      </x:c>
      <x:c r="B73" s="89" t="str">
        <x:v>%</x:v>
      </x:c>
      <x:c r="C73" s="439" t="n">
        <x:v>0.025</x:v>
      </x:c>
      <x:c r="D73" s="439" t="n">
        <x:v>0.025</x:v>
      </x:c>
      <x:c r="E73" s="439" t="n">
        <x:v>0.025</x:v>
      </x:c>
      <x:c r="F73" s="439" t="n">
        <x:v>0.025</x:v>
      </x:c>
      <x:c r="G73" s="439" t="n">
        <x:v>0.025</x:v>
      </x:c>
      <x:c r="H73" s="89" t="str">
        <x:v>Historical + macro + disclosed capacity</x:v>
      </x:c>
      <x:c r="I73" s="89" t="str">
        <x:v>Analyst assumption</x:v>
      </x:c>
      <x:c r="J73" s="90" t="str">
        <x:v>Simplified cash working-capital assumption.</x:v>
      </x:c>
    </x:row>
    <x:row r="74" ht="31" customHeight="1">
      <x:c r="A74" s="91" t="str">
        <x:v>Statutory tax rate on consolidated EBIT</x:v>
      </x:c>
      <x:c r="B74" s="92" t="str">
        <x:v>%</x:v>
      </x:c>
      <x:c r="C74" s="443" t="n">
        <x:v>0.2</x:v>
      </x:c>
      <x:c r="D74" s="443" t="n">
        <x:v>0.2</x:v>
      </x:c>
      <x:c r="E74" s="443" t="n">
        <x:v>0.2</x:v>
      </x:c>
      <x:c r="F74" s="443" t="n">
        <x:v>0.2</x:v>
      </x:c>
      <x:c r="G74" s="443" t="n">
        <x:v>0.2</x:v>
      </x:c>
      <x:c r="H74" s="92" t="str">
        <x:v>Historical + macro + disclosed capacity</x:v>
      </x:c>
      <x:c r="I74" s="92" t="str">
        <x:v>Analyst assumption</x:v>
      </x:c>
      <x:c r="J74" s="93" t="str">
        <x:v>Used in FCFF; separate from consolidated effective tax.</x:v>
      </x:c>
    </x:row>
    <x:row r="78" ht="22" customHeight="1">
      <x:c r="A78" s="449" t="str">
        <x:v>Bear case — editable forecast drivers</x:v>
      </x:c>
      <x:c r="B78" s="449" t="str">
        <x:v>Bear case — editable forecast drivers</x:v>
      </x:c>
      <x:c r="C78" s="449" t="str">
        <x:v>Bear case — editable forecast drivers</x:v>
      </x:c>
      <x:c r="D78" s="449" t="str">
        <x:v>Bear case — editable forecast drivers</x:v>
      </x:c>
      <x:c r="E78" s="449" t="str">
        <x:v>Bear case — editable forecast drivers</x:v>
      </x:c>
      <x:c r="F78" s="449" t="str">
        <x:v>Bear case — editable forecast drivers</x:v>
      </x:c>
      <x:c r="G78" s="449" t="str">
        <x:v>Bear case — editable forecast drivers</x:v>
      </x:c>
      <x:c r="H78" s="449" t="str">
        <x:v>Bear case — editable forecast drivers</x:v>
      </x:c>
      <x:c r="I78" s="449" t="str">
        <x:v>Bear case — editable forecast drivers</x:v>
      </x:c>
      <x:c r="J78" s="449" t="str">
        <x:v>Bear case — editable forecast drivers</x:v>
      </x:c>
    </x:row>
    <x:row r="79" ht="32" customHeight="1">
      <x:c r="A79" s="421" t="str">
        <x:v>Driver</x:v>
      </x:c>
      <x:c r="B79" s="421" t="str">
        <x:v>Unit</x:v>
      </x:c>
      <x:c r="C79" s="433" t="n">
        <x:v>46387</x:v>
      </x:c>
      <x:c r="D79" s="433" t="n">
        <x:v>46752</x:v>
      </x:c>
      <x:c r="E79" s="433" t="n">
        <x:v>47118</x:v>
      </x:c>
      <x:c r="F79" s="433" t="n">
        <x:v>47483</x:v>
      </x:c>
      <x:c r="G79" s="433" t="n">
        <x:v>47848</x:v>
      </x:c>
      <x:c r="H79" s="421" t="str">
        <x:v>Source / logic</x:v>
      </x:c>
      <x:c r="I79" s="421" t="str">
        <x:v>Data class</x:v>
      </x:c>
      <x:c r="J79" s="421" t="str">
        <x:v>Analyst note</x:v>
      </x:c>
    </x:row>
    <x:row r="80" ht="31" customHeight="1">
      <x:c r="A80" s="85" t="str">
        <x:v>National container throughput growth</x:v>
      </x:c>
      <x:c r="B80" s="86" t="str">
        <x:v>%</x:v>
      </x:c>
      <x:c r="C80" s="436" t="n">
        <x:v>0.05</x:v>
      </x:c>
      <x:c r="D80" s="436" t="n">
        <x:v>0.03</x:v>
      </x:c>
      <x:c r="E80" s="436" t="n">
        <x:v>0.02</x:v>
      </x:c>
      <x:c r="F80" s="436" t="n">
        <x:v>0.03</x:v>
      </x:c>
      <x:c r="G80" s="436" t="n">
        <x:v>0.04</x:v>
      </x:c>
      <x:c r="H80" s="86" t="str">
        <x:v>Historical + macro + disclosed capacity</x:v>
      </x:c>
      <x:c r="I80" s="86" t="str">
        <x:v>Analyst assumption</x:v>
      </x:c>
      <x:c r="J80" s="87" t="str">
        <x:v>Macro-to-volume assumption; deliberately below 1H2026 trade-value growth.</x:v>
      </x:c>
    </x:row>
    <x:row r="81" ht="31" customHeight="1">
      <x:c r="A81" s="88" t="str">
        <x:v>GMD share of national throughput</x:v>
      </x:c>
      <x:c r="B81" s="89" t="str">
        <x:v>%</x:v>
      </x:c>
      <x:c r="C81" s="439" t="n">
        <x:v>0.148</x:v>
      </x:c>
      <x:c r="D81" s="439" t="n">
        <x:v>0.146</x:v>
      </x:c>
      <x:c r="E81" s="439" t="n">
        <x:v>0.148</x:v>
      </x:c>
      <x:c r="F81" s="439" t="n">
        <x:v>0.15</x:v>
      </x:c>
      <x:c r="G81" s="439" t="n">
        <x:v>0.152</x:v>
      </x:c>
      <x:c r="H81" s="89" t="str">
        <x:v>Historical + macro + disclosed capacity</x:v>
      </x:c>
      <x:c r="I81" s="89" t="str">
        <x:v>Analyst assumption</x:v>
      </x:c>
      <x:c r="J81" s="90" t="str">
        <x:v>Captures asset position, route wins and Gemalink Phase 2 ramp.</x:v>
      </x:c>
    </x:row>
    <x:row r="82" ht="31" customHeight="1">
      <x:c r="A82" s="88" t="str">
        <x:v>Implied unit/mix/scope proxy growth</x:v>
      </x:c>
      <x:c r="B82" s="89" t="str">
        <x:v>%</x:v>
      </x:c>
      <x:c r="C82" s="439" t="n">
        <x:v>-0.01</x:v>
      </x:c>
      <x:c r="D82" s="439" t="n">
        <x:v>0</x:v>
      </x:c>
      <x:c r="E82" s="439" t="n">
        <x:v>0.01</x:v>
      </x:c>
      <x:c r="F82" s="439" t="n">
        <x:v>0.02</x:v>
      </x:c>
      <x:c r="G82" s="439" t="n">
        <x:v>0.02</x:v>
      </x:c>
      <x:c r="H82" s="89" t="str">
        <x:v>Historical + macro + disclosed capacity</x:v>
      </x:c>
      <x:c r="I82" s="89" t="str">
        <x:v>Analyst assumption</x:v>
      </x:c>
      <x:c r="J82" s="90" t="str">
        <x:v>Price, cargo mix, service mix and recognition scope; not a pure tariff.</x:v>
      </x:c>
    </x:row>
    <x:row r="83" ht="31" customHeight="1">
      <x:c r="A83" s="88" t="str">
        <x:v>Logistics external revenue growth</x:v>
      </x:c>
      <x:c r="B83" s="89" t="str">
        <x:v>%</x:v>
      </x:c>
      <x:c r="C83" s="439" t="n">
        <x:v>0</x:v>
      </x:c>
      <x:c r="D83" s="439" t="n">
        <x:v>0.02</x:v>
      </x:c>
      <x:c r="E83" s="439" t="n">
        <x:v>0.03</x:v>
      </x:c>
      <x:c r="F83" s="439" t="n">
        <x:v>0.04</x:v>
      </x:c>
      <x:c r="G83" s="439" t="n">
        <x:v>0.04</x:v>
      </x:c>
      <x:c r="H83" s="89" t="str">
        <x:v>Historical + macro + disclosed capacity</x:v>
      </x:c>
      <x:c r="I83" s="89" t="str">
        <x:v>Analyst assumption</x:v>
      </x:c>
      <x:c r="J83" s="90" t="str">
        <x:v>Separate from port throughput.</x:v>
      </x:c>
    </x:row>
    <x:row r="84" ht="31" customHeight="1">
      <x:c r="A84" s="88" t="str">
        <x:v>Other external revenue growth</x:v>
      </x:c>
      <x:c r="B84" s="89" t="str">
        <x:v>%</x:v>
      </x:c>
      <x:c r="C84" s="439" t="n">
        <x:v>0</x:v>
      </x:c>
      <x:c r="D84" s="439" t="n">
        <x:v>0</x:v>
      </x:c>
      <x:c r="E84" s="439" t="n">
        <x:v>0</x:v>
      </x:c>
      <x:c r="F84" s="439" t="n">
        <x:v>0</x:v>
      </x:c>
      <x:c r="G84" s="439" t="n">
        <x:v>0</x:v>
      </x:c>
      <x:c r="H84" s="89" t="str">
        <x:v>Historical + macro + disclosed capacity</x:v>
      </x:c>
      <x:c r="I84" s="89" t="str">
        <x:v>Analyst assumption</x:v>
      </x:c>
      <x:c r="J84" s="90" t="str">
        <x:v>Small residual segment; kept conservative.</x:v>
      </x:c>
    </x:row>
    <x:row r="85" ht="31" customHeight="1">
      <x:c r="A85" s="88" t="str">
        <x:v>Consolidated operating margin</x:v>
      </x:c>
      <x:c r="B85" s="89" t="str">
        <x:v>%</x:v>
      </x:c>
      <x:c r="C85" s="439" t="n">
        <x:v>0.26</x:v>
      </x:c>
      <x:c r="D85" s="439" t="n">
        <x:v>0.255</x:v>
      </x:c>
      <x:c r="E85" s="439" t="n">
        <x:v>0.26</x:v>
      </x:c>
      <x:c r="F85" s="439" t="n">
        <x:v>0.265</x:v>
      </x:c>
      <x:c r="G85" s="439" t="n">
        <x:v>0.27</x:v>
      </x:c>
      <x:c r="H85" s="89" t="str">
        <x:v>Historical + macro + disclosed capacity</x:v>
      </x:c>
      <x:c r="I85" s="89" t="str">
        <x:v>Analyst assumption</x:v>
      </x:c>
      <x:c r="J85" s="90" t="str">
        <x:v>Before financial, associate and other items.</x:v>
      </x:c>
    </x:row>
    <x:row r="86" ht="31" customHeight="1">
      <x:c r="A86" s="88" t="str">
        <x:v>Financial income</x:v>
      </x:c>
      <x:c r="B86" s="89" t="str">
        <x:v>VND bn</x:v>
      </x:c>
      <x:c r="C86" s="440" t="n">
        <x:v>210</x:v>
      </x:c>
      <x:c r="D86" s="440" t="n">
        <x:v>190</x:v>
      </x:c>
      <x:c r="E86" s="440" t="n">
        <x:v>175</x:v>
      </x:c>
      <x:c r="F86" s="440" t="n">
        <x:v>170</x:v>
      </x:c>
      <x:c r="G86" s="440" t="n">
        <x:v>165</x:v>
      </x:c>
      <x:c r="H86" s="89" t="str">
        <x:v>Historical + macro + disclosed capacity</x:v>
      </x:c>
      <x:c r="I86" s="89" t="str">
        <x:v>Analyst assumption</x:v>
      </x:c>
      <x:c r="J86" s="90" t="str">
        <x:v>Cash-yield assumption linked to balance-sheet liquidity.</x:v>
      </x:c>
    </x:row>
    <x:row r="87" ht="31" customHeight="1">
      <x:c r="A87" s="88" t="str">
        <x:v>Financial expense</x:v>
      </x:c>
      <x:c r="B87" s="89" t="str">
        <x:v>VND bn</x:v>
      </x:c>
      <x:c r="C87" s="440" t="n">
        <x:v>130</x:v>
      </x:c>
      <x:c r="D87" s="440" t="n">
        <x:v>145</x:v>
      </x:c>
      <x:c r="E87" s="440" t="n">
        <x:v>160</x:v>
      </x:c>
      <x:c r="F87" s="440" t="n">
        <x:v>165</x:v>
      </x:c>
      <x:c r="G87" s="440" t="n">
        <x:v>170</x:v>
      </x:c>
      <x:c r="H87" s="89" t="str">
        <x:v>Historical + macro + disclosed capacity</x:v>
      </x:c>
      <x:c r="I87" s="89" t="str">
        <x:v>Analyst assumption</x:v>
      </x:c>
      <x:c r="J87" s="90" t="str">
        <x:v>Gross-financing cost assumption.</x:v>
      </x:c>
    </x:row>
    <x:row r="88" ht="31" customHeight="1">
      <x:c r="A88" s="88" t="str">
        <x:v>Other profit/(loss)</x:v>
      </x:c>
      <x:c r="B88" s="89" t="str">
        <x:v>VND bn</x:v>
      </x:c>
      <x:c r="C88" s="440" t="n">
        <x:v>-300</x:v>
      </x:c>
      <x:c r="D88" s="440" t="n">
        <x:v>-320</x:v>
      </x:c>
      <x:c r="E88" s="440" t="n">
        <x:v>-320</x:v>
      </x:c>
      <x:c r="F88" s="440" t="n">
        <x:v>-300</x:v>
      </x:c>
      <x:c r="G88" s="440" t="n">
        <x:v>-280</x:v>
      </x:c>
      <x:c r="H88" s="89" t="str">
        <x:v>Historical + macro + disclosed capacity</x:v>
      </x:c>
      <x:c r="I88" s="89" t="str">
        <x:v>Analyst assumption</x:v>
      </x:c>
      <x:c r="J88" s="90" t="str">
        <x:v>Recurring conservative loss allowance.</x:v>
      </x:c>
    </x:row>
    <x:row r="89" ht="31" customHeight="1">
      <x:c r="A89" s="88" t="str">
        <x:v>Gemalink associate-profit growth</x:v>
      </x:c>
      <x:c r="B89" s="89" t="str">
        <x:v>%</x:v>
      </x:c>
      <x:c r="C89" s="439" t="n">
        <x:v>0.02</x:v>
      </x:c>
      <x:c r="D89" s="439" t="n">
        <x:v>0</x:v>
      </x:c>
      <x:c r="E89" s="439" t="n">
        <x:v>0.08</x:v>
      </x:c>
      <x:c r="F89" s="439" t="n">
        <x:v>0.1</x:v>
      </x:c>
      <x:c r="G89" s="439" t="n">
        <x:v>0.08</x:v>
      </x:c>
      <x:c r="H89" s="89" t="str">
        <x:v>Historical + macro + disclosed capacity</x:v>
      </x:c>
      <x:c r="I89" s="89" t="str">
        <x:v>Analyst assumption</x:v>
      </x:c>
      <x:c r="J89" s="90" t="str">
        <x:v>Phase 2 operation assumed from Q4 2027, with material ramp from 2028.</x:v>
      </x:c>
    </x:row>
    <x:row r="90" ht="31" customHeight="1">
      <x:c r="A90" s="88" t="str">
        <x:v>SCS associate-profit growth</x:v>
      </x:c>
      <x:c r="B90" s="89" t="str">
        <x:v>%</x:v>
      </x:c>
      <x:c r="C90" s="439" t="n">
        <x:v>0.02</x:v>
      </x:c>
      <x:c r="D90" s="439" t="n">
        <x:v>0.03</x:v>
      </x:c>
      <x:c r="E90" s="439" t="n">
        <x:v>0.04</x:v>
      </x:c>
      <x:c r="F90" s="439" t="n">
        <x:v>0.05</x:v>
      </x:c>
      <x:c r="G90" s="439" t="n">
        <x:v>0.05</x:v>
      </x:c>
      <x:c r="H90" s="89" t="str">
        <x:v>Historical + macro + disclosed capacity</x:v>
      </x:c>
      <x:c r="I90" s="89" t="str">
        <x:v>Analyst assumption</x:v>
      </x:c>
      <x:c r="J90" s="90" t="str">
        <x:v>Air-cargo associate growth.</x:v>
      </x:c>
    </x:row>
    <x:row r="91" ht="31" customHeight="1">
      <x:c r="A91" s="88" t="str">
        <x:v>CJ Gemadept Logistics profit growth</x:v>
      </x:c>
      <x:c r="B91" s="89" t="str">
        <x:v>%</x:v>
      </x:c>
      <x:c r="C91" s="439" t="n">
        <x:v>0</x:v>
      </x:c>
      <x:c r="D91" s="439" t="n">
        <x:v>0.02</x:v>
      </x:c>
      <x:c r="E91" s="439" t="n">
        <x:v>0.03</x:v>
      </x:c>
      <x:c r="F91" s="439" t="n">
        <x:v>0.04</x:v>
      </x:c>
      <x:c r="G91" s="439" t="n">
        <x:v>0.04</x:v>
      </x:c>
      <x:c r="H91" s="89" t="str">
        <x:v>Historical + macro + disclosed capacity</x:v>
      </x:c>
      <x:c r="I91" s="89" t="str">
        <x:v>Analyst assumption</x:v>
      </x:c>
      <x:c r="J91" s="90" t="str">
        <x:v>Logistics-associate growth.</x:v>
      </x:c>
    </x:row>
    <x:row r="92" ht="31" customHeight="1">
      <x:c r="A92" s="88" t="str">
        <x:v>Other associate-profit growth</x:v>
      </x:c>
      <x:c r="B92" s="89" t="str">
        <x:v>%</x:v>
      </x:c>
      <x:c r="C92" s="439" t="n">
        <x:v>0</x:v>
      </x:c>
      <x:c r="D92" s="439" t="n">
        <x:v>0</x:v>
      </x:c>
      <x:c r="E92" s="439" t="n">
        <x:v>0</x:v>
      </x:c>
      <x:c r="F92" s="439" t="n">
        <x:v>0</x:v>
      </x:c>
      <x:c r="G92" s="439" t="n">
        <x:v>0</x:v>
      </x:c>
      <x:c r="H92" s="89" t="str">
        <x:v>Historical + macro + disclosed capacity</x:v>
      </x:c>
      <x:c r="I92" s="89" t="str">
        <x:v>Analyst assumption</x:v>
      </x:c>
      <x:c r="J92" s="90" t="str">
        <x:v>Residual associate bucket.</x:v>
      </x:c>
    </x:row>
    <x:row r="93" ht="31" customHeight="1">
      <x:c r="A93" s="88" t="str">
        <x:v>Effective PBT tax rate</x:v>
      </x:c>
      <x:c r="B93" s="89" t="str">
        <x:v>%</x:v>
      </x:c>
      <x:c r="C93" s="439" t="n">
        <x:v>0.11</x:v>
      </x:c>
      <x:c r="D93" s="439" t="n">
        <x:v>0.11</x:v>
      </x:c>
      <x:c r="E93" s="439" t="n">
        <x:v>0.11</x:v>
      </x:c>
      <x:c r="F93" s="439" t="n">
        <x:v>0.11</x:v>
      </x:c>
      <x:c r="G93" s="439" t="n">
        <x:v>0.11</x:v>
      </x:c>
      <x:c r="H93" s="89" t="str">
        <x:v>Historical + macro + disclosed capacity</x:v>
      </x:c>
      <x:c r="I93" s="89" t="str">
        <x:v>Analyst assumption</x:v>
      </x:c>
      <x:c r="J93" s="90" t="str">
        <x:v>Lower than statutory rate because associate income is after tax.</x:v>
      </x:c>
    </x:row>
    <x:row r="94" ht="31" customHeight="1">
      <x:c r="A94" s="88" t="str">
        <x:v>NCI share of consolidated PAT</x:v>
      </x:c>
      <x:c r="B94" s="89" t="str">
        <x:v>%</x:v>
      </x:c>
      <x:c r="C94" s="439" t="n">
        <x:v>0.24</x:v>
      </x:c>
      <x:c r="D94" s="439" t="n">
        <x:v>0.24</x:v>
      </x:c>
      <x:c r="E94" s="439" t="n">
        <x:v>0.24</x:v>
      </x:c>
      <x:c r="F94" s="439" t="n">
        <x:v>0.24</x:v>
      </x:c>
      <x:c r="G94" s="439" t="n">
        <x:v>0.24</x:v>
      </x:c>
      <x:c r="H94" s="89" t="str">
        <x:v>Historical + macro + disclosed capacity</x:v>
      </x:c>
      <x:c r="I94" s="89" t="str">
        <x:v>Analyst assumption</x:v>
      </x:c>
      <x:c r="J94" s="90" t="str">
        <x:v>Attribution assumption.</x:v>
      </x:c>
    </x:row>
    <x:row r="95" ht="31" customHeight="1">
      <x:c r="A95" s="88" t="str">
        <x:v>D&amp;A</x:v>
      </x:c>
      <x:c r="B95" s="89" t="str">
        <x:v>VND bn</x:v>
      </x:c>
      <x:c r="C95" s="440" t="n">
        <x:v>500</x:v>
      </x:c>
      <x:c r="D95" s="440" t="n">
        <x:v>570</x:v>
      </x:c>
      <x:c r="E95" s="440" t="n">
        <x:v>640</x:v>
      </x:c>
      <x:c r="F95" s="440" t="n">
        <x:v>700</x:v>
      </x:c>
      <x:c r="G95" s="440" t="n">
        <x:v>750</x:v>
      </x:c>
      <x:c r="H95" s="89" t="str">
        <x:v>Historical + macro + disclosed capacity</x:v>
      </x:c>
      <x:c r="I95" s="89" t="str">
        <x:v>Analyst assumption</x:v>
      </x:c>
      <x:c r="J95" s="90" t="str">
        <x:v>Ramps with new consolidated assets.</x:v>
      </x:c>
    </x:row>
    <x:row r="96" ht="31" customHeight="1">
      <x:c r="A96" s="88" t="str">
        <x:v>Cash capex</x:v>
      </x:c>
      <x:c r="B96" s="89" t="str">
        <x:v>VND bn</x:v>
      </x:c>
      <x:c r="C96" s="440" t="n">
        <x:v>1500</x:v>
      </x:c>
      <x:c r="D96" s="440" t="n">
        <x:v>1350</x:v>
      </x:c>
      <x:c r="E96" s="440" t="n">
        <x:v>1200</x:v>
      </x:c>
      <x:c r="F96" s="440" t="n">
        <x:v>950</x:v>
      </x:c>
      <x:c r="G96" s="440" t="n">
        <x:v>850</x:v>
      </x:c>
      <x:c r="H96" s="89" t="str">
        <x:v>Historical + macro + disclosed capacity</x:v>
      </x:c>
      <x:c r="I96" s="89" t="str">
        <x:v>Analyst assumption</x:v>
      </x:c>
      <x:c r="J96" s="90" t="str">
        <x:v>Elevated through the expansion cycle, then normalizes.</x:v>
      </x:c>
    </x:row>
    <x:row r="97" ht="31" customHeight="1">
      <x:c r="A97" s="88" t="str">
        <x:v>NWC investment / incremental revenue</x:v>
      </x:c>
      <x:c r="B97" s="89" t="str">
        <x:v>%</x:v>
      </x:c>
      <x:c r="C97" s="439" t="n">
        <x:v>0.015</x:v>
      </x:c>
      <x:c r="D97" s="439" t="n">
        <x:v>0.015</x:v>
      </x:c>
      <x:c r="E97" s="439" t="n">
        <x:v>0.015</x:v>
      </x:c>
      <x:c r="F97" s="439" t="n">
        <x:v>0.015</x:v>
      </x:c>
      <x:c r="G97" s="439" t="n">
        <x:v>0.015</x:v>
      </x:c>
      <x:c r="H97" s="89" t="str">
        <x:v>Historical + macro + disclosed capacity</x:v>
      </x:c>
      <x:c r="I97" s="89" t="str">
        <x:v>Analyst assumption</x:v>
      </x:c>
      <x:c r="J97" s="90" t="str">
        <x:v>Simplified cash working-capital assumption.</x:v>
      </x:c>
    </x:row>
    <x:row r="98" ht="31" customHeight="1">
      <x:c r="A98" s="91" t="str">
        <x:v>Statutory tax rate on consolidated EBIT</x:v>
      </x:c>
      <x:c r="B98" s="92" t="str">
        <x:v>%</x:v>
      </x:c>
      <x:c r="C98" s="443" t="n">
        <x:v>0.2</x:v>
      </x:c>
      <x:c r="D98" s="443" t="n">
        <x:v>0.2</x:v>
      </x:c>
      <x:c r="E98" s="443" t="n">
        <x:v>0.2</x:v>
      </x:c>
      <x:c r="F98" s="443" t="n">
        <x:v>0.2</x:v>
      </x:c>
      <x:c r="G98" s="443" t="n">
        <x:v>0.2</x:v>
      </x:c>
      <x:c r="H98" s="92" t="str">
        <x:v>Historical + macro + disclosed capacity</x:v>
      </x:c>
      <x:c r="I98" s="92" t="str">
        <x:v>Analyst assumption</x:v>
      </x:c>
      <x:c r="J98" s="93" t="str">
        <x:v>Used in FCFF; separate from consolidated effective tax.</x:v>
      </x:c>
    </x:row>
    <x:row r="102" ht="22" customHeight="1">
      <x:c r="A102" s="415" t="str">
        <x:v>Valuation assumptions and rating policy</x:v>
      </x:c>
      <x:c r="B102" s="415" t="str">
        <x:v>Valuation assumptions and rating policy</x:v>
      </x:c>
      <x:c r="C102" s="415" t="str">
        <x:v>Valuation assumptions and rating policy</x:v>
      </x:c>
      <x:c r="D102" s="415" t="str">
        <x:v>Valuation assumptions and rating policy</x:v>
      </x:c>
      <x:c r="E102" s="415" t="str">
        <x:v>Valuation assumptions and rating policy</x:v>
      </x:c>
      <x:c r="F102" s="415" t="str">
        <x:v>Valuation assumptions and rating policy</x:v>
      </x:c>
      <x:c r="G102" s="415" t="str">
        <x:v>Valuation assumptions and rating policy</x:v>
      </x:c>
      <x:c r="H102" s="415" t="str">
        <x:v>Valuation assumptions and rating policy</x:v>
      </x:c>
      <x:c r="I102" s="415" t="str">
        <x:v>Valuation assumptions and rating policy</x:v>
      </x:c>
      <x:c r="J102" s="415" t="str">
        <x:v>Valuation assumptions and rating policy</x:v>
      </x:c>
    </x:row>
    <x:row r="103" ht="32" customHeight="1">
      <x:c r="A103" s="421" t="str">
        <x:v>Valuation driver</x:v>
      </x:c>
      <x:c r="B103" s="421" t="str">
        <x:v>Unit</x:v>
      </x:c>
      <x:c r="C103" s="421" t="str">
        <x:v>Base</x:v>
      </x:c>
      <x:c r="D103" s="421" t="str">
        <x:v>Bull</x:v>
      </x:c>
      <x:c r="E103" s="421" t="str">
        <x:v>Bear</x:v>
      </x:c>
      <x:c r="F103" s="421" t="str">
        <x:v>Rationale</x:v>
      </x:c>
    </x:row>
    <x:row r="104" ht="31" customHeight="1">
      <x:c r="A104" s="85" t="str">
        <x:v>Risk-free rate</x:v>
      </x:c>
      <x:c r="B104" s="86" t="str">
        <x:v>%</x:v>
      </x:c>
      <x:c r="C104" s="436" t="n">
        <x:v>0.045</x:v>
      </x:c>
      <x:c r="D104" s="436" t="n">
        <x:v>0.045</x:v>
      </x:c>
      <x:c r="E104" s="436" t="n">
        <x:v>0.045</x:v>
      </x:c>
      <x:c r="F104" s="87" t="str">
        <x:v>Rounded from the 4.409% Vietnam 10-year government bond yield.</x:v>
      </x:c>
    </x:row>
    <x:row r="105" ht="31" customHeight="1">
      <x:c r="A105" s="88" t="str">
        <x:v>Equity risk premium</x:v>
      </x:c>
      <x:c r="B105" s="89" t="str">
        <x:v>%</x:v>
      </x:c>
      <x:c r="C105" s="439" t="n">
        <x:v>0.08</x:v>
      </x:c>
      <x:c r="D105" s="439" t="n">
        <x:v>0.075</x:v>
      </x:c>
      <x:c r="E105" s="439" t="n">
        <x:v>0.085</x:v>
      </x:c>
      <x:c r="F105" s="90" t="str">
        <x:v>Analyst assumption for Vietnam equity risk.</x:v>
      </x:c>
    </x:row>
    <x:row r="106" ht="31" customHeight="1">
      <x:c r="A106" s="88" t="str">
        <x:v>Beta</x:v>
      </x:c>
      <x:c r="B106" s="89" t="str">
        <x:v>x</x:v>
      </x:c>
      <x:c r="C106" s="450" t="n">
        <x:v>0.95</x:v>
      </x:c>
      <x:c r="D106" s="450" t="n">
        <x:v>0.85</x:v>
      </x:c>
      <x:c r="E106" s="450" t="n">
        <x:v>1.05</x:v>
      </x:c>
      <x:c r="F106" s="90" t="str">
        <x:v>Scenario-specific systematic-risk assumption.</x:v>
      </x:c>
    </x:row>
    <x:row r="107" ht="31" customHeight="1">
      <x:c r="A107" s="88" t="str">
        <x:v>Cost of equity</x:v>
      </x:c>
      <x:c r="B107" s="89" t="str">
        <x:v>%</x:v>
      </x:c>
      <x:c r="C107" s="109" t="n">
        <x:f>C104+C106*C105</x:f>
        <x:v>0.121</x:v>
      </x:c>
      <x:c r="D107" s="109" t="n">
        <x:f>D104+D106*D105</x:f>
        <x:v>0.10875</x:v>
      </x:c>
      <x:c r="E107" s="109" t="n">
        <x:f>E104+E106*E105</x:f>
        <x:v>0.13425</x:v>
      </x:c>
      <x:c r="F107" s="90" t="str">
        <x:v>Risk-free rate + beta × equity risk premium.</x:v>
      </x:c>
    </x:row>
    <x:row r="108" ht="31" customHeight="1">
      <x:c r="A108" s="88" t="str">
        <x:v>Pre-tax cost of debt</x:v>
      </x:c>
      <x:c r="B108" s="89" t="str">
        <x:v>%</x:v>
      </x:c>
      <x:c r="C108" s="439" t="n">
        <x:v>0.06</x:v>
      </x:c>
      <x:c r="D108" s="439" t="n">
        <x:v>0.055</x:v>
      </x:c>
      <x:c r="E108" s="439" t="n">
        <x:v>0.07</x:v>
      </x:c>
      <x:c r="F108" s="90" t="str">
        <x:v>Scenario-specific refinancing assumption.</x:v>
      </x:c>
    </x:row>
    <x:row r="109" ht="31" customHeight="1">
      <x:c r="A109" s="88" t="str">
        <x:v>Statutory tax rate</x:v>
      </x:c>
      <x:c r="B109" s="89" t="str">
        <x:v>%</x:v>
      </x:c>
      <x:c r="C109" s="439" t="n">
        <x:v>0.2</x:v>
      </x:c>
      <x:c r="D109" s="439" t="n">
        <x:v>0.2</x:v>
      </x:c>
      <x:c r="E109" s="439" t="n">
        <x:v>0.2</x:v>
      </x:c>
      <x:c r="F109" s="90" t="str">
        <x:v>Tax shield in WACC.</x:v>
      </x:c>
    </x:row>
    <x:row r="110" ht="31" customHeight="1">
      <x:c r="A110" s="88" t="str">
        <x:v>Debt weight</x:v>
      </x:c>
      <x:c r="B110" s="89" t="str">
        <x:v>%</x:v>
      </x:c>
      <x:c r="C110" s="439" t="n">
        <x:v>0.071</x:v>
      </x:c>
      <x:c r="D110" s="439" t="n">
        <x:v>0.065</x:v>
      </x:c>
      <x:c r="E110" s="439" t="n">
        <x:v>0.085</x:v>
      </x:c>
      <x:c r="F110" s="90" t="str">
        <x:v>Anchored to FY2025 gross debt versus market value.</x:v>
      </x:c>
    </x:row>
    <x:row r="111" ht="31" customHeight="1">
      <x:c r="A111" s="88" t="str">
        <x:v>Equity weight</x:v>
      </x:c>
      <x:c r="B111" s="89" t="str">
        <x:v>%</x:v>
      </x:c>
      <x:c r="C111" s="109" t="n">
        <x:f>1-C110</x:f>
        <x:v>0.929</x:v>
      </x:c>
      <x:c r="D111" s="109" t="n">
        <x:f>1-D110</x:f>
        <x:v>0.935</x:v>
      </x:c>
      <x:c r="E111" s="109" t="n">
        <x:f>1-E110</x:f>
        <x:v>0.915</x:v>
      </x:c>
      <x:c r="F111" s="90" t="str">
        <x:v>One less debt weight.</x:v>
      </x:c>
    </x:row>
    <x:row r="112" ht="31" customHeight="1">
      <x:c r="A112" s="459" t="str">
        <x:v>WACC</x:v>
      </x:c>
      <x:c r="B112" s="460" t="str">
        <x:v>%</x:v>
      </x:c>
      <x:c r="C112" s="461" t="n">
        <x:f>C107*C111+C108*(1-C109)*C110</x:f>
        <x:v>0.115817</x:v>
      </x:c>
      <x:c r="D112" s="461" t="n">
        <x:f>D107*D111+D108*(1-D109)*D110</x:f>
        <x:v>0.10454125</x:v>
      </x:c>
      <x:c r="E112" s="461" t="n">
        <x:f>E107*E111+E108*(1-E109)*E110</x:f>
        <x:v>0.12759875</x:v>
      </x:c>
      <x:c r="F112" s="460" t="str">
        <x:v>Formula-driven cost of capital.</x:v>
      </x:c>
    </x:row>
    <x:row r="113" ht="31" customHeight="1">
      <x:c r="A113" s="88" t="str">
        <x:v>Terminal growth</x:v>
      </x:c>
      <x:c r="B113" s="89" t="str">
        <x:v>%</x:v>
      </x:c>
      <x:c r="C113" s="439" t="n">
        <x:v>0.04</x:v>
      </x:c>
      <x:c r="D113" s="439" t="n">
        <x:v>0.045</x:v>
      </x:c>
      <x:c r="E113" s="439" t="n">
        <x:v>0.03</x:v>
      </x:c>
      <x:c r="F113" s="90" t="str">
        <x:v>Long-run nominal growth; must remain below WACC.</x:v>
      </x:c>
    </x:row>
    <x:row r="114" ht="31" customHeight="1">
      <x:c r="A114" s="88" t="str">
        <x:v>Associate earnings multiple</x:v>
      </x:c>
      <x:c r="B114" s="89" t="str">
        <x:v>x</x:v>
      </x:c>
      <x:c r="C114" s="450" t="n">
        <x:v>14</x:v>
      </x:c>
      <x:c r="D114" s="450" t="n">
        <x:v>15</x:v>
      </x:c>
      <x:c r="E114" s="450" t="n">
        <x:v>12</x:v>
      </x:c>
      <x:c r="F114" s="90" t="str">
        <x:v>Equity-accounted assets valued separately from consolidated operations.</x:v>
      </x:c>
    </x:row>
    <x:row r="115" ht="31" customHeight="1">
      <x:c r="A115" s="88" t="str">
        <x:v>NCI earnings multiple</x:v>
      </x:c>
      <x:c r="B115" s="89" t="str">
        <x:v>x</x:v>
      </x:c>
      <x:c r="C115" s="450" t="n">
        <x:v>14</x:v>
      </x:c>
      <x:c r="D115" s="450" t="n">
        <x:v>15</x:v>
      </x:c>
      <x:c r="E115" s="450" t="n">
        <x:v>12</x:v>
      </x:c>
      <x:c r="F115" s="90" t="str">
        <x:v>Deducts the value attributable to minority owners.</x:v>
      </x:c>
    </x:row>
    <x:row r="116" ht="31" customHeight="1">
      <x:c r="A116" s="88" t="str">
        <x:v>Target 2026E P/E</x:v>
      </x:c>
      <x:c r="B116" s="89" t="str">
        <x:v>x</x:v>
      </x:c>
      <x:c r="C116" s="450" t="n">
        <x:v>16</x:v>
      </x:c>
      <x:c r="D116" s="450" t="n">
        <x:v>17</x:v>
      </x:c>
      <x:c r="E116" s="450" t="n">
        <x:v>13</x:v>
      </x:c>
      <x:c r="F116" s="90" t="str">
        <x:v>Trading-multiple cross-check.</x:v>
      </x:c>
    </x:row>
    <x:row r="117" ht="31" customHeight="1">
      <x:c r="A117" s="88" t="str">
        <x:v>P/E valuation weight</x:v>
      </x:c>
      <x:c r="B117" s="89" t="str">
        <x:v>%</x:v>
      </x:c>
      <x:c r="C117" s="439" t="n">
        <x:v>0.5</x:v>
      </x:c>
      <x:c r="D117" s="439" t="n">
        <x:v>0.5</x:v>
      </x:c>
      <x:c r="E117" s="439" t="n">
        <x:v>0.5</x:v>
      </x:c>
      <x:c r="F117" s="90" t="str">
        <x:v>Equal weight with DCF.</x:v>
      </x:c>
    </x:row>
    <x:row r="118" ht="31" customHeight="1">
      <x:c r="A118" s="88" t="str">
        <x:v>DCF valuation weight</x:v>
      </x:c>
      <x:c r="B118" s="89" t="str">
        <x:v>%</x:v>
      </x:c>
      <x:c r="C118" s="439" t="n">
        <x:v>0.5</x:v>
      </x:c>
      <x:c r="D118" s="439" t="n">
        <x:v>0.5</x:v>
      </x:c>
      <x:c r="E118" s="439" t="n">
        <x:v>0.5</x:v>
      </x:c>
      <x:c r="F118" s="90" t="str">
        <x:v>Equal weight with P/E.</x:v>
      </x:c>
    </x:row>
    <x:row r="119" ht="31" customHeight="1">
      <x:c r="A119" s="88" t="str">
        <x:v>Scenario probability</x:v>
      </x:c>
      <x:c r="B119" s="89" t="str">
        <x:v>%</x:v>
      </x:c>
      <x:c r="C119" s="439" t="n">
        <x:v>0.6</x:v>
      </x:c>
      <x:c r="D119" s="439" t="n">
        <x:v>0.2</x:v>
      </x:c>
      <x:c r="E119" s="439" t="n">
        <x:v>0.2</x:v>
      </x:c>
      <x:c r="F119" s="90" t="str">
        <x:v>Probability-weighted target-price cross-check.</x:v>
      </x:c>
    </x:row>
    <x:row r="120" ht="31" customHeight="1">
      <x:c r="A120" s="88" t="str">
        <x:v>BUY threshold</x:v>
      </x:c>
      <x:c r="B120" s="89" t="str">
        <x:v>%</x:v>
      </x:c>
      <x:c r="C120" s="439" t="n">
        <x:v>0.15</x:v>
      </x:c>
      <x:c r="D120" s="439" t="n">
        <x:v>0.15</x:v>
      </x:c>
      <x:c r="E120" s="439" t="n">
        <x:v>0.15</x:v>
      </x:c>
      <x:c r="F120" s="90" t="str">
        <x:v>Price upside required for BUY.</x:v>
      </x:c>
    </x:row>
    <x:row r="121" ht="31" customHeight="1">
      <x:c r="A121" s="91" t="str">
        <x:v>SELL threshold</x:v>
      </x:c>
      <x:c r="B121" s="92" t="str">
        <x:v>%</x:v>
      </x:c>
      <x:c r="C121" s="443" t="n">
        <x:v>-0.1</x:v>
      </x:c>
      <x:c r="D121" s="443" t="n">
        <x:v>-0.1</x:v>
      </x:c>
      <x:c r="E121" s="443" t="n">
        <x:v>-0.1</x:v>
      </x:c>
      <x:c r="F121" s="93" t="str">
        <x:v>Price downside required for SELL.</x:v>
      </x:c>
    </x:row>
    <x:row r="123" ht="25" customHeight="1">
      <x:c r="A123" s="482" t="str">
        <x:v>Interpretation guardrail: the 2026 Base case is deliberately calibrated near management's stretch revenue/PBT targets, but it is generated from volume, share, unit/mix, margin and associate assumptions. Management guidance remains a benchmark, not a hardcoded forecast.</x:v>
      </x:c>
      <x:c r="B123" s="483" t="str">
        <x:v>Interpretation guardrail: the 2026 Base case is deliberately calibrated near management's stretch revenue/PBT targets, but it is generated from volume, share, unit/mix, margin and associate assumptions. Management guidance remains a benchmark, not a hardcoded forecast.</x:v>
      </x:c>
      <x:c r="C123" s="483" t="str">
        <x:v>Interpretation guardrail: the 2026 Base case is deliberately calibrated near management's stretch revenue/PBT targets, but it is generated from volume, share, unit/mix, margin and associate assumptions. Management guidance remains a benchmark, not a hardcoded forecast.</x:v>
      </x:c>
      <x:c r="D123" s="483" t="str">
        <x:v>Interpretation guardrail: the 2026 Base case is deliberately calibrated near management's stretch revenue/PBT targets, but it is generated from volume, share, unit/mix, margin and associate assumptions. Management guidance remains a benchmark, not a hardcoded forecast.</x:v>
      </x:c>
      <x:c r="E123" s="483" t="str">
        <x:v>Interpretation guardrail: the 2026 Base case is deliberately calibrated near management's stretch revenue/PBT targets, but it is generated from volume, share, unit/mix, margin and associate assumptions. Management guidance remains a benchmark, not a hardcoded forecast.</x:v>
      </x:c>
      <x:c r="F123" s="483" t="str">
        <x:v>Interpretation guardrail: the 2026 Base case is deliberately calibrated near management's stretch revenue/PBT targets, but it is generated from volume, share, unit/mix, margin and associate assumptions. Management guidance remains a benchmark, not a hardcoded forecast.</x:v>
      </x:c>
      <x:c r="G123" s="483" t="str">
        <x:v>Interpretation guardrail: the 2026 Base case is deliberately calibrated near management's stretch revenue/PBT targets, but it is generated from volume, share, unit/mix, margin and associate assumptions. Management guidance remains a benchmark, not a hardcoded forecast.</x:v>
      </x:c>
      <x:c r="H123" s="483" t="str">
        <x:v>Interpretation guardrail: the 2026 Base case is deliberately calibrated near management's stretch revenue/PBT targets, but it is generated from volume, share, unit/mix, margin and associate assumptions. Management guidance remains a benchmark, not a hardcoded forecast.</x:v>
      </x:c>
      <x:c r="I123" s="483" t="str">
        <x:v>Interpretation guardrail: the 2026 Base case is deliberately calibrated near management's stretch revenue/PBT targets, but it is generated from volume, share, unit/mix, margin and associate assumptions. Management guidance remains a benchmark, not a hardcoded forecast.</x:v>
      </x:c>
      <x:c r="J123" s="484" t="str">
        <x:v>Interpretation guardrail: the 2026 Base case is deliberately calibrated near management's stretch revenue/PBT targets, but it is generated from volume, share, unit/mix, margin and associate assumptions. Management guidance remains a benchmark, not a hardcoded forecast.</x:v>
      </x:c>
    </x:row>
    <x:row r="124" ht="25" customHeight="1">
      <x:c r="A124" s="485" t="str">
        <x:v>Interpretation guardrail: the 2026 Base case is deliberately calibrated near management's stretch revenue/PBT targets, but it is generated from volume, share, unit/mix, margin and associate assumptions. Management guidance remains a benchmark, not a hardcoded forecast.</x:v>
      </x:c>
      <x:c r="B124" s="486" t="str">
        <x:v>Interpretation guardrail: the 2026 Base case is deliberately calibrated near management's stretch revenue/PBT targets, but it is generated from volume, share, unit/mix, margin and associate assumptions. Management guidance remains a benchmark, not a hardcoded forecast.</x:v>
      </x:c>
      <x:c r="C124" s="486" t="str">
        <x:v>Interpretation guardrail: the 2026 Base case is deliberately calibrated near management's stretch revenue/PBT targets, but it is generated from volume, share, unit/mix, margin and associate assumptions. Management guidance remains a benchmark, not a hardcoded forecast.</x:v>
      </x:c>
      <x:c r="D124" s="486" t="str">
        <x:v>Interpretation guardrail: the 2026 Base case is deliberately calibrated near management's stretch revenue/PBT targets, but it is generated from volume, share, unit/mix, margin and associate assumptions. Management guidance remains a benchmark, not a hardcoded forecast.</x:v>
      </x:c>
      <x:c r="E124" s="486" t="str">
        <x:v>Interpretation guardrail: the 2026 Base case is deliberately calibrated near management's stretch revenue/PBT targets, but it is generated from volume, share, unit/mix, margin and associate assumptions. Management guidance remains a benchmark, not a hardcoded forecast.</x:v>
      </x:c>
      <x:c r="F124" s="486" t="str">
        <x:v>Interpretation guardrail: the 2026 Base case is deliberately calibrated near management's stretch revenue/PBT targets, but it is generated from volume, share, unit/mix, margin and associate assumptions. Management guidance remains a benchmark, not a hardcoded forecast.</x:v>
      </x:c>
      <x:c r="G124" s="486" t="str">
        <x:v>Interpretation guardrail: the 2026 Base case is deliberately calibrated near management's stretch revenue/PBT targets, but it is generated from volume, share, unit/mix, margin and associate assumptions. Management guidance remains a benchmark, not a hardcoded forecast.</x:v>
      </x:c>
      <x:c r="H124" s="486" t="str">
        <x:v>Interpretation guardrail: the 2026 Base case is deliberately calibrated near management's stretch revenue/PBT targets, but it is generated from volume, share, unit/mix, margin and associate assumptions. Management guidance remains a benchmark, not a hardcoded forecast.</x:v>
      </x:c>
      <x:c r="I124" s="486" t="str">
        <x:v>Interpretation guardrail: the 2026 Base case is deliberately calibrated near management's stretch revenue/PBT targets, but it is generated from volume, share, unit/mix, margin and associate assumptions. Management guidance remains a benchmark, not a hardcoded forecast.</x:v>
      </x:c>
      <x:c r="J124" s="487" t="str">
        <x:v>Interpretation guardrail: the 2026 Base case is deliberately calibrated near management's stretch revenue/PBT targets, but it is generated from volume, share, unit/mix, margin and associate assumptions. Management guidance remains a benchmark, not a hardcoded forecast.</x:v>
      </x:c>
    </x:row>
    <x:row r="125" ht="25" customHeight="1">
      <x:c r="A125" s="488" t="str">
        <x:v>Interpretation guardrail: the 2026 Base case is deliberately calibrated near management's stretch revenue/PBT targets, but it is generated from volume, share, unit/mix, margin and associate assumptions. Management guidance remains a benchmark, not a hardcoded forecast.</x:v>
      </x:c>
      <x:c r="B125" s="489" t="str">
        <x:v>Interpretation guardrail: the 2026 Base case is deliberately calibrated near management's stretch revenue/PBT targets, but it is generated from volume, share, unit/mix, margin and associate assumptions. Management guidance remains a benchmark, not a hardcoded forecast.</x:v>
      </x:c>
      <x:c r="C125" s="489" t="str">
        <x:v>Interpretation guardrail: the 2026 Base case is deliberately calibrated near management's stretch revenue/PBT targets, but it is generated from volume, share, unit/mix, margin and associate assumptions. Management guidance remains a benchmark, not a hardcoded forecast.</x:v>
      </x:c>
      <x:c r="D125" s="489" t="str">
        <x:v>Interpretation guardrail: the 2026 Base case is deliberately calibrated near management's stretch revenue/PBT targets, but it is generated from volume, share, unit/mix, margin and associate assumptions. Management guidance remains a benchmark, not a hardcoded forecast.</x:v>
      </x:c>
      <x:c r="E125" s="489" t="str">
        <x:v>Interpretation guardrail: the 2026 Base case is deliberately calibrated near management's stretch revenue/PBT targets, but it is generated from volume, share, unit/mix, margin and associate assumptions. Management guidance remains a benchmark, not a hardcoded forecast.</x:v>
      </x:c>
      <x:c r="F125" s="489" t="str">
        <x:v>Interpretation guardrail: the 2026 Base case is deliberately calibrated near management's stretch revenue/PBT targets, but it is generated from volume, share, unit/mix, margin and associate assumptions. Management guidance remains a benchmark, not a hardcoded forecast.</x:v>
      </x:c>
      <x:c r="G125" s="489" t="str">
        <x:v>Interpretation guardrail: the 2026 Base case is deliberately calibrated near management's stretch revenue/PBT targets, but it is generated from volume, share, unit/mix, margin and associate assumptions. Management guidance remains a benchmark, not a hardcoded forecast.</x:v>
      </x:c>
      <x:c r="H125" s="489" t="str">
        <x:v>Interpretation guardrail: the 2026 Base case is deliberately calibrated near management's stretch revenue/PBT targets, but it is generated from volume, share, unit/mix, margin and associate assumptions. Management guidance remains a benchmark, not a hardcoded forecast.</x:v>
      </x:c>
      <x:c r="I125" s="489" t="str">
        <x:v>Interpretation guardrail: the 2026 Base case is deliberately calibrated near management's stretch revenue/PBT targets, but it is generated from volume, share, unit/mix, margin and associate assumptions. Management guidance remains a benchmark, not a hardcoded forecast.</x:v>
      </x:c>
      <x:c r="J125" s="490" t="str">
        <x:v>Interpretation guardrail: the 2026 Base case is deliberately calibrated near management's stretch revenue/PBT targets, but it is generated from volume, share, unit/mix, margin and associate assumptions. Management guidance remains a benchmark, not a hardcoded forecast.</x:v>
      </x:c>
    </x:row>
  </x:sheetData>
  <x:mergeCells>
    <x:mergeCell ref="A1:J1"/>
    <x:mergeCell ref="A2:J2"/>
    <x:mergeCell ref="A4:J4"/>
    <x:mergeCell ref="A30:J30"/>
    <x:mergeCell ref="A54:J54"/>
    <x:mergeCell ref="A78:J78"/>
    <x:mergeCell ref="A102:J102"/>
    <x:mergeCell ref="A123:J125"/>
  </x:mergeCells>
  <x:pageMargins left="0.7" right="0.7" top="0.75" bottom="0.75" header="0.3" footer="0.3"/>
  <x:legacyDrawing xmlns:r="http://schemas.openxmlformats.org/officeDocument/2006/relationships" r:id="Ree79ba8fe449494c"/>
</x:worksheet>
</file>

<file path=xl/worksheets/sheet29.xml><?xml version="1.0" encoding="utf-8"?>
<x:worksheet xmlns:x="http://schemas.openxmlformats.org/spreadsheetml/2006/main">
  <x:sheetViews>
    <x:sheetView showGridLines="0" workbookViewId="0"/>
  </x:sheetViews>
  <x:sheetFormatPr defaultRowHeight="15"/>
  <x:cols>
    <x:col min="1" max="1" width="52" hidden="0" customWidth="1"/>
    <x:col min="2" max="2" width="19" hidden="0" customWidth="1"/>
    <x:col min="3" max="3" width="15" hidden="0" customWidth="1"/>
    <x:col min="4" max="4" width="15" hidden="0" customWidth="1"/>
    <x:col min="5" max="5" width="15" hidden="0" customWidth="1"/>
    <x:col min="6" max="6" width="15" hidden="0" customWidth="1"/>
    <x:col min="7" max="7" width="15" hidden="0" customWidth="1"/>
    <x:col min="8" max="8" width="15" hidden="0" customWidth="1"/>
    <x:col min="9" max="9" width="35" hidden="0" customWidth="1"/>
    <x:col min="10" max="10" width="25" hidden="0" customWidth="1"/>
    <x:col min="11" max="11" width="58" hidden="0" customWidth="1"/>
  </x:cols>
  <x:sheetData>
    <x:row r="1" ht="30" customHeight="1">
      <x:c r="A1" s="408" t="str">
        <x:v>Phase 4 — Top-Down Operating &amp; Earnings Forecast</x:v>
      </x:c>
      <x:c r="B1" s="408" t="str">
        <x:v>Phase 4 — Top-Down Operating &amp; Earnings Forecast</x:v>
      </x:c>
      <x:c r="C1" s="408" t="str">
        <x:v>Phase 4 — Top-Down Operating &amp; Earnings Forecast</x:v>
      </x:c>
      <x:c r="D1" s="408" t="str">
        <x:v>Phase 4 — Top-Down Operating &amp; Earnings Forecast</x:v>
      </x:c>
      <x:c r="E1" s="408" t="str">
        <x:v>Phase 4 — Top-Down Operating &amp; Earnings Forecast</x:v>
      </x:c>
      <x:c r="F1" s="408" t="str">
        <x:v>Phase 4 — Top-Down Operating &amp; Earnings Forecast</x:v>
      </x:c>
      <x:c r="G1" s="408" t="str">
        <x:v>Phase 4 — Top-Down Operating &amp; Earnings Forecast</x:v>
      </x:c>
      <x:c r="H1" s="408" t="str">
        <x:v>Phase 4 — Top-Down Operating &amp; Earnings Forecast</x:v>
      </x:c>
      <x:c r="I1" s="408" t="str">
        <x:v>Phase 4 — Top-Down Operating &amp; Earnings Forecast</x:v>
      </x:c>
      <x:c r="J1" s="408" t="str">
        <x:v>Phase 4 — Top-Down Operating &amp; Earnings Forecast</x:v>
      </x:c>
      <x:c r="K1" s="408" t="str">
        <x:v>Phase 4 — Top-Down Operating &amp; Earnings Forecast</x:v>
      </x:c>
    </x:row>
    <x:row r="2" ht="34" customHeight="1">
      <x:c r="A2" s="412" t="str">
        <x:v>2025A is linked to Phase 3. Forecast chain: national TEU × GMD share → system throughput × unit/mix proxy → segment revenue → consolidated EBIT + associates → parent PAT and FCFF.</x:v>
      </x:c>
      <x:c r="B2" s="412" t="str">
        <x:v>2025A is linked to Phase 3. Forecast chain: national TEU × GMD share → system throughput × unit/mix proxy → segment revenue → consolidated EBIT + associates → parent PAT and FCFF.</x:v>
      </x:c>
      <x:c r="C2" s="412" t="str">
        <x:v>2025A is linked to Phase 3. Forecast chain: national TEU × GMD share → system throughput × unit/mix proxy → segment revenue → consolidated EBIT + associates → parent PAT and FCFF.</x:v>
      </x:c>
      <x:c r="D2" s="412" t="str">
        <x:v>2025A is linked to Phase 3. Forecast chain: national TEU × GMD share → system throughput × unit/mix proxy → segment revenue → consolidated EBIT + associates → parent PAT and FCFF.</x:v>
      </x:c>
      <x:c r="E2" s="412" t="str">
        <x:v>2025A is linked to Phase 3. Forecast chain: national TEU × GMD share → system throughput × unit/mix proxy → segment revenue → consolidated EBIT + associates → parent PAT and FCFF.</x:v>
      </x:c>
      <x:c r="F2" s="412" t="str">
        <x:v>2025A is linked to Phase 3. Forecast chain: national TEU × GMD share → system throughput × unit/mix proxy → segment revenue → consolidated EBIT + associates → parent PAT and FCFF.</x:v>
      </x:c>
      <x:c r="G2" s="412" t="str">
        <x:v>2025A is linked to Phase 3. Forecast chain: national TEU × GMD share → system throughput × unit/mix proxy → segment revenue → consolidated EBIT + associates → parent PAT and FCFF.</x:v>
      </x:c>
      <x:c r="H2" s="412" t="str">
        <x:v>2025A is linked to Phase 3. Forecast chain: national TEU × GMD share → system throughput × unit/mix proxy → segment revenue → consolidated EBIT + associates → parent PAT and FCFF.</x:v>
      </x:c>
      <x:c r="I2" s="412" t="str">
        <x:v>2025A is linked to Phase 3. Forecast chain: national TEU × GMD share → system throughput × unit/mix proxy → segment revenue → consolidated EBIT + associates → parent PAT and FCFF.</x:v>
      </x:c>
      <x:c r="J2" s="412" t="str">
        <x:v>2025A is linked to Phase 3. Forecast chain: national TEU × GMD share → system throughput × unit/mix proxy → segment revenue → consolidated EBIT + associates → parent PAT and FCFF.</x:v>
      </x:c>
      <x:c r="K2" s="412" t="str">
        <x:v>2025A is linked to Phase 3. Forecast chain: national TEU × GMD share → system throughput × unit/mix proxy → segment revenue → consolidated EBIT + associates → parent PAT and FCFF.</x:v>
      </x:c>
    </x:row>
    <x:row r="4" ht="22" customHeight="1">
      <x:c r="A4" s="415" t="str">
        <x:v>Base case — 2025A to 2030E</x:v>
      </x:c>
      <x:c r="B4" s="415" t="str">
        <x:v>Base case — 2025A to 2030E</x:v>
      </x:c>
      <x:c r="C4" s="415" t="str">
        <x:v>Base case — 2025A to 2030E</x:v>
      </x:c>
      <x:c r="D4" s="415" t="str">
        <x:v>Base case — 2025A to 2030E</x:v>
      </x:c>
      <x:c r="E4" s="415" t="str">
        <x:v>Base case — 2025A to 2030E</x:v>
      </x:c>
      <x:c r="F4" s="415" t="str">
        <x:v>Base case — 2025A to 2030E</x:v>
      </x:c>
      <x:c r="G4" s="415" t="str">
        <x:v>Base case — 2025A to 2030E</x:v>
      </x:c>
      <x:c r="H4" s="415" t="str">
        <x:v>Base case — 2025A to 2030E</x:v>
      </x:c>
      <x:c r="I4" s="415" t="str">
        <x:v>Base case — 2025A to 2030E</x:v>
      </x:c>
      <x:c r="J4" s="415" t="str">
        <x:v>Base case — 2025A to 2030E</x:v>
      </x:c>
      <x:c r="K4" s="415" t="str">
        <x:v>Base case — 2025A to 2030E</x:v>
      </x:c>
    </x:row>
    <x:row r="5" ht="32" customHeight="1">
      <x:c r="A5" s="421" t="str">
        <x:v>Metric</x:v>
      </x:c>
      <x:c r="B5" s="421" t="str">
        <x:v>Unit</x:v>
      </x:c>
      <x:c r="C5" s="491" t="n">
        <x:v>46022</x:v>
      </x:c>
      <x:c r="D5" s="433" t="n">
        <x:v>46387</x:v>
      </x:c>
      <x:c r="E5" s="433" t="n">
        <x:v>46752</x:v>
      </x:c>
      <x:c r="F5" s="433" t="n">
        <x:v>47118</x:v>
      </x:c>
      <x:c r="G5" s="433" t="n">
        <x:v>47483</x:v>
      </x:c>
      <x:c r="H5" s="433" t="n">
        <x:v>47848</x:v>
      </x:c>
      <x:c r="I5" s="421" t="str">
        <x:v>Source / driver</x:v>
      </x:c>
      <x:c r="J5" s="421" t="str">
        <x:v>Data class</x:v>
      </x:c>
      <x:c r="K5" s="421" t="str">
        <x:v>Audit note</x:v>
      </x:c>
    </x:row>
    <x:row r="6" ht="29" customHeight="1">
      <x:c r="A6" s="85" t="str">
        <x:v>National container throughput</x:v>
      </x:c>
      <x:c r="B6" s="86" t="str">
        <x:v>m TEU</x:v>
      </x:c>
      <x:c r="C6" s="317" t="n">
        <x:f>'P4 Assumptions'!C6</x:f>
        <x:v>34</x:v>
      </x:c>
      <x:c r="D6" s="133" t="n">
        <x:f>C6*(1+D7)</x:f>
        <x:v>37.400000000000006</x:v>
      </x:c>
      <x:c r="E6" s="133" t="n">
        <x:f>D6*(1+E7)</x:f>
        <x:v>40.39200000000001</x:v>
      </x:c>
      <x:c r="F6" s="133" t="n">
        <x:f>E6*(1+F7)</x:f>
        <x:v>43.21944000000001</x:v>
      </x:c>
      <x:c r="G6" s="133" t="n">
        <x:f>F6*(1+G7)</x:f>
        <x:v>46.028703600000014</x:v>
      </x:c>
      <x:c r="H6" s="133" t="n">
        <x:f>G6*(1+H7)</x:f>
        <x:v>48.79042581600002</x:v>
      </x:c>
      <x:c r="I6" s="86" t="str">
        <x:v>Macro-to-volume</x:v>
      </x:c>
      <x:c r="J6" s="86" t="str">
        <x:v>Model output</x:v>
      </x:c>
      <x:c r="K6" s="87" t="str">
        <x:v>Macro-to-volume</x:v>
      </x:c>
    </x:row>
    <x:row r="7" ht="29" customHeight="1">
      <x:c r="A7" s="88" t="str">
        <x:v>National throughput growth</x:v>
      </x:c>
      <x:c r="B7" s="89" t="str">
        <x:v>%</x:v>
      </x:c>
      <x:c r="C7" s="125"/>
      <x:c r="D7" s="109" t="n">
        <x:f>'P4 Assumptions'!C32</x:f>
        <x:v>0.1</x:v>
      </x:c>
      <x:c r="E7" s="109" t="n">
        <x:f>'P4 Assumptions'!D32</x:f>
        <x:v>0.08</x:v>
      </x:c>
      <x:c r="F7" s="109" t="n">
        <x:f>'P4 Assumptions'!E32</x:f>
        <x:v>0.07</x:v>
      </x:c>
      <x:c r="G7" s="109" t="n">
        <x:f>'P4 Assumptions'!F32</x:f>
        <x:v>0.065</x:v>
      </x:c>
      <x:c r="H7" s="109" t="n">
        <x:f>'P4 Assumptions'!G32</x:f>
        <x:v>0.06</x:v>
      </x:c>
      <x:c r="I7" s="89" t="str">
        <x:v>Analyst assumption</x:v>
      </x:c>
      <x:c r="J7" s="89" t="str">
        <x:v>Historical link / analyst assumption</x:v>
      </x:c>
      <x:c r="K7" s="90" t="str">
        <x:v>Analyst assumption</x:v>
      </x:c>
    </x:row>
    <x:row r="8" ht="29" customHeight="1">
      <x:c r="A8" s="88" t="str">
        <x:v>GMD system throughput</x:v>
      </x:c>
      <x:c r="B8" s="89" t="str">
        <x:v>m TEU</x:v>
      </x:c>
      <x:c r="C8" s="348" t="n">
        <x:f>'P3 Port Drivers'!G6</x:f>
        <x:v>5.079</x:v>
      </x:c>
      <x:c r="D8" s="134" t="n">
        <x:f>D6*D10</x:f>
        <x:v>5.684800000000001</x:v>
      </x:c>
      <x:c r="E8" s="134" t="n">
        <x:f>E6*E10</x:f>
        <x:v>6.260760000000001</x:v>
      </x:c>
      <x:c r="F8" s="134" t="n">
        <x:f>F6*F10</x:f>
        <x:v>7.044768720000002</x:v>
      </x:c>
      <x:c r="G8" s="134" t="n">
        <x:f>G6*G10</x:f>
        <x:v>7.824879612000003</x:v>
      </x:c>
      <x:c r="H8" s="134" t="n">
        <x:f>H6*H10</x:f>
        <x:v>8.538324517800003</x:v>
      </x:c>
      <x:c r="I8" s="89" t="str">
        <x:v>National TEU × GMD share</x:v>
      </x:c>
      <x:c r="J8" s="89" t="str">
        <x:v>Model output</x:v>
      </x:c>
      <x:c r="K8" s="90" t="str">
        <x:v>National TEU × GMD share</x:v>
      </x:c>
    </x:row>
    <x:row r="9" ht="29" customHeight="1">
      <x:c r="A9" s="88" t="str">
        <x:v>GMD throughput growth</x:v>
      </x:c>
      <x:c r="B9" s="89" t="str">
        <x:v>%</x:v>
      </x:c>
      <x:c r="C9" s="125" t="n">
        <x:f>'P3 Port Drivers'!G7</x:f>
        <x:v>0.14520856820744088</x:v>
      </x:c>
      <x:c r="D9" s="109" t="n">
        <x:f>D8/C8-1</x:f>
        <x:v>0.11927544792281974</x:v>
      </x:c>
      <x:c r="E9" s="109" t="n">
        <x:f>E8/D8-1</x:f>
        <x:v>0.10131578947368425</x:v>
      </x:c>
      <x:c r="F9" s="109" t="n">
        <x:f>F8/E8-1</x:f>
        <x:v>0.12522580645161296</x:v>
      </x:c>
      <x:c r="G9" s="109" t="n">
        <x:f>G8/F8-1</x:f>
        <x:v>0.11073619631901854</x:v>
      </x:c>
      <x:c r="H9" s="109" t="n">
        <x:f>H8/G8-1</x:f>
        <x:v>0.09117647058823519</x:v>
      </x:c>
      <x:c r="I9" s="89" t="str">
        <x:v>Model output</x:v>
      </x:c>
      <x:c r="J9" s="89" t="str">
        <x:v>Model output</x:v>
      </x:c>
      <x:c r="K9" s="90" t="str">
        <x:v>Model output</x:v>
      </x:c>
    </x:row>
    <x:row r="10" ht="29" customHeight="1">
      <x:c r="A10" s="88" t="str">
        <x:v>GMD share of national throughput</x:v>
      </x:c>
      <x:c r="B10" s="89" t="str">
        <x:v>%</x:v>
      </x:c>
      <x:c r="C10" s="125" t="n">
        <x:f>C8/C6</x:f>
        <x:v>0.14938235294117647</x:v>
      </x:c>
      <x:c r="D10" s="109" t="n">
        <x:f>'P4 Assumptions'!C33</x:f>
        <x:v>0.152</x:v>
      </x:c>
      <x:c r="E10" s="109" t="n">
        <x:f>'P4 Assumptions'!D33</x:f>
        <x:v>0.155</x:v>
      </x:c>
      <x:c r="F10" s="109" t="n">
        <x:f>'P4 Assumptions'!E33</x:f>
        <x:v>0.163</x:v>
      </x:c>
      <x:c r="G10" s="109" t="n">
        <x:f>'P4 Assumptions'!F33</x:f>
        <x:v>0.17</x:v>
      </x:c>
      <x:c r="H10" s="109" t="n">
        <x:f>'P4 Assumptions'!G33</x:f>
        <x:v>0.175</x:v>
      </x:c>
      <x:c r="I10" s="89" t="str">
        <x:v>Analyst assumption</x:v>
      </x:c>
      <x:c r="J10" s="89" t="str">
        <x:v>Historical link / analyst assumption</x:v>
      </x:c>
      <x:c r="K10" s="90" t="str">
        <x:v>Analyst assumption</x:v>
      </x:c>
    </x:row>
    <x:row r="11" ht="29" customHeight="1">
      <x:c r="A11" s="88" t="str">
        <x:v>Implied port unit/mix/scope proxy</x:v>
      </x:c>
      <x:c r="B11" s="89" t="str">
        <x:v>VND '000/TEU</x:v>
      </x:c>
      <x:c r="C11" s="288" t="n">
        <x:f>'P3 Port Drivers'!G10</x:f>
        <x:v>1034.5004154361095</x:v>
      </x:c>
      <x:c r="D11" s="211" t="n">
        <x:f>C11*(1+D12)</x:f>
        <x:v>1060.3629258220121</x:v>
      </x:c>
      <x:c r="E11" s="211" t="n">
        <x:f>D11*(1+E12)</x:f>
        <x:v>1092.1738135966725</x:v>
      </x:c>
      <x:c r="F11" s="211" t="n">
        <x:f>E11*(1+F12)</x:f>
        <x:v>1124.9390280045727</x:v>
      </x:c>
      <x:c r="G11" s="211" t="n">
        <x:f>F11*(1+G12)</x:f>
        <x:v>1158.6871988447099</x:v>
      </x:c>
      <x:c r="H11" s="211" t="n">
        <x:f>G11*(1+H12)</x:f>
        <x:v>1193.447814810051</x:v>
      </x:c>
      <x:c r="I11" s="89" t="str">
        <x:v>2025 proxy rolled by scenario growth</x:v>
      </x:c>
      <x:c r="J11" s="89" t="str">
        <x:v>Model output</x:v>
      </x:c>
      <x:c r="K11" s="90" t="str">
        <x:v>2025 proxy rolled by scenario growth</x:v>
      </x:c>
    </x:row>
    <x:row r="12" ht="29" customHeight="1">
      <x:c r="A12" s="88" t="str">
        <x:v>Unit/mix/scope proxy growth</x:v>
      </x:c>
      <x:c r="B12" s="89" t="str">
        <x:v>%</x:v>
      </x:c>
      <x:c r="C12" s="125" t="n">
        <x:f>'P3 Port Drivers'!G11</x:f>
        <x:v>0.09478481195255428</x:v>
      </x:c>
      <x:c r="D12" s="109" t="n">
        <x:f>'P4 Assumptions'!C34</x:f>
        <x:v>0.025</x:v>
      </x:c>
      <x:c r="E12" s="109" t="n">
        <x:f>'P4 Assumptions'!D34</x:f>
        <x:v>0.03</x:v>
      </x:c>
      <x:c r="F12" s="109" t="n">
        <x:f>'P4 Assumptions'!E34</x:f>
        <x:v>0.03</x:v>
      </x:c>
      <x:c r="G12" s="109" t="n">
        <x:f>'P4 Assumptions'!F34</x:f>
        <x:v>0.03</x:v>
      </x:c>
      <x:c r="H12" s="109" t="n">
        <x:f>'P4 Assumptions'!G34</x:f>
        <x:v>0.03</x:v>
      </x:c>
      <x:c r="I12" s="89" t="str">
        <x:v>Analyst assumption</x:v>
      </x:c>
      <x:c r="J12" s="89" t="str">
        <x:v>Historical link / analyst assumption</x:v>
      </x:c>
      <x:c r="K12" s="90" t="str">
        <x:v>Analyst assumption</x:v>
      </x:c>
    </x:row>
    <x:row r="13" ht="29" customHeight="1">
      <x:c r="A13" s="88" t="str">
        <x:v>Port external revenue</x:v>
      </x:c>
      <x:c r="B13" s="89" t="str">
        <x:v>VND bn</x:v>
      </x:c>
      <x:c r="C13" s="288" t="n">
        <x:f>'P3 Port Drivers'!G8</x:f>
        <x:v>5254.22761</x:v>
      </x:c>
      <x:c r="D13" s="211" t="n">
        <x:f>D8*D11</x:f>
        <x:v>6027.951160712975</x:v>
      </x:c>
      <x:c r="E13" s="211" t="n">
        <x:f>E8*E11</x:f>
        <x:v>6837.838125213505</x:v>
      </x:c>
      <x:c r="F13" s="211" t="n">
        <x:f>F8*F11</x:f>
        <x:v>7924.9352763938205</x:v>
      </x:c>
      <x:c r="G13" s="211" t="n">
        <x:f>G8*G11</x:f>
        <x:v>9066.587838925363</x:v>
      </x:c>
      <x:c r="H13" s="211" t="n">
        <x:f>H8*H11</x:f>
        <x:v>10190.044737907498</x:v>
      </x:c>
      <x:c r="I13" s="89" t="str">
        <x:v>Throughput × unit/mix proxy</x:v>
      </x:c>
      <x:c r="J13" s="89" t="str">
        <x:v>Model output</x:v>
      </x:c>
      <x:c r="K13" s="90" t="str">
        <x:v>Throughput × unit/mix proxy</x:v>
      </x:c>
    </x:row>
    <x:row r="14" ht="29" customHeight="1">
      <x:c r="A14" s="88" t="str">
        <x:v>Logistics external revenue</x:v>
      </x:c>
      <x:c r="B14" s="89" t="str">
        <x:v>VND bn</x:v>
      </x:c>
      <x:c r="C14" s="288" t="n">
        <x:f>'P3 Historical IS'!G50</x:f>
        <x:v>693.74057</x:v>
      </x:c>
      <x:c r="D14" s="211" t="n">
        <x:f>C14*(1+'P4 Assumptions'!C35)</x:f>
        <x:v>721.4901928</x:v>
      </x:c>
      <x:c r="E14" s="211" t="n">
        <x:f>D14*(1+'P4 Assumptions'!D35)</x:f>
        <x:v>757.5647024400001</x:v>
      </x:c>
      <x:c r="F14" s="211" t="n">
        <x:f>E14*(1+'P4 Assumptions'!E35)</x:f>
        <x:v>803.0185845864002</x:v>
      </x:c>
      <x:c r="G14" s="211" t="n">
        <x:f>F14*(1+'P4 Assumptions'!F35)</x:f>
        <x:v>851.1996996615842</x:v>
      </x:c>
      <x:c r="H14" s="211" t="n">
        <x:f>G14*(1+'P4 Assumptions'!G35)</x:f>
        <x:v>902.2716816412793</x:v>
      </x:c>
      <x:c r="I14" s="89" t="str">
        <x:v>Separate segment growth</x:v>
      </x:c>
      <x:c r="J14" s="89" t="str">
        <x:v>Model output</x:v>
      </x:c>
      <x:c r="K14" s="90" t="str">
        <x:v>Separate segment growth</x:v>
      </x:c>
    </x:row>
    <x:row r="15" ht="29" customHeight="1">
      <x:c r="A15" s="88" t="str">
        <x:v>Other external revenue</x:v>
      </x:c>
      <x:c r="B15" s="89" t="str">
        <x:v>VND bn</x:v>
      </x:c>
      <x:c r="C15" s="288" t="n">
        <x:f>'P3 Historical IS'!G51</x:f>
        <x:v>8.057116</x:v>
      </x:c>
      <x:c r="D15" s="211" t="n">
        <x:f>C15*(1+'P4 Assumptions'!C36)</x:f>
        <x:v>8.057116</x:v>
      </x:c>
      <x:c r="E15" s="211" t="n">
        <x:f>D15*(1+'P4 Assumptions'!D36)</x:f>
        <x:v>8.057116</x:v>
      </x:c>
      <x:c r="F15" s="211" t="n">
        <x:f>E15*(1+'P4 Assumptions'!E36)</x:f>
        <x:v>8.057116</x:v>
      </x:c>
      <x:c r="G15" s="211" t="n">
        <x:f>F15*(1+'P4 Assumptions'!F36)</x:f>
        <x:v>8.057116</x:v>
      </x:c>
      <x:c r="H15" s="211" t="n">
        <x:f>G15*(1+'P4 Assumptions'!G36)</x:f>
        <x:v>8.057116</x:v>
      </x:c>
      <x:c r="I15" s="89" t="str">
        <x:v>Residual segment</x:v>
      </x:c>
      <x:c r="J15" s="89" t="str">
        <x:v>Model output</x:v>
      </x:c>
      <x:c r="K15" s="90" t="str">
        <x:v>Residual segment</x:v>
      </x:c>
    </x:row>
    <x:row r="16" ht="29" customHeight="1">
      <x:c r="A16" s="459" t="str">
        <x:v>Consolidated net revenue</x:v>
      </x:c>
      <x:c r="B16" s="460" t="str">
        <x:v>VND bn</x:v>
      </x:c>
      <x:c r="C16" s="495" t="n">
        <x:f>'P3 Historical IS'!G6</x:f>
        <x:v>5956.025297015</x:v>
      </x:c>
      <x:c r="D16" s="495" t="n">
        <x:f>SUM(D13:D15)</x:f>
        <x:v>6757.498469512975</x:v>
      </x:c>
      <x:c r="E16" s="495" t="n">
        <x:f>SUM(E13:E15)</x:f>
        <x:v>7603.459943653505</x:v>
      </x:c>
      <x:c r="F16" s="495" t="n">
        <x:f>SUM(F13:F15)</x:f>
        <x:v>8736.01097698022</x:v>
      </x:c>
      <x:c r="G16" s="495" t="n">
        <x:f>SUM(G13:G15)</x:f>
        <x:v>9925.844654586946</x:v>
      </x:c>
      <x:c r="H16" s="495" t="n">
        <x:f>SUM(H13:H15)</x:f>
        <x:v>11100.373535548777</x:v>
      </x:c>
      <x:c r="I16" s="460" t="str">
        <x:v>Sum of external segment revenue</x:v>
      </x:c>
      <x:c r="J16" s="460" t="str">
        <x:v>Model output</x:v>
      </x:c>
      <x:c r="K16" s="460" t="str">
        <x:v>Sum of external segment revenue</x:v>
      </x:c>
    </x:row>
    <x:row r="17" ht="29" customHeight="1">
      <x:c r="A17" s="88" t="str">
        <x:v>Revenue growth</x:v>
      </x:c>
      <x:c r="B17" s="89" t="str">
        <x:v>%</x:v>
      </x:c>
      <x:c r="C17" s="125" t="n">
        <x:f>'GMD Historical'!B12/'GMD Historical'!B11-1</x:f>
        <x:v>0.23261480327991846</x:v>
      </x:c>
      <x:c r="D17" s="109" t="n">
        <x:f>D16/C16-1</x:f>
        <x:v>0.13456510550746836</x:v>
      </x:c>
      <x:c r="E17" s="109" t="n">
        <x:f>E16/D16-1</x:f>
        <x:v>0.12518855578838184</x:v>
      </x:c>
      <x:c r="F17" s="109" t="n">
        <x:f>F16/E16-1</x:f>
        <x:v>0.14895206152457452</x:v>
      </x:c>
      <x:c r="G17" s="109" t="n">
        <x:f>G16/F16-1</x:f>
        <x:v>0.13619873884568046</x:v>
      </x:c>
      <x:c r="H17" s="109" t="n">
        <x:f>H16/G16-1</x:f>
        <x:v>0.11833037104998967</x:v>
      </x:c>
      <x:c r="I17" s="89" t="str">
        <x:v>Model output</x:v>
      </x:c>
      <x:c r="J17" s="89" t="str">
        <x:v>Model output</x:v>
      </x:c>
      <x:c r="K17" s="90" t="str">
        <x:v>Model output</x:v>
      </x:c>
    </x:row>
    <x:row r="18" ht="29" customHeight="1">
      <x:c r="A18" s="88" t="str">
        <x:v>Consolidated operating margin</x:v>
      </x:c>
      <x:c r="B18" s="89" t="str">
        <x:v>%</x:v>
      </x:c>
      <x:c r="C18" s="125" t="n">
        <x:f>'P3 Historical IS'!G13</x:f>
        <x:v>0.27652039677743034</x:v>
      </x:c>
      <x:c r="D18" s="109" t="n">
        <x:f>'P4 Assumptions'!C37</x:f>
        <x:v>0.28</x:v>
      </x:c>
      <x:c r="E18" s="109" t="n">
        <x:f>'P4 Assumptions'!D37</x:f>
        <x:v>0.285</x:v>
      </x:c>
      <x:c r="F18" s="109" t="n">
        <x:f>'P4 Assumptions'!E37</x:f>
        <x:v>0.29</x:v>
      </x:c>
      <x:c r="G18" s="109" t="n">
        <x:f>'P4 Assumptions'!F37</x:f>
        <x:v>0.295</x:v>
      </x:c>
      <x:c r="H18" s="109" t="n">
        <x:f>'P4 Assumptions'!G37</x:f>
        <x:v>0.3</x:v>
      </x:c>
      <x:c r="I18" s="89" t="str">
        <x:v>Before financial/associate/other items</x:v>
      </x:c>
      <x:c r="J18" s="89" t="str">
        <x:v>Historical link / analyst assumption</x:v>
      </x:c>
      <x:c r="K18" s="90" t="str">
        <x:v>Before financial/associate/other items</x:v>
      </x:c>
    </x:row>
    <x:row r="19" ht="29" customHeight="1">
      <x:c r="A19" s="88" t="str">
        <x:v>Consolidated EBIT before financial/associate/other</x:v>
      </x:c>
      <x:c r="B19" s="89" t="str">
        <x:v>VND bn</x:v>
      </x:c>
      <x:c r="C19" s="288" t="n">
        <x:f>'P3 Historical IS'!G12</x:f>
        <x:v>1646.9624783470003</x:v>
      </x:c>
      <x:c r="D19" s="211" t="n">
        <x:f>D16*D18</x:f>
        <x:v>1892.0995714636333</x:v>
      </x:c>
      <x:c r="E19" s="211" t="n">
        <x:f>E16*E18</x:f>
        <x:v>2166.986083941249</x:v>
      </x:c>
      <x:c r="F19" s="211" t="n">
        <x:f>F16*F18</x:f>
        <x:v>2533.443183324264</x:v>
      </x:c>
      <x:c r="G19" s="211" t="n">
        <x:f>G16*G18</x:f>
        <x:v>2928.124173103149</x:v>
      </x:c>
      <x:c r="H19" s="211" t="n">
        <x:f>H16*H18</x:f>
        <x:v>3330.112060664633</x:v>
      </x:c>
      <x:c r="I19" s="89" t="str">
        <x:v>Revenue × operating margin</x:v>
      </x:c>
      <x:c r="J19" s="89" t="str">
        <x:v>Model output</x:v>
      </x:c>
      <x:c r="K19" s="90" t="str">
        <x:v>Revenue × operating margin</x:v>
      </x:c>
    </x:row>
    <x:row r="20" ht="29" customHeight="1">
      <x:c r="A20" s="88" t="str">
        <x:v>Financial income</x:v>
      </x:c>
      <x:c r="B20" s="89" t="str">
        <x:v>VND bn</x:v>
      </x:c>
      <x:c r="C20" s="288" t="n">
        <x:f>'P3 Historical IS'!G17</x:f>
        <x:v>228.485206429</x:v>
      </x:c>
      <x:c r="D20" s="211" t="n">
        <x:f>'P4 Assumptions'!C38</x:f>
        <x:v>225</x:v>
      </x:c>
      <x:c r="E20" s="211" t="n">
        <x:f>'P4 Assumptions'!D38</x:f>
        <x:v>220</x:v>
      </x:c>
      <x:c r="F20" s="211" t="n">
        <x:f>'P4 Assumptions'!E38</x:f>
        <x:v>210</x:v>
      </x:c>
      <x:c r="G20" s="211" t="n">
        <x:f>'P4 Assumptions'!F38</x:f>
        <x:v>200</x:v>
      </x:c>
      <x:c r="H20" s="211" t="n">
        <x:f>'P4 Assumptions'!G38</x:f>
        <x:v>190</x:v>
      </x:c>
      <x:c r="I20" s="89" t="str">
        <x:v>Analyst assumption</x:v>
      </x:c>
      <x:c r="J20" s="89" t="str">
        <x:v>Historical link / analyst assumption</x:v>
      </x:c>
      <x:c r="K20" s="90" t="str">
        <x:v>Analyst assumption</x:v>
      </x:c>
    </x:row>
    <x:row r="21" ht="29" customHeight="1">
      <x:c r="A21" s="88" t="str">
        <x:v>Financial expense</x:v>
      </x:c>
      <x:c r="B21" s="89" t="str">
        <x:v>VND bn</x:v>
      </x:c>
      <x:c r="C21" s="288" t="n">
        <x:f>'P3 Historical IS'!G18</x:f>
        <x:v>118.711817693</x:v>
      </x:c>
      <x:c r="D21" s="211" t="n">
        <x:f>'P4 Assumptions'!C39</x:f>
        <x:v>120</x:v>
      </x:c>
      <x:c r="E21" s="211" t="n">
        <x:f>'P4 Assumptions'!D39</x:f>
        <x:v>125</x:v>
      </x:c>
      <x:c r="F21" s="211" t="n">
        <x:f>'P4 Assumptions'!E39</x:f>
        <x:v>130</x:v>
      </x:c>
      <x:c r="G21" s="211" t="n">
        <x:f>'P4 Assumptions'!F39</x:f>
        <x:v>135</x:v>
      </x:c>
      <x:c r="H21" s="211" t="n">
        <x:f>'P4 Assumptions'!G39</x:f>
        <x:v>140</x:v>
      </x:c>
      <x:c r="I21" s="89" t="str">
        <x:v>Analyst assumption</x:v>
      </x:c>
      <x:c r="J21" s="89" t="str">
        <x:v>Historical link / analyst assumption</x:v>
      </x:c>
      <x:c r="K21" s="90" t="str">
        <x:v>Analyst assumption</x:v>
      </x:c>
    </x:row>
    <x:row r="22" ht="29" customHeight="1">
      <x:c r="A22" s="88" t="str">
        <x:v>Gemalink associate contribution</x:v>
      </x:c>
      <x:c r="B22" s="89" t="str">
        <x:v>VND bn</x:v>
      </x:c>
      <x:c r="C22" s="288" t="n">
        <x:f>'P3 Associates'!G7</x:f>
        <x:v>826.81</x:v>
      </x:c>
      <x:c r="D22" s="211" t="n">
        <x:f>C22*(1+'P4 Assumptions'!C41)</x:f>
        <x:v>909.491</x:v>
      </x:c>
      <x:c r="E22" s="211" t="n">
        <x:f>D22*(1+'P4 Assumptions'!D41)</x:f>
        <x:v>1000.4401</x:v>
      </x:c>
      <x:c r="F22" s="211" t="n">
        <x:f>E22*(1+'P4 Assumptions'!E41)</x:f>
        <x:v>1250.550125</x:v>
      </x:c>
      <x:c r="G22" s="211" t="n">
        <x:f>F22*(1+'P4 Assumptions'!F41)</x:f>
        <x:v>1475.6491474999998</x:v>
      </x:c>
      <x:c r="H22" s="211" t="n">
        <x:f>G22*(1+'P4 Assumptions'!G41)</x:f>
        <x:v>1652.7270452</x:v>
      </x:c>
      <x:c r="I22" s="89" t="str">
        <x:v>Separate equity-accounted forecast</x:v>
      </x:c>
      <x:c r="J22" s="89" t="str">
        <x:v>Model output</x:v>
      </x:c>
      <x:c r="K22" s="90" t="str">
        <x:v>Separate equity-accounted forecast</x:v>
      </x:c>
    </x:row>
    <x:row r="23" ht="29" customHeight="1">
      <x:c r="A23" s="88" t="str">
        <x:v>SCS associate contribution</x:v>
      </x:c>
      <x:c r="B23" s="89" t="str">
        <x:v>VND bn</x:v>
      </x:c>
      <x:c r="C23" s="288" t="n">
        <x:f>'P3 Associates'!G8</x:f>
        <x:v>258.588</x:v>
      </x:c>
      <x:c r="D23" s="211" t="n">
        <x:f>C23*(1+'P4 Assumptions'!C42)</x:f>
        <x:v>276.68916</x:v>
      </x:c>
      <x:c r="E23" s="211" t="n">
        <x:f>D23*(1+'P4 Assumptions'!D42)</x:f>
        <x:v>296.0574012</x:v>
      </x:c>
      <x:c r="F23" s="211" t="n">
        <x:f>E23*(1+'P4 Assumptions'!E42)</x:f>
        <x:v>316.78141928400004</x:v>
      </x:c>
      <x:c r="G23" s="211" t="n">
        <x:f>F23*(1+'P4 Assumptions'!F42)</x:f>
        <x:v>338.95611863388007</x:v>
      </x:c>
      <x:c r="H23" s="211" t="n">
        <x:f>G23*(1+'P4 Assumptions'!G42)</x:f>
        <x:v>362.6830469382517</x:v>
      </x:c>
      <x:c r="I23" s="89" t="str">
        <x:v>Separate equity-accounted forecast</x:v>
      </x:c>
      <x:c r="J23" s="89" t="str">
        <x:v>Model output</x:v>
      </x:c>
      <x:c r="K23" s="90" t="str">
        <x:v>Separate equity-accounted forecast</x:v>
      </x:c>
    </x:row>
    <x:row r="24" ht="29" customHeight="1">
      <x:c r="A24" s="88" t="str">
        <x:v>CJ Gemadept Logistics contribution</x:v>
      </x:c>
      <x:c r="B24" s="89" t="str">
        <x:v>VND bn</x:v>
      </x:c>
      <x:c r="C24" s="288" t="n">
        <x:f>'P3 Associates'!G9</x:f>
        <x:v>46.182</x:v>
      </x:c>
      <x:c r="D24" s="211" t="n">
        <x:f>C24*(1+'P4 Assumptions'!C43)</x:f>
        <x:v>48.952920000000006</x:v>
      </x:c>
      <x:c r="E24" s="211" t="n">
        <x:f>D24*(1+'P4 Assumptions'!D43)</x:f>
        <x:v>51.89009520000001</x:v>
      </x:c>
      <x:c r="F24" s="211" t="n">
        <x:f>E24*(1+'P4 Assumptions'!E43)</x:f>
        <x:v>55.003500912000014</x:v>
      </x:c>
      <x:c r="G24" s="211" t="n">
        <x:f>F24*(1+'P4 Assumptions'!F43)</x:f>
        <x:v>58.30371096672002</x:v>
      </x:c>
      <x:c r="H24" s="211" t="n">
        <x:f>G24*(1+'P4 Assumptions'!G43)</x:f>
        <x:v>61.801933624723226</x:v>
      </x:c>
      <x:c r="I24" s="89" t="str">
        <x:v>Separate equity-accounted forecast</x:v>
      </x:c>
      <x:c r="J24" s="89" t="str">
        <x:v>Model output</x:v>
      </x:c>
      <x:c r="K24" s="90" t="str">
        <x:v>Separate equity-accounted forecast</x:v>
      </x:c>
    </x:row>
    <x:row r="25" ht="29" customHeight="1">
      <x:c r="A25" s="88" t="str">
        <x:v>Other associate contribution</x:v>
      </x:c>
      <x:c r="B25" s="89" t="str">
        <x:v>VND bn</x:v>
      </x:c>
      <x:c r="C25" s="288" t="n">
        <x:f>'P3 Associates'!G10</x:f>
        <x:v>26.07937794700001</x:v>
      </x:c>
      <x:c r="D25" s="211" t="n">
        <x:f>C25*(1+'P4 Assumptions'!C44)</x:f>
        <x:v>27.122553064880012</x:v>
      </x:c>
      <x:c r="E25" s="211" t="n">
        <x:f>D25*(1+'P4 Assumptions'!D44)</x:f>
        <x:v>28.207455187475215</x:v>
      </x:c>
      <x:c r="F25" s="211" t="n">
        <x:f>E25*(1+'P4 Assumptions'!E44)</x:f>
        <x:v>29.335753394974226</x:v>
      </x:c>
      <x:c r="G25" s="211" t="n">
        <x:f>F25*(1+'P4 Assumptions'!F44)</x:f>
        <x:v>30.509183530773196</x:v>
      </x:c>
      <x:c r="H25" s="211" t="n">
        <x:f>G25*(1+'P4 Assumptions'!G44)</x:f>
        <x:v>31.729550872004125</x:v>
      </x:c>
      <x:c r="I25" s="89" t="str">
        <x:v>Residual associate forecast</x:v>
      </x:c>
      <x:c r="J25" s="89" t="str">
        <x:v>Model output</x:v>
      </x:c>
      <x:c r="K25" s="90" t="str">
        <x:v>Residual associate forecast</x:v>
      </x:c>
    </x:row>
    <x:row r="26" ht="29" customHeight="1">
      <x:c r="A26" s="88" t="str">
        <x:v>Total associates/JV profit</x:v>
      </x:c>
      <x:c r="B26" s="89" t="str">
        <x:v>VND bn</x:v>
      </x:c>
      <x:c r="C26" s="288" t="n">
        <x:f>'P3 Associates'!G6</x:f>
        <x:v>1157.659377947</x:v>
      </x:c>
      <x:c r="D26" s="211" t="n">
        <x:f>SUM(D22:D25)</x:f>
        <x:v>1262.25563306488</x:v>
      </x:c>
      <x:c r="E26" s="211" t="n">
        <x:f>SUM(E22:E25)</x:f>
        <x:v>1376.5950515874752</x:v>
      </x:c>
      <x:c r="F26" s="211" t="n">
        <x:f>SUM(F22:F25)</x:f>
        <x:v>1651.6707985909743</x:v>
      </x:c>
      <x:c r="G26" s="211" t="n">
        <x:f>SUM(G22:G25)</x:f>
        <x:v>1903.4181606313732</x:v>
      </x:c>
      <x:c r="H26" s="211" t="n">
        <x:f>SUM(H22:H25)</x:f>
        <x:v>2108.941576634979</x:v>
      </x:c>
      <x:c r="I26" s="89" t="str">
        <x:v>Sum of associate components</x:v>
      </x:c>
      <x:c r="J26" s="89" t="str">
        <x:v>Model output</x:v>
      </x:c>
      <x:c r="K26" s="90" t="str">
        <x:v>Sum of associate components</x:v>
      </x:c>
    </x:row>
    <x:row r="27" ht="29" customHeight="1">
      <x:c r="A27" s="88" t="str">
        <x:v>Other profit/(loss)</x:v>
      </x:c>
      <x:c r="B27" s="89" t="str">
        <x:v>VND bn</x:v>
      </x:c>
      <x:c r="C27" s="288" t="n">
        <x:f>'P3 Historical IS'!G21</x:f>
        <x:v>-393.56809844</x:v>
      </x:c>
      <x:c r="D27" s="211" t="n">
        <x:f>'P4 Assumptions'!C40</x:f>
        <x:v>-250</x:v>
      </x:c>
      <x:c r="E27" s="211" t="n">
        <x:f>'P4 Assumptions'!D40</x:f>
        <x:v>-250</x:v>
      </x:c>
      <x:c r="F27" s="211" t="n">
        <x:f>'P4 Assumptions'!E40</x:f>
        <x:v>-250</x:v>
      </x:c>
      <x:c r="G27" s="211" t="n">
        <x:f>'P4 Assumptions'!F40</x:f>
        <x:v>-250</x:v>
      </x:c>
      <x:c r="H27" s="211" t="n">
        <x:f>'P4 Assumptions'!G40</x:f>
        <x:v>-250</x:v>
      </x:c>
      <x:c r="I27" s="89" t="str">
        <x:v>Analyst assumption</x:v>
      </x:c>
      <x:c r="J27" s="89" t="str">
        <x:v>Historical link / analyst assumption</x:v>
      </x:c>
      <x:c r="K27" s="90" t="str">
        <x:v>Analyst assumption</x:v>
      </x:c>
    </x:row>
    <x:row r="28" ht="29" customHeight="1">
      <x:c r="A28" s="459" t="str">
        <x:v>Core PBT</x:v>
      </x:c>
      <x:c r="B28" s="460" t="str">
        <x:v>VND bn</x:v>
      </x:c>
      <x:c r="C28" s="495" t="n">
        <x:f>'P3 Historical IS'!G25</x:f>
        <x:v>2520.827</x:v>
      </x:c>
      <x:c r="D28" s="495" t="n">
        <x:f>D19+D20-D21+D26+D27</x:f>
        <x:v>3009.3552045285132</x:v>
      </x:c>
      <x:c r="E28" s="495" t="n">
        <x:f>E19+E20-E21+E26+E27</x:f>
        <x:v>3388.581135528724</x:v>
      </x:c>
      <x:c r="F28" s="495" t="n">
        <x:f>F19+F20-F21+F26+F27</x:f>
        <x:v>4015.1139819152377</x:v>
      </x:c>
      <x:c r="G28" s="495" t="n">
        <x:f>G19+G20-G21+G26+G27</x:f>
        <x:v>4646.542333734522</x:v>
      </x:c>
      <x:c r="H28" s="495" t="n">
        <x:f>H19+H20-H21+H26+H27</x:f>
        <x:v>5239.053637299612</x:v>
      </x:c>
      <x:c r="I28" s="460" t="str">
        <x:v>EBIT + net finance + associates + other</x:v>
      </x:c>
      <x:c r="J28" s="460" t="str">
        <x:v>Model output</x:v>
      </x:c>
      <x:c r="K28" s="460" t="str">
        <x:v>EBIT + net finance + associates + other</x:v>
      </x:c>
    </x:row>
    <x:row r="29" ht="29" customHeight="1">
      <x:c r="A29" s="88" t="str">
        <x:v>Core PBT margin</x:v>
      </x:c>
      <x:c r="B29" s="89" t="str">
        <x:v>%</x:v>
      </x:c>
      <x:c r="C29" s="125" t="n">
        <x:f>'P3 Historical IS'!G27</x:f>
        <x:v>0.42323980747082635</x:v>
      </x:c>
      <x:c r="D29" s="109" t="n">
        <x:f>D28/D16</x:f>
        <x:v>0.4453356842188679</x:v>
      </x:c>
      <x:c r="E29" s="109" t="n">
        <x:f>E28/E16</x:f>
        <x:v>0.44566304822281894</x:v>
      </x:c>
      <x:c r="F29" s="109" t="n">
        <x:f>F28/F16</x:f>
        <x:v>0.4596049607189417</x:v>
      </x:c>
      <x:c r="G29" s="109" t="n">
        <x:f>G28/G16</x:f>
        <x:v>0.4681256351908807</x:v>
      </x:c>
      <x:c r="H29" s="109" t="n">
        <x:f>H28/H16</x:f>
        <x:v>0.4719709314755601</x:v>
      </x:c>
      <x:c r="I29" s="89" t="str">
        <x:v>Model output</x:v>
      </x:c>
      <x:c r="J29" s="89" t="str">
        <x:v>Model output</x:v>
      </x:c>
      <x:c r="K29" s="90" t="str">
        <x:v>Model output</x:v>
      </x:c>
    </x:row>
    <x:row r="30" ht="29" customHeight="1">
      <x:c r="A30" s="88" t="str">
        <x:v>Effective PBT tax rate</x:v>
      </x:c>
      <x:c r="B30" s="89" t="str">
        <x:v>%</x:v>
      </x:c>
      <x:c r="C30" s="125" t="n">
        <x:f>('P3 Historical IS'!G38-'P3 Historical IS'!G39)/'P3 Historical IS'!G25</x:f>
        <x:v>0.0866001376683128</x:v>
      </x:c>
      <x:c r="D30" s="109" t="n">
        <x:f>'P4 Assumptions'!C45</x:f>
        <x:v>0.095</x:v>
      </x:c>
      <x:c r="E30" s="109" t="n">
        <x:f>'P4 Assumptions'!D45</x:f>
        <x:v>0.095</x:v>
      </x:c>
      <x:c r="F30" s="109" t="n">
        <x:f>'P4 Assumptions'!E45</x:f>
        <x:v>0.1</x:v>
      </x:c>
      <x:c r="G30" s="109" t="n">
        <x:f>'P4 Assumptions'!F45</x:f>
        <x:v>0.1</x:v>
      </x:c>
      <x:c r="H30" s="109" t="n">
        <x:f>'P4 Assumptions'!G45</x:f>
        <x:v>0.1</x:v>
      </x:c>
      <x:c r="I30" s="89" t="str">
        <x:v>Analyst assumption</x:v>
      </x:c>
      <x:c r="J30" s="89" t="str">
        <x:v>Historical link / analyst assumption</x:v>
      </x:c>
      <x:c r="K30" s="90" t="str">
        <x:v>Analyst assumption</x:v>
      </x:c>
    </x:row>
    <x:row r="31" ht="29" customHeight="1">
      <x:c r="A31" s="88" t="str">
        <x:v>Consolidated PAT</x:v>
      </x:c>
      <x:c r="B31" s="89" t="str">
        <x:v>VND bn</x:v>
      </x:c>
      <x:c r="C31" s="288" t="n">
        <x:f>'P3 Historical IS'!G41</x:f>
        <x:v>2302.523181352</x:v>
      </x:c>
      <x:c r="D31" s="211" t="n">
        <x:f>D28*(1-D30)</x:f>
        <x:v>2723.4664600983047</x:v>
      </x:c>
      <x:c r="E31" s="211" t="n">
        <x:f>E28*(1-E30)</x:f>
        <x:v>3066.6659276534956</x:v>
      </x:c>
      <x:c r="F31" s="211" t="n">
        <x:f>F28*(1-F30)</x:f>
        <x:v>3613.602583723714</x:v>
      </x:c>
      <x:c r="G31" s="211" t="n">
        <x:f>G28*(1-G30)</x:f>
        <x:v>4181.8881003610695</x:v>
      </x:c>
      <x:c r="H31" s="211" t="n">
        <x:f>H28*(1-H30)</x:f>
        <x:v>4715.148273569651</x:v>
      </x:c>
      <x:c r="I31" s="89" t="str">
        <x:v>PBT after effective tax</x:v>
      </x:c>
      <x:c r="J31" s="89" t="str">
        <x:v>Model output</x:v>
      </x:c>
      <x:c r="K31" s="90" t="str">
        <x:v>PBT after effective tax</x:v>
      </x:c>
    </x:row>
    <x:row r="32" ht="29" customHeight="1">
      <x:c r="A32" s="88" t="str">
        <x:v>NCI share of PAT</x:v>
      </x:c>
      <x:c r="B32" s="89" t="str">
        <x:v>%</x:v>
      </x:c>
      <x:c r="C32" s="125" t="n">
        <x:f>'P3 Historical IS'!G44/'P3 Historical IS'!G41</x:f>
        <x:v>0.23751915311222802</x:v>
      </x:c>
      <x:c r="D32" s="109" t="n">
        <x:f>'P4 Assumptions'!C46</x:f>
        <x:v>0.22</x:v>
      </x:c>
      <x:c r="E32" s="109" t="n">
        <x:f>'P4 Assumptions'!D46</x:f>
        <x:v>0.22</x:v>
      </x:c>
      <x:c r="F32" s="109" t="n">
        <x:f>'P4 Assumptions'!E46</x:f>
        <x:v>0.22</x:v>
      </x:c>
      <x:c r="G32" s="109" t="n">
        <x:f>'P4 Assumptions'!F46</x:f>
        <x:v>0.22</x:v>
      </x:c>
      <x:c r="H32" s="109" t="n">
        <x:f>'P4 Assumptions'!G46</x:f>
        <x:v>0.22</x:v>
      </x:c>
      <x:c r="I32" s="89" t="str">
        <x:v>Analyst assumption</x:v>
      </x:c>
      <x:c r="J32" s="89" t="str">
        <x:v>Historical link / analyst assumption</x:v>
      </x:c>
      <x:c r="K32" s="90" t="str">
        <x:v>Analyst assumption</x:v>
      </x:c>
    </x:row>
    <x:row r="33" ht="29" customHeight="1">
      <x:c r="A33" s="88" t="str">
        <x:v>NCI PAT</x:v>
      </x:c>
      <x:c r="B33" s="89" t="str">
        <x:v>VND bn</x:v>
      </x:c>
      <x:c r="C33" s="288" t="n">
        <x:f>'P3 Historical IS'!G44</x:f>
        <x:v>546.893356056</x:v>
      </x:c>
      <x:c r="D33" s="211" t="n">
        <x:f>D31*D32</x:f>
        <x:v>599.162621221627</x:v>
      </x:c>
      <x:c r="E33" s="211" t="n">
        <x:f>E31*E32</x:f>
        <x:v>674.666504083769</x:v>
      </x:c>
      <x:c r="F33" s="211" t="n">
        <x:f>F31*F32</x:f>
        <x:v>794.992568419217</x:v>
      </x:c>
      <x:c r="G33" s="211" t="n">
        <x:f>G31*G32</x:f>
        <x:v>920.0153820794353</x:v>
      </x:c>
      <x:c r="H33" s="211" t="n">
        <x:f>H31*H32</x:f>
        <x:v>1037.332620185323</x:v>
      </x:c>
      <x:c r="I33" s="89" t="str">
        <x:v>PAT × NCI share</x:v>
      </x:c>
      <x:c r="J33" s="89" t="str">
        <x:v>Model output</x:v>
      </x:c>
      <x:c r="K33" s="90" t="str">
        <x:v>PAT × NCI share</x:v>
      </x:c>
    </x:row>
    <x:row r="34" ht="29" customHeight="1">
      <x:c r="A34" s="499" t="str">
        <x:v>Parent PAT</x:v>
      </x:c>
      <x:c r="B34" s="500" t="str">
        <x:v>VND bn</x:v>
      </x:c>
      <x:c r="C34" s="501" t="n">
        <x:f>'P3 Historical IS'!G43</x:f>
        <x:v>1755.629825296</x:v>
      </x:c>
      <x:c r="D34" s="501" t="n">
        <x:f>D31-D33</x:f>
        <x:v>2124.3038388766777</x:v>
      </x:c>
      <x:c r="E34" s="501" t="n">
        <x:f>E31-E33</x:f>
        <x:v>2391.999423569727</x:v>
      </x:c>
      <x:c r="F34" s="501" t="n">
        <x:f>F31-F33</x:f>
        <x:v>2818.6100153044968</x:v>
      </x:c>
      <x:c r="G34" s="501" t="n">
        <x:f>G31-G33</x:f>
        <x:v>3261.872718281634</x:v>
      </x:c>
      <x:c r="H34" s="501" t="n">
        <x:f>H31-H33</x:f>
        <x:v>3677.8156533843276</x:v>
      </x:c>
      <x:c r="I34" s="500" t="str">
        <x:v>PAT less NCI</x:v>
      </x:c>
      <x:c r="J34" s="500" t="str">
        <x:v>Model output</x:v>
      </x:c>
      <x:c r="K34" s="500" t="str">
        <x:v>PAT less NCI</x:v>
      </x:c>
    </x:row>
    <x:row r="35" ht="29" customHeight="1">
      <x:c r="A35" s="502" t="str">
        <x:v>EPS</x:v>
      </x:c>
      <x:c r="B35" s="503" t="str">
        <x:v>VND/share</x:v>
      </x:c>
      <x:c r="C35" s="504" t="n">
        <x:f>C34*1000/'P4 Assumptions'!$C$18</x:f>
        <x:v>4116.412564290392</x:v>
      </x:c>
      <x:c r="D35" s="504" t="n">
        <x:f>D34*1000/'P4 Assumptions'!$C$18</x:f>
        <x:v>4980.839859705584</x:v>
      </x:c>
      <x:c r="E35" s="504" t="n">
        <x:f>E34*1000/'P4 Assumptions'!$C$18</x:f>
        <x:v>5608.503762629847</x:v>
      </x:c>
      <x:c r="F35" s="504" t="n">
        <x:f>F34*1000/'P4 Assumptions'!$C$18</x:f>
        <x:v>6608.7745341635255</x:v>
      </x:c>
      <x:c r="G35" s="504" t="n">
        <x:f>G34*1000/'P4 Assumptions'!$C$18</x:f>
        <x:v>7648.089390590489</x:v>
      </x:c>
      <x:c r="H35" s="504" t="n">
        <x:f>H34*1000/'P4 Assumptions'!$C$18</x:f>
        <x:v>8623.347784708893</x:v>
      </x:c>
      <x:c r="I35" s="503" t="str">
        <x:v>Parent PAT divided by listed shares</x:v>
      </x:c>
      <x:c r="J35" s="503" t="str">
        <x:v>Model output</x:v>
      </x:c>
      <x:c r="K35" s="503" t="str">
        <x:v>Parent PAT divided by listed shares</x:v>
      </x:c>
    </x:row>
    <x:row r="36" ht="29" customHeight="1">
      <x:c r="A36" s="88" t="str">
        <x:v>D&amp;A</x:v>
      </x:c>
      <x:c r="B36" s="89" t="str">
        <x:v>VND bn</x:v>
      </x:c>
      <x:c r="C36" s="288" t="n">
        <x:f>'P3 Cash Flow'!G7</x:f>
        <x:v>415.219036556</x:v>
      </x:c>
      <x:c r="D36" s="211" t="n">
        <x:f>'P4 Assumptions'!C47</x:f>
        <x:v>500</x:v>
      </x:c>
      <x:c r="E36" s="211" t="n">
        <x:f>'P4 Assumptions'!D47</x:f>
        <x:v>580</x:v>
      </x:c>
      <x:c r="F36" s="211" t="n">
        <x:f>'P4 Assumptions'!E47</x:f>
        <x:v>680</x:v>
      </x:c>
      <x:c r="G36" s="211" t="n">
        <x:f>'P4 Assumptions'!F47</x:f>
        <x:v>750</x:v>
      </x:c>
      <x:c r="H36" s="211" t="n">
        <x:f>'P4 Assumptions'!G47</x:f>
        <x:v>820</x:v>
      </x:c>
      <x:c r="I36" s="89" t="str">
        <x:v>Analyst assumption</x:v>
      </x:c>
      <x:c r="J36" s="89" t="str">
        <x:v>Historical link / analyst assumption</x:v>
      </x:c>
      <x:c r="K36" s="90" t="str">
        <x:v>Analyst assumption</x:v>
      </x:c>
    </x:row>
    <x:row r="37" ht="29" customHeight="1">
      <x:c r="A37" s="88" t="str">
        <x:v>Cash capex</x:v>
      </x:c>
      <x:c r="B37" s="89" t="str">
        <x:v>VND bn</x:v>
      </x:c>
      <x:c r="C37" s="288" t="n">
        <x:f>'P3 Cash Flow'!G8</x:f>
        <x:v>1676.123112351</x:v>
      </x:c>
      <x:c r="D37" s="211" t="n">
        <x:f>'P4 Assumptions'!C48</x:f>
        <x:v>1400</x:v>
      </x:c>
      <x:c r="E37" s="211" t="n">
        <x:f>'P4 Assumptions'!D48</x:f>
        <x:v>1200</x:v>
      </x:c>
      <x:c r="F37" s="211" t="n">
        <x:f>'P4 Assumptions'!E48</x:f>
        <x:v>1000</x:v>
      </x:c>
      <x:c r="G37" s="211" t="n">
        <x:f>'P4 Assumptions'!F48</x:f>
        <x:v>850</x:v>
      </x:c>
      <x:c r="H37" s="211" t="n">
        <x:f>'P4 Assumptions'!G48</x:f>
        <x:v>800</x:v>
      </x:c>
      <x:c r="I37" s="89" t="str">
        <x:v>Analyst assumption</x:v>
      </x:c>
      <x:c r="J37" s="89" t="str">
        <x:v>Historical link / analyst assumption</x:v>
      </x:c>
      <x:c r="K37" s="90" t="str">
        <x:v>Analyst assumption</x:v>
      </x:c>
    </x:row>
    <x:row r="38" ht="29" customHeight="1">
      <x:c r="A38" s="88" t="str">
        <x:v>Cash investment in NWC</x:v>
      </x:c>
      <x:c r="B38" s="89" t="str">
        <x:v>VND bn</x:v>
      </x:c>
      <x:c r="C38" s="288"/>
      <x:c r="D38" s="211" t="n">
        <x:f>MAX(D16-C16,0)*'P4 Assumptions'!C49</x:f>
        <x:v>16.029463449959493</x:v>
      </x:c>
      <x:c r="E38" s="211" t="n">
        <x:f>MAX(E16-D16,0)*'P4 Assumptions'!D49</x:f>
        <x:v>16.919229482810607</x:v>
      </x:c>
      <x:c r="F38" s="211" t="n">
        <x:f>MAX(F16-E16,0)*'P4 Assumptions'!E49</x:f>
        <x:v>22.651020666534297</x:v>
      </x:c>
      <x:c r="G38" s="211" t="n">
        <x:f>MAX(G16-F16,0)*'P4 Assumptions'!F49</x:f>
        <x:v>23.796673552134525</x:v>
      </x:c>
      <x:c r="H38" s="211" t="n">
        <x:f>MAX(H16-G16,0)*'P4 Assumptions'!G49</x:f>
        <x:v>23.49057761923661</x:v>
      </x:c>
      <x:c r="I38" s="89" t="str">
        <x:v>Incremental revenue × NWC rate</x:v>
      </x:c>
      <x:c r="J38" s="89" t="str">
        <x:v>Model output</x:v>
      </x:c>
      <x:c r="K38" s="90" t="str">
        <x:v>Incremental revenue × NWC rate</x:v>
      </x:c>
    </x:row>
    <x:row r="39" ht="29" customHeight="1">
      <x:c r="A39" s="88" t="str">
        <x:v>Statutory tax rate on EBIT</x:v>
      </x:c>
      <x:c r="B39" s="89" t="str">
        <x:v>%</x:v>
      </x:c>
      <x:c r="C39" s="125" t="n">
        <x:f>'P4 Assumptions'!C50</x:f>
        <x:v>0.2</x:v>
      </x:c>
      <x:c r="D39" s="109" t="n">
        <x:f>'P4 Assumptions'!C50</x:f>
        <x:v>0.2</x:v>
      </x:c>
      <x:c r="E39" s="109" t="n">
        <x:f>'P4 Assumptions'!D50</x:f>
        <x:v>0.2</x:v>
      </x:c>
      <x:c r="F39" s="109" t="n">
        <x:f>'P4 Assumptions'!E50</x:f>
        <x:v>0.2</x:v>
      </x:c>
      <x:c r="G39" s="109" t="n">
        <x:f>'P4 Assumptions'!F50</x:f>
        <x:v>0.2</x:v>
      </x:c>
      <x:c r="H39" s="109" t="n">
        <x:f>'P4 Assumptions'!G50</x:f>
        <x:v>0.2</x:v>
      </x:c>
      <x:c r="I39" s="89" t="str">
        <x:v>FCFF tax assumption</x:v>
      </x:c>
      <x:c r="J39" s="89" t="str">
        <x:v>Historical link / analyst assumption</x:v>
      </x:c>
      <x:c r="K39" s="90" t="str">
        <x:v>FCFF tax assumption</x:v>
      </x:c>
    </x:row>
    <x:row r="40" ht="29" customHeight="1">
      <x:c r="A40" s="499" t="str">
        <x:v>FCFF</x:v>
      </x:c>
      <x:c r="B40" s="500" t="str">
        <x:v>VND bn</x:v>
      </x:c>
      <x:c r="C40" s="501"/>
      <x:c r="D40" s="501" t="n">
        <x:f>D19*(1-D39)+D36-D37-D38</x:f>
        <x:v>597.6501937209472</x:v>
      </x:c>
      <x:c r="E40" s="501" t="n">
        <x:f>E19*(1-E39)+E36-E37-E38</x:f>
        <x:v>1096.6696376701886</x:v>
      </x:c>
      <x:c r="F40" s="501" t="n">
        <x:f>F19*(1-F39)+F36-F37-F38</x:f>
        <x:v>1684.1035259928767</x:v>
      </x:c>
      <x:c r="G40" s="501" t="n">
        <x:f>G19*(1-G39)+G36-G37-G38</x:f>
        <x:v>2218.702664930385</x:v>
      </x:c>
      <x:c r="H40" s="501" t="n">
        <x:f>H19*(1-H39)+H36-H37-H38</x:f>
        <x:v>2660.59907091247</x:v>
      </x:c>
      <x:c r="I40" s="500" t="str">
        <x:v>EBIT after statutory tax + D&amp;A - capex - NWC</x:v>
      </x:c>
      <x:c r="J40" s="500" t="str">
        <x:v>Model output</x:v>
      </x:c>
      <x:c r="K40" s="500" t="str">
        <x:v>EBIT after statutory tax + D&amp;A - capex - NWC</x:v>
      </x:c>
    </x:row>
    <x:row r="41" ht="29" customHeight="1">
      <x:c r="A41" s="502" t="str">
        <x:v>FCFF margin</x:v>
      </x:c>
      <x:c r="B41" s="503" t="str">
        <x:v>%</x:v>
      </x:c>
      <x:c r="C41" s="514"/>
      <x:c r="D41" s="514" t="n">
        <x:f>D40/D16</x:f>
        <x:v>0.08844252002679638</x:v>
      </x:c>
      <x:c r="E41" s="514" t="n">
        <x:f>E40/E16</x:f>
        <x:v>0.14423297364584164</x:v>
      </x:c>
      <x:c r="F41" s="514" t="n">
        <x:f>F40/F16</x:f>
        <x:v>0.19277717603956368</x:v>
      </x:c>
      <x:c r="G41" s="514" t="n">
        <x:f>G40/G16</x:f>
        <x:v>0.22352784494819536</x:v>
      </x:c>
      <x:c r="H41" s="514" t="n">
        <x:f>H40/H16</x:f>
        <x:v>0.2396855441298387</x:v>
      </x:c>
      <x:c r="I41" s="503" t="str">
        <x:v>FCFF divided by revenue</x:v>
      </x:c>
      <x:c r="J41" s="503" t="str">
        <x:v>Model output</x:v>
      </x:c>
      <x:c r="K41" s="503" t="str">
        <x:v>FCFF divided by revenue</x:v>
      </x:c>
    </x:row>
    <x:row r="44" ht="22" customHeight="1">
      <x:c r="A44" s="446" t="str">
        <x:v>Bull case — 2025A to 2030E</x:v>
      </x:c>
      <x:c r="B44" s="446" t="str">
        <x:v>Bull case — 2025A to 2030E</x:v>
      </x:c>
      <x:c r="C44" s="446" t="str">
        <x:v>Bull case — 2025A to 2030E</x:v>
      </x:c>
      <x:c r="D44" s="446" t="str">
        <x:v>Bull case — 2025A to 2030E</x:v>
      </x:c>
      <x:c r="E44" s="446" t="str">
        <x:v>Bull case — 2025A to 2030E</x:v>
      </x:c>
      <x:c r="F44" s="446" t="str">
        <x:v>Bull case — 2025A to 2030E</x:v>
      </x:c>
      <x:c r="G44" s="446" t="str">
        <x:v>Bull case — 2025A to 2030E</x:v>
      </x:c>
      <x:c r="H44" s="446" t="str">
        <x:v>Bull case — 2025A to 2030E</x:v>
      </x:c>
      <x:c r="I44" s="446" t="str">
        <x:v>Bull case — 2025A to 2030E</x:v>
      </x:c>
      <x:c r="J44" s="446" t="str">
        <x:v>Bull case — 2025A to 2030E</x:v>
      </x:c>
      <x:c r="K44" s="446" t="str">
        <x:v>Bull case — 2025A to 2030E</x:v>
      </x:c>
    </x:row>
    <x:row r="45" ht="32" customHeight="1">
      <x:c r="A45" s="421" t="str">
        <x:v>Metric</x:v>
      </x:c>
      <x:c r="B45" s="421" t="str">
        <x:v>Unit</x:v>
      </x:c>
      <x:c r="C45" s="491" t="n">
        <x:v>46022</x:v>
      </x:c>
      <x:c r="D45" s="433" t="n">
        <x:v>46387</x:v>
      </x:c>
      <x:c r="E45" s="433" t="n">
        <x:v>46752</x:v>
      </x:c>
      <x:c r="F45" s="433" t="n">
        <x:v>47118</x:v>
      </x:c>
      <x:c r="G45" s="433" t="n">
        <x:v>47483</x:v>
      </x:c>
      <x:c r="H45" s="433" t="n">
        <x:v>47848</x:v>
      </x:c>
      <x:c r="I45" s="421" t="str">
        <x:v>Source / driver</x:v>
      </x:c>
      <x:c r="J45" s="421" t="str">
        <x:v>Data class</x:v>
      </x:c>
      <x:c r="K45" s="421" t="str">
        <x:v>Audit note</x:v>
      </x:c>
    </x:row>
    <x:row r="46" ht="29" customHeight="1">
      <x:c r="A46" s="85" t="str">
        <x:v>National container throughput</x:v>
      </x:c>
      <x:c r="B46" s="86" t="str">
        <x:v>m TEU</x:v>
      </x:c>
      <x:c r="C46" s="317" t="n">
        <x:f>'P4 Assumptions'!C6</x:f>
        <x:v>34</x:v>
      </x:c>
      <x:c r="D46" s="133" t="n">
        <x:f>C46*(1+D47)</x:f>
        <x:v>38.760000000000005</x:v>
      </x:c>
      <x:c r="E46" s="133" t="n">
        <x:f>D46*(1+E47)</x:f>
        <x:v>43.41120000000001</x:v>
      </x:c>
      <x:c r="F46" s="133" t="n">
        <x:f>E46*(1+F47)</x:f>
        <x:v>47.75232000000001</x:v>
      </x:c>
      <x:c r="G46" s="133" t="n">
        <x:f>F46*(1+G47)</x:f>
        <x:v>51.572505600000014</x:v>
      </x:c>
      <x:c r="H46" s="133" t="n">
        <x:f>G46*(1+H47)</x:f>
        <x:v>55.18258099200002</x:v>
      </x:c>
      <x:c r="I46" s="86" t="str">
        <x:v>Macro-to-volume</x:v>
      </x:c>
      <x:c r="J46" s="86" t="str">
        <x:v>Model output</x:v>
      </x:c>
      <x:c r="K46" s="87" t="str">
        <x:v>Macro-to-volume</x:v>
      </x:c>
    </x:row>
    <x:row r="47" ht="29" customHeight="1">
      <x:c r="A47" s="88" t="str">
        <x:v>National throughput growth</x:v>
      </x:c>
      <x:c r="B47" s="89" t="str">
        <x:v>%</x:v>
      </x:c>
      <x:c r="C47" s="125"/>
      <x:c r="D47" s="109" t="n">
        <x:f>'P4 Assumptions'!C56</x:f>
        <x:v>0.14</x:v>
      </x:c>
      <x:c r="E47" s="109" t="n">
        <x:f>'P4 Assumptions'!D56</x:f>
        <x:v>0.12</x:v>
      </x:c>
      <x:c r="F47" s="109" t="n">
        <x:f>'P4 Assumptions'!E56</x:f>
        <x:v>0.1</x:v>
      </x:c>
      <x:c r="G47" s="109" t="n">
        <x:f>'P4 Assumptions'!F56</x:f>
        <x:v>0.08</x:v>
      </x:c>
      <x:c r="H47" s="109" t="n">
        <x:f>'P4 Assumptions'!G56</x:f>
        <x:v>0.07</x:v>
      </x:c>
      <x:c r="I47" s="89" t="str">
        <x:v>Analyst assumption</x:v>
      </x:c>
      <x:c r="J47" s="89" t="str">
        <x:v>Historical link / analyst assumption</x:v>
      </x:c>
      <x:c r="K47" s="90" t="str">
        <x:v>Analyst assumption</x:v>
      </x:c>
    </x:row>
    <x:row r="48" ht="29" customHeight="1">
      <x:c r="A48" s="88" t="str">
        <x:v>GMD system throughput</x:v>
      </x:c>
      <x:c r="B48" s="89" t="str">
        <x:v>m TEU</x:v>
      </x:c>
      <x:c r="C48" s="348" t="n">
        <x:f>'P3 Port Drivers'!G6</x:f>
        <x:v>5.079</x:v>
      </x:c>
      <x:c r="D48" s="134" t="n">
        <x:f>D46*D50</x:f>
        <x:v>5.969040000000001</x:v>
      </x:c>
      <x:c r="E48" s="134" t="n">
        <x:f>E46*E50</x:f>
        <x:v>6.945792000000002</x:v>
      </x:c>
      <x:c r="F48" s="134" t="n">
        <x:f>F46*F50</x:f>
        <x:v>8.356656000000001</x:v>
      </x:c>
      <x:c r="G48" s="134" t="n">
        <x:f>G46*G50</x:f>
        <x:v>9.540913536000003</x:v>
      </x:c>
      <x:c r="H48" s="134" t="n">
        <x:f>H46*H50</x:f>
        <x:v>10.484690388480004</x:v>
      </x:c>
      <x:c r="I48" s="89" t="str">
        <x:v>National TEU × GMD share</x:v>
      </x:c>
      <x:c r="J48" s="89" t="str">
        <x:v>Model output</x:v>
      </x:c>
      <x:c r="K48" s="90" t="str">
        <x:v>National TEU × GMD share</x:v>
      </x:c>
    </x:row>
    <x:row r="49" ht="29" customHeight="1">
      <x:c r="A49" s="88" t="str">
        <x:v>GMD throughput growth</x:v>
      </x:c>
      <x:c r="B49" s="89" t="str">
        <x:v>%</x:v>
      </x:c>
      <x:c r="C49" s="125" t="n">
        <x:f>'P3 Port Drivers'!G7</x:f>
        <x:v>0.14520856820744088</x:v>
      </x:c>
      <x:c r="D49" s="109" t="n">
        <x:f>D48/C48-1</x:f>
        <x:v>0.17523922031896055</x:v>
      </x:c>
      <x:c r="E49" s="109" t="n">
        <x:f>E48/D48-1</x:f>
        <x:v>0.1636363636363638</x:v>
      </x:c>
      <x:c r="F49" s="109" t="n">
        <x:f>F48/E48-1</x:f>
        <x:v>0.20312499999999978</x:v>
      </x:c>
      <x:c r="G49" s="109" t="n">
        <x:f>G48/F48-1</x:f>
        <x:v>0.1417142857142859</x:v>
      </x:c>
      <x:c r="H49" s="109" t="n">
        <x:f>H48/G48-1</x:f>
        <x:v>0.09891891891891902</x:v>
      </x:c>
      <x:c r="I49" s="89" t="str">
        <x:v>Model output</x:v>
      </x:c>
      <x:c r="J49" s="89" t="str">
        <x:v>Model output</x:v>
      </x:c>
      <x:c r="K49" s="90" t="str">
        <x:v>Model output</x:v>
      </x:c>
    </x:row>
    <x:row r="50" ht="29" customHeight="1">
      <x:c r="A50" s="88" t="str">
        <x:v>GMD share of national throughput</x:v>
      </x:c>
      <x:c r="B50" s="89" t="str">
        <x:v>%</x:v>
      </x:c>
      <x:c r="C50" s="125" t="n">
        <x:f>C48/C46</x:f>
        <x:v>0.14938235294117647</x:v>
      </x:c>
      <x:c r="D50" s="109" t="n">
        <x:f>'P4 Assumptions'!C57</x:f>
        <x:v>0.154</x:v>
      </x:c>
      <x:c r="E50" s="109" t="n">
        <x:f>'P4 Assumptions'!D57</x:f>
        <x:v>0.16</x:v>
      </x:c>
      <x:c r="F50" s="109" t="n">
        <x:f>'P4 Assumptions'!E57</x:f>
        <x:v>0.175</x:v>
      </x:c>
      <x:c r="G50" s="109" t="n">
        <x:f>'P4 Assumptions'!F57</x:f>
        <x:v>0.185</x:v>
      </x:c>
      <x:c r="H50" s="109" t="n">
        <x:f>'P4 Assumptions'!G57</x:f>
        <x:v>0.19</x:v>
      </x:c>
      <x:c r="I50" s="89" t="str">
        <x:v>Analyst assumption</x:v>
      </x:c>
      <x:c r="J50" s="89" t="str">
        <x:v>Historical link / analyst assumption</x:v>
      </x:c>
      <x:c r="K50" s="90" t="str">
        <x:v>Analyst assumption</x:v>
      </x:c>
    </x:row>
    <x:row r="51" ht="29" customHeight="1">
      <x:c r="A51" s="88" t="str">
        <x:v>Implied port unit/mix/scope proxy</x:v>
      </x:c>
      <x:c r="B51" s="89" t="str">
        <x:v>VND '000/TEU</x:v>
      </x:c>
      <x:c r="C51" s="288" t="n">
        <x:f>'P3 Port Drivers'!G10</x:f>
        <x:v>1034.5004154361095</x:v>
      </x:c>
      <x:c r="D51" s="211" t="n">
        <x:f>C51*(1+D52)</x:f>
        <x:v>1075.880432053554</x:v>
      </x:c>
      <x:c r="E51" s="211" t="n">
        <x:f>D51*(1+E52)</x:f>
        <x:v>1118.9156493356961</x:v>
      </x:c>
      <x:c r="F51" s="211" t="n">
        <x:f>E51*(1+F52)</x:f>
        <x:v>1163.672275309124</x:v>
      </x:c>
      <x:c r="G51" s="211" t="n">
        <x:f>F51*(1+G52)</x:f>
        <x:v>1204.4008049449433</x:v>
      </x:c>
      <x:c r="H51" s="211" t="n">
        <x:f>G51*(1+H52)</x:f>
        <x:v>1246.5548331180162</x:v>
      </x:c>
      <x:c r="I51" s="89" t="str">
        <x:v>2025 proxy rolled by scenario growth</x:v>
      </x:c>
      <x:c r="J51" s="89" t="str">
        <x:v>Model output</x:v>
      </x:c>
      <x:c r="K51" s="90" t="str">
        <x:v>2025 proxy rolled by scenario growth</x:v>
      </x:c>
    </x:row>
    <x:row r="52" ht="29" customHeight="1">
      <x:c r="A52" s="88" t="str">
        <x:v>Unit/mix/scope proxy growth</x:v>
      </x:c>
      <x:c r="B52" s="89" t="str">
        <x:v>%</x:v>
      </x:c>
      <x:c r="C52" s="125" t="n">
        <x:f>'P3 Port Drivers'!G11</x:f>
        <x:v>0.09478481195255428</x:v>
      </x:c>
      <x:c r="D52" s="109" t="n">
        <x:f>'P4 Assumptions'!C58</x:f>
        <x:v>0.04</x:v>
      </x:c>
      <x:c r="E52" s="109" t="n">
        <x:f>'P4 Assumptions'!D58</x:f>
        <x:v>0.04</x:v>
      </x:c>
      <x:c r="F52" s="109" t="n">
        <x:f>'P4 Assumptions'!E58</x:f>
        <x:v>0.04</x:v>
      </x:c>
      <x:c r="G52" s="109" t="n">
        <x:f>'P4 Assumptions'!F58</x:f>
        <x:v>0.035</x:v>
      </x:c>
      <x:c r="H52" s="109" t="n">
        <x:f>'P4 Assumptions'!G58</x:f>
        <x:v>0.035</x:v>
      </x:c>
      <x:c r="I52" s="89" t="str">
        <x:v>Analyst assumption</x:v>
      </x:c>
      <x:c r="J52" s="89" t="str">
        <x:v>Historical link / analyst assumption</x:v>
      </x:c>
      <x:c r="K52" s="90" t="str">
        <x:v>Analyst assumption</x:v>
      </x:c>
    </x:row>
    <x:row r="53" ht="29" customHeight="1">
      <x:c r="A53" s="88" t="str">
        <x:v>Port external revenue</x:v>
      </x:c>
      <x:c r="B53" s="89" t="str">
        <x:v>VND bn</x:v>
      </x:c>
      <x:c r="C53" s="288" t="n">
        <x:f>'P3 Port Drivers'!G8</x:f>
        <x:v>5254.22761</x:v>
      </x:c>
      <x:c r="D53" s="211" t="n">
        <x:f>D48*D51</x:f>
        <x:v>6421.973334144946</x:v>
      </x:c>
      <x:c r="E53" s="211" t="n">
        <x:f>E48*E51</x:f>
        <x:v>7771.755365830685</x:v>
      </x:c>
      <x:c r="F53" s="211" t="n">
        <x:f>F48*F51</x:f>
        <x:v>9724.408901495644</x:v>
      </x:c>
      <x:c r="G53" s="211" t="n">
        <x:f>G48*G51</x:f>
        <x:v>11491.083942668509</x:v>
      </x:c>
      <x:c r="H53" s="211" t="n">
        <x:f>H48*H51</x:f>
        <x:v>13069.74147750576</x:v>
      </x:c>
      <x:c r="I53" s="89" t="str">
        <x:v>Throughput × unit/mix proxy</x:v>
      </x:c>
      <x:c r="J53" s="89" t="str">
        <x:v>Model output</x:v>
      </x:c>
      <x:c r="K53" s="90" t="str">
        <x:v>Throughput × unit/mix proxy</x:v>
      </x:c>
    </x:row>
    <x:row r="54" ht="29" customHeight="1">
      <x:c r="A54" s="88" t="str">
        <x:v>Logistics external revenue</x:v>
      </x:c>
      <x:c r="B54" s="89" t="str">
        <x:v>VND bn</x:v>
      </x:c>
      <x:c r="C54" s="288" t="n">
        <x:f>'P3 Historical IS'!G50</x:f>
        <x:v>693.74057</x:v>
      </x:c>
      <x:c r="D54" s="211" t="n">
        <x:f>C54*(1+'P4 Assumptions'!C59)</x:f>
        <x:v>742.3024099</x:v>
      </x:c>
      <x:c r="E54" s="211" t="n">
        <x:f>D54*(1+'P4 Assumptions'!D59)</x:f>
        <x:v>801.6866026920001</x:v>
      </x:c>
      <x:c r="F54" s="211" t="n">
        <x:f>E54*(1+'P4 Assumptions'!E59)</x:f>
        <x:v>865.8215309073602</x:v>
      </x:c>
      <x:c r="G54" s="211" t="n">
        <x:f>F54*(1+'P4 Assumptions'!F59)</x:f>
        <x:v>926.4290380708754</x:v>
      </x:c>
      <x:c r="H54" s="211" t="n">
        <x:f>G54*(1+'P4 Assumptions'!G59)</x:f>
        <x:v>991.2790707358367</x:v>
      </x:c>
      <x:c r="I54" s="89" t="str">
        <x:v>Separate segment growth</x:v>
      </x:c>
      <x:c r="J54" s="89" t="str">
        <x:v>Model output</x:v>
      </x:c>
      <x:c r="K54" s="90" t="str">
        <x:v>Separate segment growth</x:v>
      </x:c>
    </x:row>
    <x:row r="55" ht="29" customHeight="1">
      <x:c r="A55" s="88" t="str">
        <x:v>Other external revenue</x:v>
      </x:c>
      <x:c r="B55" s="89" t="str">
        <x:v>VND bn</x:v>
      </x:c>
      <x:c r="C55" s="288" t="n">
        <x:f>'P3 Historical IS'!G51</x:f>
        <x:v>8.057116</x:v>
      </x:c>
      <x:c r="D55" s="211" t="n">
        <x:f>C55*(1+'P4 Assumptions'!C60)</x:f>
        <x:v>8.057116</x:v>
      </x:c>
      <x:c r="E55" s="211" t="n">
        <x:f>D55*(1+'P4 Assumptions'!D60)</x:f>
        <x:v>8.057116</x:v>
      </x:c>
      <x:c r="F55" s="211" t="n">
        <x:f>E55*(1+'P4 Assumptions'!E60)</x:f>
        <x:v>8.057116</x:v>
      </x:c>
      <x:c r="G55" s="211" t="n">
        <x:f>F55*(1+'P4 Assumptions'!F60)</x:f>
        <x:v>8.057116</x:v>
      </x:c>
      <x:c r="H55" s="211" t="n">
        <x:f>G55*(1+'P4 Assumptions'!G60)</x:f>
        <x:v>8.057116</x:v>
      </x:c>
      <x:c r="I55" s="89" t="str">
        <x:v>Residual segment</x:v>
      </x:c>
      <x:c r="J55" s="89" t="str">
        <x:v>Model output</x:v>
      </x:c>
      <x:c r="K55" s="90" t="str">
        <x:v>Residual segment</x:v>
      </x:c>
    </x:row>
    <x:row r="56" ht="29" customHeight="1">
      <x:c r="A56" s="459" t="str">
        <x:v>Consolidated net revenue</x:v>
      </x:c>
      <x:c r="B56" s="460" t="str">
        <x:v>VND bn</x:v>
      </x:c>
      <x:c r="C56" s="495" t="n">
        <x:f>'P3 Historical IS'!G6</x:f>
        <x:v>5956.025297015</x:v>
      </x:c>
      <x:c r="D56" s="495" t="n">
        <x:f>SUM(D53:D55)</x:f>
        <x:v>7172.332860044947</x:v>
      </x:c>
      <x:c r="E56" s="495" t="n">
        <x:f>SUM(E53:E55)</x:f>
        <x:v>8581.499084522686</x:v>
      </x:c>
      <x:c r="F56" s="495" t="n">
        <x:f>SUM(F53:F55)</x:f>
        <x:v>10598.287548403005</x:v>
      </x:c>
      <x:c r="G56" s="495" t="n">
        <x:f>SUM(G53:G55)</x:f>
        <x:v>12425.570096739384</x:v>
      </x:c>
      <x:c r="H56" s="495" t="n">
        <x:f>SUM(H53:H55)</x:f>
        <x:v>14069.077664241597</x:v>
      </x:c>
      <x:c r="I56" s="460" t="str">
        <x:v>Sum of external segment revenue</x:v>
      </x:c>
      <x:c r="J56" s="460" t="str">
        <x:v>Model output</x:v>
      </x:c>
      <x:c r="K56" s="460" t="str">
        <x:v>Sum of external segment revenue</x:v>
      </x:c>
    </x:row>
    <x:row r="57" ht="29" customHeight="1">
      <x:c r="A57" s="88" t="str">
        <x:v>Revenue growth</x:v>
      </x:c>
      <x:c r="B57" s="89" t="str">
        <x:v>%</x:v>
      </x:c>
      <x:c r="C57" s="125" t="n">
        <x:f>'GMD Historical'!B12/'GMD Historical'!B11-1</x:f>
        <x:v>0.23261480327991846</x:v>
      </x:c>
      <x:c r="D57" s="109" t="n">
        <x:f>D56/C56-1</x:f>
        <x:v>0.20421464019629454</x:v>
      </x:c>
      <x:c r="E57" s="109" t="n">
        <x:f>E56/D56-1</x:f>
        <x:v>0.1964725078959746</x:v>
      </x:c>
      <x:c r="F57" s="109" t="n">
        <x:f>F56/E56-1</x:f>
        <x:v>0.2350158689077686</x:v>
      </x:c>
      <x:c r="G57" s="109" t="n">
        <x:f>G56/F56-1</x:f>
        <x:v>0.17241299974086122</x:v>
      </x:c>
      <x:c r="H57" s="109" t="n">
        <x:f>H56/G56-1</x:f>
        <x:v>0.13226818203967072</x:v>
      </x:c>
      <x:c r="I57" s="89" t="str">
        <x:v>Model output</x:v>
      </x:c>
      <x:c r="J57" s="89" t="str">
        <x:v>Model output</x:v>
      </x:c>
      <x:c r="K57" s="90" t="str">
        <x:v>Model output</x:v>
      </x:c>
    </x:row>
    <x:row r="58" ht="29" customHeight="1">
      <x:c r="A58" s="88" t="str">
        <x:v>Consolidated operating margin</x:v>
      </x:c>
      <x:c r="B58" s="89" t="str">
        <x:v>%</x:v>
      </x:c>
      <x:c r="C58" s="125" t="n">
        <x:f>'P3 Historical IS'!G13</x:f>
        <x:v>0.27652039677743034</x:v>
      </x:c>
      <x:c r="D58" s="109" t="n">
        <x:f>'P4 Assumptions'!C61</x:f>
        <x:v>0.285</x:v>
      </x:c>
      <x:c r="E58" s="109" t="n">
        <x:f>'P4 Assumptions'!D61</x:f>
        <x:v>0.295</x:v>
      </x:c>
      <x:c r="F58" s="109" t="n">
        <x:f>'P4 Assumptions'!E61</x:f>
        <x:v>0.305</x:v>
      </x:c>
      <x:c r="G58" s="109" t="n">
        <x:f>'P4 Assumptions'!F61</x:f>
        <x:v>0.31</x:v>
      </x:c>
      <x:c r="H58" s="109" t="n">
        <x:f>'P4 Assumptions'!G61</x:f>
        <x:v>0.315</x:v>
      </x:c>
      <x:c r="I58" s="89" t="str">
        <x:v>Before financial/associate/other items</x:v>
      </x:c>
      <x:c r="J58" s="89" t="str">
        <x:v>Historical link / analyst assumption</x:v>
      </x:c>
      <x:c r="K58" s="90" t="str">
        <x:v>Before financial/associate/other items</x:v>
      </x:c>
    </x:row>
    <x:row r="59" ht="29" customHeight="1">
      <x:c r="A59" s="88" t="str">
        <x:v>Consolidated EBIT before financial/associate/other</x:v>
      </x:c>
      <x:c r="B59" s="89" t="str">
        <x:v>VND bn</x:v>
      </x:c>
      <x:c r="C59" s="288" t="n">
        <x:f>'P3 Historical IS'!G12</x:f>
        <x:v>1646.9624783470003</x:v>
      </x:c>
      <x:c r="D59" s="211" t="n">
        <x:f>D56*D58</x:f>
        <x:v>2044.1148651128096</x:v>
      </x:c>
      <x:c r="E59" s="211" t="n">
        <x:f>E56*E58</x:f>
        <x:v>2531.542229934192</x:v>
      </x:c>
      <x:c r="F59" s="211" t="n">
        <x:f>F56*F58</x:f>
        <x:v>3232.4777022629164</x:v>
      </x:c>
      <x:c r="G59" s="211" t="n">
        <x:f>G56*G58</x:f>
        <x:v>3851.926729989209</x:v>
      </x:c>
      <x:c r="H59" s="211" t="n">
        <x:f>H56*H58</x:f>
        <x:v>4431.759464236103</x:v>
      </x:c>
      <x:c r="I59" s="89" t="str">
        <x:v>Revenue × operating margin</x:v>
      </x:c>
      <x:c r="J59" s="89" t="str">
        <x:v>Model output</x:v>
      </x:c>
      <x:c r="K59" s="90" t="str">
        <x:v>Revenue × operating margin</x:v>
      </x:c>
    </x:row>
    <x:row r="60" ht="29" customHeight="1">
      <x:c r="A60" s="88" t="str">
        <x:v>Financial income</x:v>
      </x:c>
      <x:c r="B60" s="89" t="str">
        <x:v>VND bn</x:v>
      </x:c>
      <x:c r="C60" s="288" t="n">
        <x:f>'P3 Historical IS'!G17</x:f>
        <x:v>228.485206429</x:v>
      </x:c>
      <x:c r="D60" s="211" t="n">
        <x:f>'P4 Assumptions'!C62</x:f>
        <x:v>230</x:v>
      </x:c>
      <x:c r="E60" s="211" t="n">
        <x:f>'P4 Assumptions'!D62</x:f>
        <x:v>225</x:v>
      </x:c>
      <x:c r="F60" s="211" t="n">
        <x:f>'P4 Assumptions'!E62</x:f>
        <x:v>220</x:v>
      </x:c>
      <x:c r="G60" s="211" t="n">
        <x:f>'P4 Assumptions'!F62</x:f>
        <x:v>215</x:v>
      </x:c>
      <x:c r="H60" s="211" t="n">
        <x:f>'P4 Assumptions'!G62</x:f>
        <x:v>210</x:v>
      </x:c>
      <x:c r="I60" s="89" t="str">
        <x:v>Analyst assumption</x:v>
      </x:c>
      <x:c r="J60" s="89" t="str">
        <x:v>Historical link / analyst assumption</x:v>
      </x:c>
      <x:c r="K60" s="90" t="str">
        <x:v>Analyst assumption</x:v>
      </x:c>
    </x:row>
    <x:row r="61" ht="29" customHeight="1">
      <x:c r="A61" s="88" t="str">
        <x:v>Financial expense</x:v>
      </x:c>
      <x:c r="B61" s="89" t="str">
        <x:v>VND bn</x:v>
      </x:c>
      <x:c r="C61" s="288" t="n">
        <x:f>'P3 Historical IS'!G18</x:f>
        <x:v>118.711817693</x:v>
      </x:c>
      <x:c r="D61" s="211" t="n">
        <x:f>'P4 Assumptions'!C63</x:f>
        <x:v>115</x:v>
      </x:c>
      <x:c r="E61" s="211" t="n">
        <x:f>'P4 Assumptions'!D63</x:f>
        <x:v>115</x:v>
      </x:c>
      <x:c r="F61" s="211" t="n">
        <x:f>'P4 Assumptions'!E63</x:f>
        <x:v>120</x:v>
      </x:c>
      <x:c r="G61" s="211" t="n">
        <x:f>'P4 Assumptions'!F63</x:f>
        <x:v>125</x:v>
      </x:c>
      <x:c r="H61" s="211" t="n">
        <x:f>'P4 Assumptions'!G63</x:f>
        <x:v>130</x:v>
      </x:c>
      <x:c r="I61" s="89" t="str">
        <x:v>Analyst assumption</x:v>
      </x:c>
      <x:c r="J61" s="89" t="str">
        <x:v>Historical link / analyst assumption</x:v>
      </x:c>
      <x:c r="K61" s="90" t="str">
        <x:v>Analyst assumption</x:v>
      </x:c>
    </x:row>
    <x:row r="62" ht="29" customHeight="1">
      <x:c r="A62" s="88" t="str">
        <x:v>Gemalink associate contribution</x:v>
      </x:c>
      <x:c r="B62" s="89" t="str">
        <x:v>VND bn</x:v>
      </x:c>
      <x:c r="C62" s="288" t="n">
        <x:f>'P3 Associates'!G7</x:f>
        <x:v>826.81</x:v>
      </x:c>
      <x:c r="D62" s="211" t="n">
        <x:f>C62*(1+'P4 Assumptions'!C65)</x:f>
        <x:v>950.8314999999999</x:v>
      </x:c>
      <x:c r="E62" s="211" t="n">
        <x:f>D62*(1+'P4 Assumptions'!D65)</x:f>
        <x:v>1093.456225</x:v>
      </x:c>
      <x:c r="F62" s="211" t="n">
        <x:f>E62*(1+'P4 Assumptions'!E65)</x:f>
        <x:v>1476.1659037499999</x:v>
      </x:c>
      <x:c r="G62" s="211" t="n">
        <x:f>F62*(1+'P4 Assumptions'!F65)</x:f>
        <x:v>1800.9224025749998</x:v>
      </x:c>
      <x:c r="H62" s="211" t="n">
        <x:f>G62*(1+'P4 Assumptions'!G65)</x:f>
        <x:v>2071.0607629612496</x:v>
      </x:c>
      <x:c r="I62" s="89" t="str">
        <x:v>Separate equity-accounted forecast</x:v>
      </x:c>
      <x:c r="J62" s="89" t="str">
        <x:v>Model output</x:v>
      </x:c>
      <x:c r="K62" s="90" t="str">
        <x:v>Separate equity-accounted forecast</x:v>
      </x:c>
    </x:row>
    <x:row r="63" ht="29" customHeight="1">
      <x:c r="A63" s="88" t="str">
        <x:v>SCS associate contribution</x:v>
      </x:c>
      <x:c r="B63" s="89" t="str">
        <x:v>VND bn</x:v>
      </x:c>
      <x:c r="C63" s="288" t="n">
        <x:f>'P3 Associates'!G8</x:f>
        <x:v>258.588</x:v>
      </x:c>
      <x:c r="D63" s="211" t="n">
        <x:f>C63*(1+'P4 Assumptions'!C66)</x:f>
        <x:v>281.86092</x:v>
      </x:c>
      <x:c r="E63" s="211" t="n">
        <x:f>D63*(1+'P4 Assumptions'!D66)</x:f>
        <x:v>307.2284028</x:v>
      </x:c>
      <x:c r="F63" s="211" t="n">
        <x:f>E63*(1+'P4 Assumptions'!E66)</x:f>
        <x:v>334.878959052</x:v>
      </x:c>
      <x:c r="G63" s="211" t="n">
        <x:f>F63*(1+'P4 Assumptions'!F66)</x:f>
        <x:v>361.6692757761601</x:v>
      </x:c>
      <x:c r="H63" s="211" t="n">
        <x:f>G63*(1+'P4 Assumptions'!G66)</x:f>
        <x:v>390.6028178382529</x:v>
      </x:c>
      <x:c r="I63" s="89" t="str">
        <x:v>Separate equity-accounted forecast</x:v>
      </x:c>
      <x:c r="J63" s="89" t="str">
        <x:v>Model output</x:v>
      </x:c>
      <x:c r="K63" s="90" t="str">
        <x:v>Separate equity-accounted forecast</x:v>
      </x:c>
    </x:row>
    <x:row r="64" ht="29" customHeight="1">
      <x:c r="A64" s="88" t="str">
        <x:v>CJ Gemadept Logistics contribution</x:v>
      </x:c>
      <x:c r="B64" s="89" t="str">
        <x:v>VND bn</x:v>
      </x:c>
      <x:c r="C64" s="288" t="n">
        <x:f>'P3 Associates'!G9</x:f>
        <x:v>46.182</x:v>
      </x:c>
      <x:c r="D64" s="211" t="n">
        <x:f>C64*(1+'P4 Assumptions'!C67)</x:f>
        <x:v>49.876560000000005</x:v>
      </x:c>
      <x:c r="E64" s="211" t="n">
        <x:f>D64*(1+'P4 Assumptions'!D67)</x:f>
        <x:v>53.86668480000001</x:v>
      </x:c>
      <x:c r="F64" s="211" t="n">
        <x:f>E64*(1+'P4 Assumptions'!E67)</x:f>
        <x:v>58.17601958400002</x:v>
      </x:c>
      <x:c r="G64" s="211" t="n">
        <x:f>F64*(1+'P4 Assumptions'!F67)</x:f>
        <x:v>62.83010115072002</x:v>
      </x:c>
      <x:c r="H64" s="211" t="n">
        <x:f>G64*(1+'P4 Assumptions'!G67)</x:f>
        <x:v>67.85650924277762</x:v>
      </x:c>
      <x:c r="I64" s="89" t="str">
        <x:v>Separate equity-accounted forecast</x:v>
      </x:c>
      <x:c r="J64" s="89" t="str">
        <x:v>Model output</x:v>
      </x:c>
      <x:c r="K64" s="90" t="str">
        <x:v>Separate equity-accounted forecast</x:v>
      </x:c>
    </x:row>
    <x:row r="65" ht="29" customHeight="1">
      <x:c r="A65" s="88" t="str">
        <x:v>Other associate contribution</x:v>
      </x:c>
      <x:c r="B65" s="89" t="str">
        <x:v>VND bn</x:v>
      </x:c>
      <x:c r="C65" s="288" t="n">
        <x:f>'P3 Associates'!G10</x:f>
        <x:v>26.07937794700001</x:v>
      </x:c>
      <x:c r="D65" s="211" t="n">
        <x:f>C65*(1+'P4 Assumptions'!C68)</x:f>
        <x:v>27.644140623820014</x:v>
      </x:c>
      <x:c r="E65" s="211" t="n">
        <x:f>D65*(1+'P4 Assumptions'!D68)</x:f>
        <x:v>29.302789061249218</x:v>
      </x:c>
      <x:c r="F65" s="211" t="n">
        <x:f>E65*(1+'P4 Assumptions'!E68)</x:f>
        <x:v>31.060956404924173</x:v>
      </x:c>
      <x:c r="G65" s="211" t="n">
        <x:f>F65*(1+'P4 Assumptions'!F68)</x:f>
        <x:v>32.92461378921963</x:v>
      </x:c>
      <x:c r="H65" s="211" t="n">
        <x:f>G65*(1+'P4 Assumptions'!G68)</x:f>
        <x:v>34.900090616572804</x:v>
      </x:c>
      <x:c r="I65" s="89" t="str">
        <x:v>Residual associate forecast</x:v>
      </x:c>
      <x:c r="J65" s="89" t="str">
        <x:v>Model output</x:v>
      </x:c>
      <x:c r="K65" s="90" t="str">
        <x:v>Residual associate forecast</x:v>
      </x:c>
    </x:row>
    <x:row r="66" ht="29" customHeight="1">
      <x:c r="A66" s="88" t="str">
        <x:v>Total associates/JV profit</x:v>
      </x:c>
      <x:c r="B66" s="89" t="str">
        <x:v>VND bn</x:v>
      </x:c>
      <x:c r="C66" s="288" t="n">
        <x:f>'P3 Associates'!G6</x:f>
        <x:v>1157.659377947</x:v>
      </x:c>
      <x:c r="D66" s="211" t="n">
        <x:f>SUM(D62:D65)</x:f>
        <x:v>1310.2131206238198</x:v>
      </x:c>
      <x:c r="E66" s="211" t="n">
        <x:f>SUM(E62:E65)</x:f>
        <x:v>1483.8541016612492</x:v>
      </x:c>
      <x:c r="F66" s="211" t="n">
        <x:f>SUM(F62:F65)</x:f>
        <x:v>1900.281838790924</x:v>
      </x:c>
      <x:c r="G66" s="211" t="n">
        <x:f>SUM(G62:G65)</x:f>
        <x:v>2258.3463932910995</x:v>
      </x:c>
      <x:c r="H66" s="211" t="n">
        <x:f>SUM(H62:H65)</x:f>
        <x:v>2564.420180658853</x:v>
      </x:c>
      <x:c r="I66" s="89" t="str">
        <x:v>Sum of associate components</x:v>
      </x:c>
      <x:c r="J66" s="89" t="str">
        <x:v>Model output</x:v>
      </x:c>
      <x:c r="K66" s="90" t="str">
        <x:v>Sum of associate components</x:v>
      </x:c>
    </x:row>
    <x:row r="67" ht="29" customHeight="1">
      <x:c r="A67" s="88" t="str">
        <x:v>Other profit/(loss)</x:v>
      </x:c>
      <x:c r="B67" s="89" t="str">
        <x:v>VND bn</x:v>
      </x:c>
      <x:c r="C67" s="288" t="n">
        <x:f>'P3 Historical IS'!G21</x:f>
        <x:v>-393.56809844</x:v>
      </x:c>
      <x:c r="D67" s="211" t="n">
        <x:f>'P4 Assumptions'!C64</x:f>
        <x:v>-220</x:v>
      </x:c>
      <x:c r="E67" s="211" t="n">
        <x:f>'P4 Assumptions'!D64</x:f>
        <x:v>-220</x:v>
      </x:c>
      <x:c r="F67" s="211" t="n">
        <x:f>'P4 Assumptions'!E64</x:f>
        <x:v>-220</x:v>
      </x:c>
      <x:c r="G67" s="211" t="n">
        <x:f>'P4 Assumptions'!F64</x:f>
        <x:v>-220</x:v>
      </x:c>
      <x:c r="H67" s="211" t="n">
        <x:f>'P4 Assumptions'!G64</x:f>
        <x:v>-220</x:v>
      </x:c>
      <x:c r="I67" s="89" t="str">
        <x:v>Analyst assumption</x:v>
      </x:c>
      <x:c r="J67" s="89" t="str">
        <x:v>Historical link / analyst assumption</x:v>
      </x:c>
      <x:c r="K67" s="90" t="str">
        <x:v>Analyst assumption</x:v>
      </x:c>
    </x:row>
    <x:row r="68" ht="29" customHeight="1">
      <x:c r="A68" s="459" t="str">
        <x:v>Core PBT</x:v>
      </x:c>
      <x:c r="B68" s="460" t="str">
        <x:v>VND bn</x:v>
      </x:c>
      <x:c r="C68" s="495" t="n">
        <x:f>'P3 Historical IS'!G25</x:f>
        <x:v>2520.827</x:v>
      </x:c>
      <x:c r="D68" s="495" t="n">
        <x:f>D59+D60-D61+D66+D67</x:f>
        <x:v>3249.3279857366297</x:v>
      </x:c>
      <x:c r="E68" s="495" t="n">
        <x:f>E59+E60-E61+E66+E67</x:f>
        <x:v>3905.3963315954416</x:v>
      </x:c>
      <x:c r="F68" s="495" t="n">
        <x:f>F59+F60-F61+F66+F67</x:f>
        <x:v>5012.759541053841</x:v>
      </x:c>
      <x:c r="G68" s="495" t="n">
        <x:f>G59+G60-G61+G66+G67</x:f>
        <x:v>5980.273123280309</x:v>
      </x:c>
      <x:c r="H68" s="495" t="n">
        <x:f>H59+H60-H61+H66+H67</x:f>
        <x:v>6856.179644894955</x:v>
      </x:c>
      <x:c r="I68" s="460" t="str">
        <x:v>EBIT + net finance + associates + other</x:v>
      </x:c>
      <x:c r="J68" s="460" t="str">
        <x:v>Model output</x:v>
      </x:c>
      <x:c r="K68" s="460" t="str">
        <x:v>EBIT + net finance + associates + other</x:v>
      </x:c>
    </x:row>
    <x:row r="69" ht="29" customHeight="1">
      <x:c r="A69" s="88" t="str">
        <x:v>Core PBT margin</x:v>
      </x:c>
      <x:c r="B69" s="89" t="str">
        <x:v>%</x:v>
      </x:c>
      <x:c r="C69" s="125" t="n">
        <x:f>'P3 Historical IS'!G27</x:f>
        <x:v>0.42323980747082635</x:v>
      </x:c>
      <x:c r="D69" s="109" t="n">
        <x:f>D68/D56</x:f>
        <x:v>0.45303641773762676</x:v>
      </x:c>
      <x:c r="E69" s="109" t="n">
        <x:f>E68/E56</x:f>
        <x:v>0.4550948841373284</x:v>
      </x:c>
      <x:c r="F69" s="109" t="n">
        <x:f>F68/F56</x:f>
        <x:v>0.47297825409626526</x:v>
      </x:c>
      <x:c r="G69" s="109" t="n">
        <x:f>G68/G56</x:f>
        <x:v>0.48128762517299734</x:v>
      </x:c>
      <x:c r="H69" s="109" t="n">
        <x:f>H68/H56</x:f>
        <x:v>0.4873226098055336</x:v>
      </x:c>
      <x:c r="I69" s="89" t="str">
        <x:v>Model output</x:v>
      </x:c>
      <x:c r="J69" s="89" t="str">
        <x:v>Model output</x:v>
      </x:c>
      <x:c r="K69" s="90" t="str">
        <x:v>Model output</x:v>
      </x:c>
    </x:row>
    <x:row r="70" ht="29" customHeight="1">
      <x:c r="A70" s="88" t="str">
        <x:v>Effective PBT tax rate</x:v>
      </x:c>
      <x:c r="B70" s="89" t="str">
        <x:v>%</x:v>
      </x:c>
      <x:c r="C70" s="125" t="n">
        <x:f>('P3 Historical IS'!G38-'P3 Historical IS'!G39)/'P3 Historical IS'!G25</x:f>
        <x:v>0.0866001376683128</x:v>
      </x:c>
      <x:c r="D70" s="109" t="n">
        <x:f>'P4 Assumptions'!C69</x:f>
        <x:v>0.09</x:v>
      </x:c>
      <x:c r="E70" s="109" t="n">
        <x:f>'P4 Assumptions'!D69</x:f>
        <x:v>0.09</x:v>
      </x:c>
      <x:c r="F70" s="109" t="n">
        <x:f>'P4 Assumptions'!E69</x:f>
        <x:v>0.09</x:v>
      </x:c>
      <x:c r="G70" s="109" t="n">
        <x:f>'P4 Assumptions'!F69</x:f>
        <x:v>0.09</x:v>
      </x:c>
      <x:c r="H70" s="109" t="n">
        <x:f>'P4 Assumptions'!G69</x:f>
        <x:v>0.09</x:v>
      </x:c>
      <x:c r="I70" s="89" t="str">
        <x:v>Analyst assumption</x:v>
      </x:c>
      <x:c r="J70" s="89" t="str">
        <x:v>Historical link / analyst assumption</x:v>
      </x:c>
      <x:c r="K70" s="90" t="str">
        <x:v>Analyst assumption</x:v>
      </x:c>
    </x:row>
    <x:row r="71" ht="29" customHeight="1">
      <x:c r="A71" s="88" t="str">
        <x:v>Consolidated PAT</x:v>
      </x:c>
      <x:c r="B71" s="89" t="str">
        <x:v>VND bn</x:v>
      </x:c>
      <x:c r="C71" s="288" t="n">
        <x:f>'P3 Historical IS'!G41</x:f>
        <x:v>2302.523181352</x:v>
      </x:c>
      <x:c r="D71" s="211" t="n">
        <x:f>D68*(1-D70)</x:f>
        <x:v>2956.888467020333</x:v>
      </x:c>
      <x:c r="E71" s="211" t="n">
        <x:f>E68*(1-E70)</x:f>
        <x:v>3553.910661751852</x:v>
      </x:c>
      <x:c r="F71" s="211" t="n">
        <x:f>F68*(1-F70)</x:f>
        <x:v>4561.611182358995</x:v>
      </x:c>
      <x:c r="G71" s="211" t="n">
        <x:f>G68*(1-G70)</x:f>
        <x:v>5442.048542185082</x:v>
      </x:c>
      <x:c r="H71" s="211" t="n">
        <x:f>H68*(1-H70)</x:f>
        <x:v>6239.12347685441</x:v>
      </x:c>
      <x:c r="I71" s="89" t="str">
        <x:v>PBT after effective tax</x:v>
      </x:c>
      <x:c r="J71" s="89" t="str">
        <x:v>Model output</x:v>
      </x:c>
      <x:c r="K71" s="90" t="str">
        <x:v>PBT after effective tax</x:v>
      </x:c>
    </x:row>
    <x:row r="72" ht="29" customHeight="1">
      <x:c r="A72" s="88" t="str">
        <x:v>NCI share of PAT</x:v>
      </x:c>
      <x:c r="B72" s="89" t="str">
        <x:v>%</x:v>
      </x:c>
      <x:c r="C72" s="125" t="n">
        <x:f>'P3 Historical IS'!G44/'P3 Historical IS'!G41</x:f>
        <x:v>0.23751915311222802</x:v>
      </x:c>
      <x:c r="D72" s="109" t="n">
        <x:f>'P4 Assumptions'!C70</x:f>
        <x:v>0.2</x:v>
      </x:c>
      <x:c r="E72" s="109" t="n">
        <x:f>'P4 Assumptions'!D70</x:f>
        <x:v>0.2</x:v>
      </x:c>
      <x:c r="F72" s="109" t="n">
        <x:f>'P4 Assumptions'!E70</x:f>
        <x:v>0.2</x:v>
      </x:c>
      <x:c r="G72" s="109" t="n">
        <x:f>'P4 Assumptions'!F70</x:f>
        <x:v>0.2</x:v>
      </x:c>
      <x:c r="H72" s="109" t="n">
        <x:f>'P4 Assumptions'!G70</x:f>
        <x:v>0.2</x:v>
      </x:c>
      <x:c r="I72" s="89" t="str">
        <x:v>Analyst assumption</x:v>
      </x:c>
      <x:c r="J72" s="89" t="str">
        <x:v>Historical link / analyst assumption</x:v>
      </x:c>
      <x:c r="K72" s="90" t="str">
        <x:v>Analyst assumption</x:v>
      </x:c>
    </x:row>
    <x:row r="73" ht="29" customHeight="1">
      <x:c r="A73" s="88" t="str">
        <x:v>NCI PAT</x:v>
      </x:c>
      <x:c r="B73" s="89" t="str">
        <x:v>VND bn</x:v>
      </x:c>
      <x:c r="C73" s="288" t="n">
        <x:f>'P3 Historical IS'!G44</x:f>
        <x:v>546.893356056</x:v>
      </x:c>
      <x:c r="D73" s="211" t="n">
        <x:f>D71*D72</x:f>
        <x:v>591.3776934040666</x:v>
      </x:c>
      <x:c r="E73" s="211" t="n">
        <x:f>E71*E72</x:f>
        <x:v>710.7821323503704</x:v>
      </x:c>
      <x:c r="F73" s="211" t="n">
        <x:f>F71*F72</x:f>
        <x:v>912.3222364717991</x:v>
      </x:c>
      <x:c r="G73" s="211" t="n">
        <x:f>G71*G72</x:f>
        <x:v>1088.4097084370164</x:v>
      </x:c>
      <x:c r="H73" s="211" t="n">
        <x:f>H71*H72</x:f>
        <x:v>1247.8246953708822</x:v>
      </x:c>
      <x:c r="I73" s="89" t="str">
        <x:v>PAT × NCI share</x:v>
      </x:c>
      <x:c r="J73" s="89" t="str">
        <x:v>Model output</x:v>
      </x:c>
      <x:c r="K73" s="90" t="str">
        <x:v>PAT × NCI share</x:v>
      </x:c>
    </x:row>
    <x:row r="74" ht="29" customHeight="1">
      <x:c r="A74" s="499" t="str">
        <x:v>Parent PAT</x:v>
      </x:c>
      <x:c r="B74" s="500" t="str">
        <x:v>VND bn</x:v>
      </x:c>
      <x:c r="C74" s="501" t="n">
        <x:f>'P3 Historical IS'!G43</x:f>
        <x:v>1755.629825296</x:v>
      </x:c>
      <x:c r="D74" s="501" t="n">
        <x:f>D71-D73</x:f>
        <x:v>2365.5107736162663</x:v>
      </x:c>
      <x:c r="E74" s="501" t="n">
        <x:f>E71-E73</x:f>
        <x:v>2843.1285294014815</x:v>
      </x:c>
      <x:c r="F74" s="501" t="n">
        <x:f>F71-F73</x:f>
        <x:v>3649.2889458871964</x:v>
      </x:c>
      <x:c r="G74" s="501" t="n">
        <x:f>G71-G73</x:f>
        <x:v>4353.638833748066</x:v>
      </x:c>
      <x:c r="H74" s="501" t="n">
        <x:f>H71-H73</x:f>
        <x:v>4991.298781483528</x:v>
      </x:c>
      <x:c r="I74" s="500" t="str">
        <x:v>PAT less NCI</x:v>
      </x:c>
      <x:c r="J74" s="500" t="str">
        <x:v>Model output</x:v>
      </x:c>
      <x:c r="K74" s="500" t="str">
        <x:v>PAT less NCI</x:v>
      </x:c>
    </x:row>
    <x:row r="75" ht="29" customHeight="1">
      <x:c r="A75" s="502" t="str">
        <x:v>EPS</x:v>
      </x:c>
      <x:c r="B75" s="503" t="str">
        <x:v>VND/share</x:v>
      </x:c>
      <x:c r="C75" s="504" t="n">
        <x:f>C74*1000/'P4 Assumptions'!$C$18</x:f>
        <x:v>4116.412564290392</x:v>
      </x:c>
      <x:c r="D75" s="504" t="n">
        <x:f>D74*1000/'P4 Assumptions'!$C$18</x:f>
        <x:v>5546.396016504533</x:v>
      </x:c>
      <x:c r="E75" s="504" t="n">
        <x:f>E74*1000/'P4 Assumptions'!$C$18</x:f>
        <x:v>6666.262916983373</x:v>
      </x:c>
      <x:c r="F75" s="504" t="n">
        <x:f>F74*1000/'P4 Assumptions'!$C$18</x:f>
        <x:v>8556.46141978898</x:v>
      </x:c>
      <x:c r="G75" s="504" t="n">
        <x:f>G74*1000/'P4 Assumptions'!$C$18</x:f>
        <x:v>10207.945511862988</x:v>
      </x:c>
      <x:c r="H75" s="504" t="n">
        <x:f>H74*1000/'P4 Assumptions'!$C$18</x:f>
        <x:v>11703.062183260648</x:v>
      </x:c>
      <x:c r="I75" s="503" t="str">
        <x:v>Parent PAT divided by listed shares</x:v>
      </x:c>
      <x:c r="J75" s="503" t="str">
        <x:v>Model output</x:v>
      </x:c>
      <x:c r="K75" s="503" t="str">
        <x:v>Parent PAT divided by listed shares</x:v>
      </x:c>
    </x:row>
    <x:row r="76" ht="29" customHeight="1">
      <x:c r="A76" s="88" t="str">
        <x:v>D&amp;A</x:v>
      </x:c>
      <x:c r="B76" s="89" t="str">
        <x:v>VND bn</x:v>
      </x:c>
      <x:c r="C76" s="288" t="n">
        <x:f>'P3 Cash Flow'!G7</x:f>
        <x:v>415.219036556</x:v>
      </x:c>
      <x:c r="D76" s="211" t="n">
        <x:f>'P4 Assumptions'!C71</x:f>
        <x:v>520</x:v>
      </x:c>
      <x:c r="E76" s="211" t="n">
        <x:f>'P4 Assumptions'!D71</x:f>
        <x:v>620</x:v>
      </x:c>
      <x:c r="F76" s="211" t="n">
        <x:f>'P4 Assumptions'!E71</x:f>
        <x:v>750</x:v>
      </x:c>
      <x:c r="G76" s="211" t="n">
        <x:f>'P4 Assumptions'!F71</x:f>
        <x:v>850</x:v>
      </x:c>
      <x:c r="H76" s="211" t="n">
        <x:f>'P4 Assumptions'!G71</x:f>
        <x:v>920</x:v>
      </x:c>
      <x:c r="I76" s="89" t="str">
        <x:v>Analyst assumption</x:v>
      </x:c>
      <x:c r="J76" s="89" t="str">
        <x:v>Historical link / analyst assumption</x:v>
      </x:c>
      <x:c r="K76" s="90" t="str">
        <x:v>Analyst assumption</x:v>
      </x:c>
    </x:row>
    <x:row r="77" ht="29" customHeight="1">
      <x:c r="A77" s="88" t="str">
        <x:v>Cash capex</x:v>
      </x:c>
      <x:c r="B77" s="89" t="str">
        <x:v>VND bn</x:v>
      </x:c>
      <x:c r="C77" s="288" t="n">
        <x:f>'P3 Cash Flow'!G8</x:f>
        <x:v>1676.123112351</x:v>
      </x:c>
      <x:c r="D77" s="211" t="n">
        <x:f>'P4 Assumptions'!C72</x:f>
        <x:v>1450</x:v>
      </x:c>
      <x:c r="E77" s="211" t="n">
        <x:f>'P4 Assumptions'!D72</x:f>
        <x:v>1250</x:v>
      </x:c>
      <x:c r="F77" s="211" t="n">
        <x:f>'P4 Assumptions'!E72</x:f>
        <x:v>1050</x:v>
      </x:c>
      <x:c r="G77" s="211" t="n">
        <x:f>'P4 Assumptions'!F72</x:f>
        <x:v>900</x:v>
      </x:c>
      <x:c r="H77" s="211" t="n">
        <x:f>'P4 Assumptions'!G72</x:f>
        <x:v>850</x:v>
      </x:c>
      <x:c r="I77" s="89" t="str">
        <x:v>Analyst assumption</x:v>
      </x:c>
      <x:c r="J77" s="89" t="str">
        <x:v>Historical link / analyst assumption</x:v>
      </x:c>
      <x:c r="K77" s="90" t="str">
        <x:v>Analyst assumption</x:v>
      </x:c>
    </x:row>
    <x:row r="78" ht="29" customHeight="1">
      <x:c r="A78" s="88" t="str">
        <x:v>Cash investment in NWC</x:v>
      </x:c>
      <x:c r="B78" s="89" t="str">
        <x:v>VND bn</x:v>
      </x:c>
      <x:c r="C78" s="288"/>
      <x:c r="D78" s="211" t="n">
        <x:f>MAX(D56-C56,0)*'P4 Assumptions'!C73</x:f>
        <x:v>30.40768907574866</x:v>
      </x:c>
      <x:c r="E78" s="211" t="n">
        <x:f>MAX(E56-D56,0)*'P4 Assumptions'!D73</x:f>
        <x:v>35.229155611943476</x:v>
      </x:c>
      <x:c r="F78" s="211" t="n">
        <x:f>MAX(F56-E56,0)*'P4 Assumptions'!E73</x:f>
        <x:v>50.419711597007975</x:v>
      </x:c>
      <x:c r="G78" s="211" t="n">
        <x:f>MAX(G56-F56,0)*'P4 Assumptions'!F73</x:f>
        <x:v>45.68206370840949</x:v>
      </x:c>
      <x:c r="H78" s="211" t="n">
        <x:f>MAX(H56-G56,0)*'P4 Assumptions'!G73</x:f>
        <x:v>41.08768918755532</x:v>
      </x:c>
      <x:c r="I78" s="89" t="str">
        <x:v>Incremental revenue × NWC rate</x:v>
      </x:c>
      <x:c r="J78" s="89" t="str">
        <x:v>Model output</x:v>
      </x:c>
      <x:c r="K78" s="90" t="str">
        <x:v>Incremental revenue × NWC rate</x:v>
      </x:c>
    </x:row>
    <x:row r="79" ht="29" customHeight="1">
      <x:c r="A79" s="88" t="str">
        <x:v>Statutory tax rate on EBIT</x:v>
      </x:c>
      <x:c r="B79" s="89" t="str">
        <x:v>%</x:v>
      </x:c>
      <x:c r="C79" s="125" t="n">
        <x:f>'P4 Assumptions'!C74</x:f>
        <x:v>0.2</x:v>
      </x:c>
      <x:c r="D79" s="109" t="n">
        <x:f>'P4 Assumptions'!C74</x:f>
        <x:v>0.2</x:v>
      </x:c>
      <x:c r="E79" s="109" t="n">
        <x:f>'P4 Assumptions'!D74</x:f>
        <x:v>0.2</x:v>
      </x:c>
      <x:c r="F79" s="109" t="n">
        <x:f>'P4 Assumptions'!E74</x:f>
        <x:v>0.2</x:v>
      </x:c>
      <x:c r="G79" s="109" t="n">
        <x:f>'P4 Assumptions'!F74</x:f>
        <x:v>0.2</x:v>
      </x:c>
      <x:c r="H79" s="109" t="n">
        <x:f>'P4 Assumptions'!G74</x:f>
        <x:v>0.2</x:v>
      </x:c>
      <x:c r="I79" s="89" t="str">
        <x:v>FCFF tax assumption</x:v>
      </x:c>
      <x:c r="J79" s="89" t="str">
        <x:v>Historical link / analyst assumption</x:v>
      </x:c>
      <x:c r="K79" s="90" t="str">
        <x:v>FCFF tax assumption</x:v>
      </x:c>
    </x:row>
    <x:row r="80" ht="29" customHeight="1">
      <x:c r="A80" s="499" t="str">
        <x:v>FCFF</x:v>
      </x:c>
      <x:c r="B80" s="500" t="str">
        <x:v>VND bn</x:v>
      </x:c>
      <x:c r="C80" s="501"/>
      <x:c r="D80" s="501" t="n">
        <x:f>D59*(1-D79)+D76-D77-D78</x:f>
        <x:v>674.8842030144989</x:v>
      </x:c>
      <x:c r="E80" s="501" t="n">
        <x:f>E59*(1-E79)+E76-E77-E78</x:f>
        <x:v>1360.0046283354104</x:v>
      </x:c>
      <x:c r="F80" s="501" t="n">
        <x:f>F59*(1-F79)+F76-F77-F78</x:f>
        <x:v>2235.5624502133255</x:v>
      </x:c>
      <x:c r="G80" s="501" t="n">
        <x:f>G59*(1-G79)+G76-G77-G78</x:f>
        <x:v>2985.859320282958</x:v>
      </x:c>
      <x:c r="H80" s="501" t="n">
        <x:f>H59*(1-H79)+H76-H77-H78</x:f>
        <x:v>3574.319882201327</x:v>
      </x:c>
      <x:c r="I80" s="500" t="str">
        <x:v>EBIT after statutory tax + D&amp;A - capex - NWC</x:v>
      </x:c>
      <x:c r="J80" s="500" t="str">
        <x:v>Model output</x:v>
      </x:c>
      <x:c r="K80" s="500" t="str">
        <x:v>EBIT after statutory tax + D&amp;A - capex - NWC</x:v>
      </x:c>
    </x:row>
    <x:row r="81" ht="29" customHeight="1">
      <x:c r="A81" s="502" t="str">
        <x:v>FCFF margin</x:v>
      </x:c>
      <x:c r="B81" s="503" t="str">
        <x:v>%</x:v>
      </x:c>
      <x:c r="C81" s="514"/>
      <x:c r="D81" s="514" t="n">
        <x:f>D80/D56</x:f>
        <x:v>0.09409549391859508</x:v>
      </x:c>
      <x:c r="E81" s="514" t="n">
        <x:f>E80/E56</x:f>
        <x:v>0.15848100838095652</x:v>
      </x:c>
      <x:c r="F81" s="514" t="n">
        <x:f>F80/F56</x:f>
        <x:v>0.2109361951167469</x:v>
      </x:c>
      <x:c r="G81" s="514" t="n">
        <x:f>G80/G56</x:f>
        <x:v>0.2402995836035308</x:v>
      </x:c>
      <x:c r="H81" s="514" t="n">
        <x:f>H80/H56</x:f>
        <x:v>0.2540550253188188</x:v>
      </x:c>
      <x:c r="I81" s="503" t="str">
        <x:v>FCFF divided by revenue</x:v>
      </x:c>
      <x:c r="J81" s="503" t="str">
        <x:v>Model output</x:v>
      </x:c>
      <x:c r="K81" s="503" t="str">
        <x:v>FCFF divided by revenue</x:v>
      </x:c>
    </x:row>
    <x:row r="84" ht="22" customHeight="1">
      <x:c r="A84" s="449" t="str">
        <x:v>Bear case — 2025A to 2030E</x:v>
      </x:c>
      <x:c r="B84" s="449" t="str">
        <x:v>Bear case — 2025A to 2030E</x:v>
      </x:c>
      <x:c r="C84" s="449" t="str">
        <x:v>Bear case — 2025A to 2030E</x:v>
      </x:c>
      <x:c r="D84" s="449" t="str">
        <x:v>Bear case — 2025A to 2030E</x:v>
      </x:c>
      <x:c r="E84" s="449" t="str">
        <x:v>Bear case — 2025A to 2030E</x:v>
      </x:c>
      <x:c r="F84" s="449" t="str">
        <x:v>Bear case — 2025A to 2030E</x:v>
      </x:c>
      <x:c r="G84" s="449" t="str">
        <x:v>Bear case — 2025A to 2030E</x:v>
      </x:c>
      <x:c r="H84" s="449" t="str">
        <x:v>Bear case — 2025A to 2030E</x:v>
      </x:c>
      <x:c r="I84" s="449" t="str">
        <x:v>Bear case — 2025A to 2030E</x:v>
      </x:c>
      <x:c r="J84" s="449" t="str">
        <x:v>Bear case — 2025A to 2030E</x:v>
      </x:c>
      <x:c r="K84" s="449" t="str">
        <x:v>Bear case — 2025A to 2030E</x:v>
      </x:c>
    </x:row>
    <x:row r="85" ht="32" customHeight="1">
      <x:c r="A85" s="421" t="str">
        <x:v>Metric</x:v>
      </x:c>
      <x:c r="B85" s="421" t="str">
        <x:v>Unit</x:v>
      </x:c>
      <x:c r="C85" s="491" t="n">
        <x:v>46022</x:v>
      </x:c>
      <x:c r="D85" s="433" t="n">
        <x:v>46387</x:v>
      </x:c>
      <x:c r="E85" s="433" t="n">
        <x:v>46752</x:v>
      </x:c>
      <x:c r="F85" s="433" t="n">
        <x:v>47118</x:v>
      </x:c>
      <x:c r="G85" s="433" t="n">
        <x:v>47483</x:v>
      </x:c>
      <x:c r="H85" s="433" t="n">
        <x:v>47848</x:v>
      </x:c>
      <x:c r="I85" s="421" t="str">
        <x:v>Source / driver</x:v>
      </x:c>
      <x:c r="J85" s="421" t="str">
        <x:v>Data class</x:v>
      </x:c>
      <x:c r="K85" s="421" t="str">
        <x:v>Audit note</x:v>
      </x:c>
    </x:row>
    <x:row r="86" ht="29" customHeight="1">
      <x:c r="A86" s="85" t="str">
        <x:v>National container throughput</x:v>
      </x:c>
      <x:c r="B86" s="86" t="str">
        <x:v>m TEU</x:v>
      </x:c>
      <x:c r="C86" s="317" t="n">
        <x:f>'P4 Assumptions'!C6</x:f>
        <x:v>34</x:v>
      </x:c>
      <x:c r="D86" s="133" t="n">
        <x:f>C86*(1+D87)</x:f>
        <x:v>35.7</x:v>
      </x:c>
      <x:c r="E86" s="133" t="n">
        <x:f>D86*(1+E87)</x:f>
        <x:v>36.771</x:v>
      </x:c>
      <x:c r="F86" s="133" t="n">
        <x:f>E86*(1+F87)</x:f>
        <x:v>37.50642</x:v>
      </x:c>
      <x:c r="G86" s="133" t="n">
        <x:f>F86*(1+G87)</x:f>
        <x:v>38.6316126</x:v>
      </x:c>
      <x:c r="H86" s="133" t="n">
        <x:f>G86*(1+H87)</x:f>
        <x:v>40.176877104</x:v>
      </x:c>
      <x:c r="I86" s="86" t="str">
        <x:v>Macro-to-volume</x:v>
      </x:c>
      <x:c r="J86" s="86" t="str">
        <x:v>Model output</x:v>
      </x:c>
      <x:c r="K86" s="87" t="str">
        <x:v>Macro-to-volume</x:v>
      </x:c>
    </x:row>
    <x:row r="87" ht="29" customHeight="1">
      <x:c r="A87" s="88" t="str">
        <x:v>National throughput growth</x:v>
      </x:c>
      <x:c r="B87" s="89" t="str">
        <x:v>%</x:v>
      </x:c>
      <x:c r="C87" s="125"/>
      <x:c r="D87" s="109" t="n">
        <x:f>'P4 Assumptions'!C80</x:f>
        <x:v>0.05</x:v>
      </x:c>
      <x:c r="E87" s="109" t="n">
        <x:f>'P4 Assumptions'!D80</x:f>
        <x:v>0.03</x:v>
      </x:c>
      <x:c r="F87" s="109" t="n">
        <x:f>'P4 Assumptions'!E80</x:f>
        <x:v>0.02</x:v>
      </x:c>
      <x:c r="G87" s="109" t="n">
        <x:f>'P4 Assumptions'!F80</x:f>
        <x:v>0.03</x:v>
      </x:c>
      <x:c r="H87" s="109" t="n">
        <x:f>'P4 Assumptions'!G80</x:f>
        <x:v>0.04</x:v>
      </x:c>
      <x:c r="I87" s="89" t="str">
        <x:v>Analyst assumption</x:v>
      </x:c>
      <x:c r="J87" s="89" t="str">
        <x:v>Historical link / analyst assumption</x:v>
      </x:c>
      <x:c r="K87" s="90" t="str">
        <x:v>Analyst assumption</x:v>
      </x:c>
    </x:row>
    <x:row r="88" ht="29" customHeight="1">
      <x:c r="A88" s="88" t="str">
        <x:v>GMD system throughput</x:v>
      </x:c>
      <x:c r="B88" s="89" t="str">
        <x:v>m TEU</x:v>
      </x:c>
      <x:c r="C88" s="348" t="n">
        <x:f>'P3 Port Drivers'!G6</x:f>
        <x:v>5.079</x:v>
      </x:c>
      <x:c r="D88" s="134" t="n">
        <x:f>D86*D90</x:f>
        <x:v>5.2836</x:v>
      </x:c>
      <x:c r="E88" s="134" t="n">
        <x:f>E86*E90</x:f>
        <x:v>5.3685659999999995</x:v>
      </x:c>
      <x:c r="F88" s="134" t="n">
        <x:f>F86*F90</x:f>
        <x:v>5.550950159999999</x:v>
      </x:c>
      <x:c r="G88" s="134" t="n">
        <x:f>G86*G90</x:f>
        <x:v>5.794741889999999</x:v>
      </x:c>
      <x:c r="H88" s="134" t="n">
        <x:f>H86*H90</x:f>
        <x:v>6.106885319808</x:v>
      </x:c>
      <x:c r="I88" s="89" t="str">
        <x:v>National TEU × GMD share</x:v>
      </x:c>
      <x:c r="J88" s="89" t="str">
        <x:v>Model output</x:v>
      </x:c>
      <x:c r="K88" s="90" t="str">
        <x:v>National TEU × GMD share</x:v>
      </x:c>
    </x:row>
    <x:row r="89" ht="29" customHeight="1">
      <x:c r="A89" s="88" t="str">
        <x:v>GMD throughput growth</x:v>
      </x:c>
      <x:c r="B89" s="89" t="str">
        <x:v>%</x:v>
      </x:c>
      <x:c r="C89" s="125" t="n">
        <x:f>'P3 Port Drivers'!G7</x:f>
        <x:v>0.14520856820744088</x:v>
      </x:c>
      <x:c r="D89" s="109" t="n">
        <x:f>D88/C88-1</x:f>
        <x:v>0.04028352037802718</x:v>
      </x:c>
      <x:c r="E89" s="109" t="n">
        <x:f>E88/D88-1</x:f>
        <x:v>0.016081081081080972</x:v>
      </x:c>
      <x:c r="F89" s="109" t="n">
        <x:f>F88/E88-1</x:f>
        <x:v>0.03397260273972602</x:v>
      </x:c>
      <x:c r="G89" s="109" t="n">
        <x:f>G88/F88-1</x:f>
        <x:v>0.04391891891891886</x:v>
      </x:c>
      <x:c r="H89" s="109" t="n">
        <x:f>H88/G88-1</x:f>
        <x:v>0.05386666666666673</x:v>
      </x:c>
      <x:c r="I89" s="89" t="str">
        <x:v>Model output</x:v>
      </x:c>
      <x:c r="J89" s="89" t="str">
        <x:v>Model output</x:v>
      </x:c>
      <x:c r="K89" s="90" t="str">
        <x:v>Model output</x:v>
      </x:c>
    </x:row>
    <x:row r="90" ht="29" customHeight="1">
      <x:c r="A90" s="88" t="str">
        <x:v>GMD share of national throughput</x:v>
      </x:c>
      <x:c r="B90" s="89" t="str">
        <x:v>%</x:v>
      </x:c>
      <x:c r="C90" s="125" t="n">
        <x:f>C88/C86</x:f>
        <x:v>0.14938235294117647</x:v>
      </x:c>
      <x:c r="D90" s="109" t="n">
        <x:f>'P4 Assumptions'!C81</x:f>
        <x:v>0.148</x:v>
      </x:c>
      <x:c r="E90" s="109" t="n">
        <x:f>'P4 Assumptions'!D81</x:f>
        <x:v>0.146</x:v>
      </x:c>
      <x:c r="F90" s="109" t="n">
        <x:f>'P4 Assumptions'!E81</x:f>
        <x:v>0.148</x:v>
      </x:c>
      <x:c r="G90" s="109" t="n">
        <x:f>'P4 Assumptions'!F81</x:f>
        <x:v>0.15</x:v>
      </x:c>
      <x:c r="H90" s="109" t="n">
        <x:f>'P4 Assumptions'!G81</x:f>
        <x:v>0.152</x:v>
      </x:c>
      <x:c r="I90" s="89" t="str">
        <x:v>Analyst assumption</x:v>
      </x:c>
      <x:c r="J90" s="89" t="str">
        <x:v>Historical link / analyst assumption</x:v>
      </x:c>
      <x:c r="K90" s="90" t="str">
        <x:v>Analyst assumption</x:v>
      </x:c>
    </x:row>
    <x:row r="91" ht="29" customHeight="1">
      <x:c r="A91" s="88" t="str">
        <x:v>Implied port unit/mix/scope proxy</x:v>
      </x:c>
      <x:c r="B91" s="89" t="str">
        <x:v>VND '000/TEU</x:v>
      </x:c>
      <x:c r="C91" s="288" t="n">
        <x:f>'P3 Port Drivers'!G10</x:f>
        <x:v>1034.5004154361095</x:v>
      </x:c>
      <x:c r="D91" s="211" t="n">
        <x:f>C91*(1+D92)</x:f>
        <x:v>1024.1554112817485</x:v>
      </x:c>
      <x:c r="E91" s="211" t="n">
        <x:f>D91*(1+E92)</x:f>
        <x:v>1024.1554112817485</x:v>
      </x:c>
      <x:c r="F91" s="211" t="n">
        <x:f>E91*(1+F92)</x:f>
        <x:v>1034.396965394566</x:v>
      </x:c>
      <x:c r="G91" s="211" t="n">
        <x:f>F91*(1+G92)</x:f>
        <x:v>1055.0849047024574</x:v>
      </x:c>
      <x:c r="H91" s="211" t="n">
        <x:f>G91*(1+H92)</x:f>
        <x:v>1076.1866027965066</x:v>
      </x:c>
      <x:c r="I91" s="89" t="str">
        <x:v>2025 proxy rolled by scenario growth</x:v>
      </x:c>
      <x:c r="J91" s="89" t="str">
        <x:v>Model output</x:v>
      </x:c>
      <x:c r="K91" s="90" t="str">
        <x:v>2025 proxy rolled by scenario growth</x:v>
      </x:c>
    </x:row>
    <x:row r="92" ht="29" customHeight="1">
      <x:c r="A92" s="88" t="str">
        <x:v>Unit/mix/scope proxy growth</x:v>
      </x:c>
      <x:c r="B92" s="89" t="str">
        <x:v>%</x:v>
      </x:c>
      <x:c r="C92" s="125" t="n">
        <x:f>'P3 Port Drivers'!G11</x:f>
        <x:v>0.09478481195255428</x:v>
      </x:c>
      <x:c r="D92" s="109" t="n">
        <x:f>'P4 Assumptions'!C82</x:f>
        <x:v>-0.01</x:v>
      </x:c>
      <x:c r="E92" s="109" t="n">
        <x:f>'P4 Assumptions'!D82</x:f>
        <x:v>0</x:v>
      </x:c>
      <x:c r="F92" s="109" t="n">
        <x:f>'P4 Assumptions'!E82</x:f>
        <x:v>0.01</x:v>
      </x:c>
      <x:c r="G92" s="109" t="n">
        <x:f>'P4 Assumptions'!F82</x:f>
        <x:v>0.02</x:v>
      </x:c>
      <x:c r="H92" s="109" t="n">
        <x:f>'P4 Assumptions'!G82</x:f>
        <x:v>0.02</x:v>
      </x:c>
      <x:c r="I92" s="89" t="str">
        <x:v>Analyst assumption</x:v>
      </x:c>
      <x:c r="J92" s="89" t="str">
        <x:v>Historical link / analyst assumption</x:v>
      </x:c>
      <x:c r="K92" s="90" t="str">
        <x:v>Analyst assumption</x:v>
      </x:c>
    </x:row>
    <x:row r="93" ht="29" customHeight="1">
      <x:c r="A93" s="88" t="str">
        <x:v>Port external revenue</x:v>
      </x:c>
      <x:c r="B93" s="89" t="str">
        <x:v>VND bn</x:v>
      </x:c>
      <x:c r="C93" s="288" t="n">
        <x:f>'P3 Port Drivers'!G8</x:f>
        <x:v>5254.22761</x:v>
      </x:c>
      <x:c r="D93" s="211" t="n">
        <x:f>D88*D91</x:f>
        <x:v>5411.227531048246</x:v>
      </x:c>
      <x:c r="E93" s="211" t="n">
        <x:f>E88*E91</x:f>
        <x:v>5498.245919723211</x:v>
      </x:c>
      <x:c r="F93" s="211" t="n">
        <x:f>F88*F91</x:f>
        <x:v>5741.88600056048</x:v>
      </x:c>
      <x:c r="G93" s="211" t="n">
        <x:f>G88*G91</x:f>
        <x:v>6113.944694785987</x:v>
      </x:c>
      <x:c r="H93" s="211" t="n">
        <x:f>H88*H91</x:f>
        <x:v>6572.148165992029</x:v>
      </x:c>
      <x:c r="I93" s="89" t="str">
        <x:v>Throughput × unit/mix proxy</x:v>
      </x:c>
      <x:c r="J93" s="89" t="str">
        <x:v>Model output</x:v>
      </x:c>
      <x:c r="K93" s="90" t="str">
        <x:v>Throughput × unit/mix proxy</x:v>
      </x:c>
    </x:row>
    <x:row r="94" ht="29" customHeight="1">
      <x:c r="A94" s="88" t="str">
        <x:v>Logistics external revenue</x:v>
      </x:c>
      <x:c r="B94" s="89" t="str">
        <x:v>VND bn</x:v>
      </x:c>
      <x:c r="C94" s="288" t="n">
        <x:f>'P3 Historical IS'!G50</x:f>
        <x:v>693.74057</x:v>
      </x:c>
      <x:c r="D94" s="211" t="n">
        <x:f>C94*(1+'P4 Assumptions'!C83)</x:f>
        <x:v>693.74057</x:v>
      </x:c>
      <x:c r="E94" s="211" t="n">
        <x:f>D94*(1+'P4 Assumptions'!D83)</x:f>
        <x:v>707.6153814</x:v>
      </x:c>
      <x:c r="F94" s="211" t="n">
        <x:f>E94*(1+'P4 Assumptions'!E83)</x:f>
        <x:v>728.8438428420001</x:v>
      </x:c>
      <x:c r="G94" s="211" t="n">
        <x:f>F94*(1+'P4 Assumptions'!F83)</x:f>
        <x:v>757.99759655568</x:v>
      </x:c>
      <x:c r="H94" s="211" t="n">
        <x:f>G94*(1+'P4 Assumptions'!G83)</x:f>
        <x:v>788.3175004179072</x:v>
      </x:c>
      <x:c r="I94" s="89" t="str">
        <x:v>Separate segment growth</x:v>
      </x:c>
      <x:c r="J94" s="89" t="str">
        <x:v>Model output</x:v>
      </x:c>
      <x:c r="K94" s="90" t="str">
        <x:v>Separate segment growth</x:v>
      </x:c>
    </x:row>
    <x:row r="95" ht="29" customHeight="1">
      <x:c r="A95" s="88" t="str">
        <x:v>Other external revenue</x:v>
      </x:c>
      <x:c r="B95" s="89" t="str">
        <x:v>VND bn</x:v>
      </x:c>
      <x:c r="C95" s="288" t="n">
        <x:f>'P3 Historical IS'!G51</x:f>
        <x:v>8.057116</x:v>
      </x:c>
      <x:c r="D95" s="211" t="n">
        <x:f>C95*(1+'P4 Assumptions'!C84)</x:f>
        <x:v>8.057116</x:v>
      </x:c>
      <x:c r="E95" s="211" t="n">
        <x:f>D95*(1+'P4 Assumptions'!D84)</x:f>
        <x:v>8.057116</x:v>
      </x:c>
      <x:c r="F95" s="211" t="n">
        <x:f>E95*(1+'P4 Assumptions'!E84)</x:f>
        <x:v>8.057116</x:v>
      </x:c>
      <x:c r="G95" s="211" t="n">
        <x:f>F95*(1+'P4 Assumptions'!F84)</x:f>
        <x:v>8.057116</x:v>
      </x:c>
      <x:c r="H95" s="211" t="n">
        <x:f>G95*(1+'P4 Assumptions'!G84)</x:f>
        <x:v>8.057116</x:v>
      </x:c>
      <x:c r="I95" s="89" t="str">
        <x:v>Residual segment</x:v>
      </x:c>
      <x:c r="J95" s="89" t="str">
        <x:v>Model output</x:v>
      </x:c>
      <x:c r="K95" s="90" t="str">
        <x:v>Residual segment</x:v>
      </x:c>
    </x:row>
    <x:row r="96" ht="29" customHeight="1">
      <x:c r="A96" s="459" t="str">
        <x:v>Consolidated net revenue</x:v>
      </x:c>
      <x:c r="B96" s="460" t="str">
        <x:v>VND bn</x:v>
      </x:c>
      <x:c r="C96" s="495" t="n">
        <x:f>'P3 Historical IS'!G6</x:f>
        <x:v>5956.025297015</x:v>
      </x:c>
      <x:c r="D96" s="495" t="n">
        <x:f>SUM(D93:D95)</x:f>
        <x:v>6113.025217048246</x:v>
      </x:c>
      <x:c r="E96" s="495" t="n">
        <x:f>SUM(E93:E95)</x:f>
        <x:v>6213.918417123211</x:v>
      </x:c>
      <x:c r="F96" s="495" t="n">
        <x:f>SUM(F93:F95)</x:f>
        <x:v>6478.7869594024805</x:v>
      </x:c>
      <x:c r="G96" s="495" t="n">
        <x:f>SUM(G93:G95)</x:f>
        <x:v>6879.999407341667</x:v>
      </x:c>
      <x:c r="H96" s="495" t="n">
        <x:f>SUM(H93:H95)</x:f>
        <x:v>7368.522782409937</x:v>
      </x:c>
      <x:c r="I96" s="460" t="str">
        <x:v>Sum of external segment revenue</x:v>
      </x:c>
      <x:c r="J96" s="460" t="str">
        <x:v>Model output</x:v>
      </x:c>
      <x:c r="K96" s="460" t="str">
        <x:v>Sum of external segment revenue</x:v>
      </x:c>
    </x:row>
    <x:row r="97" ht="29" customHeight="1">
      <x:c r="A97" s="88" t="str">
        <x:v>Revenue growth</x:v>
      </x:c>
      <x:c r="B97" s="89" t="str">
        <x:v>%</x:v>
      </x:c>
      <x:c r="C97" s="125" t="n">
        <x:f>'GMD Historical'!B12/'GMD Historical'!B11-1</x:f>
        <x:v>0.23261480327991846</x:v>
      </x:c>
      <x:c r="D97" s="109" t="n">
        <x:f>D96/C96-1</x:f>
        <x:v>0.026359847751474375</x:v>
      </x:c>
      <x:c r="E97" s="109" t="n">
        <x:f>E96/D96-1</x:f>
        <x:v>0.016504626840666337</x:v>
      </x:c>
      <x:c r="F97" s="109" t="n">
        <x:f>F96/E96-1</x:f>
        <x:v>0.042625043410513985</x:v>
      </x:c>
      <x:c r="G97" s="109" t="n">
        <x:f>G96/F96-1</x:f>
        <x:v>0.061927093829952096</x:v>
      </x:c>
      <x:c r="H97" s="109" t="n">
        <x:f>H96/G96-1</x:f>
        <x:v>0.07100631063237661</x:v>
      </x:c>
      <x:c r="I97" s="89" t="str">
        <x:v>Model output</x:v>
      </x:c>
      <x:c r="J97" s="89" t="str">
        <x:v>Model output</x:v>
      </x:c>
      <x:c r="K97" s="90" t="str">
        <x:v>Model output</x:v>
      </x:c>
    </x:row>
    <x:row r="98" ht="29" customHeight="1">
      <x:c r="A98" s="88" t="str">
        <x:v>Consolidated operating margin</x:v>
      </x:c>
      <x:c r="B98" s="89" t="str">
        <x:v>%</x:v>
      </x:c>
      <x:c r="C98" s="125" t="n">
        <x:f>'P3 Historical IS'!G13</x:f>
        <x:v>0.27652039677743034</x:v>
      </x:c>
      <x:c r="D98" s="109" t="n">
        <x:f>'P4 Assumptions'!C85</x:f>
        <x:v>0.26</x:v>
      </x:c>
      <x:c r="E98" s="109" t="n">
        <x:f>'P4 Assumptions'!D85</x:f>
        <x:v>0.255</x:v>
      </x:c>
      <x:c r="F98" s="109" t="n">
        <x:f>'P4 Assumptions'!E85</x:f>
        <x:v>0.26</x:v>
      </x:c>
      <x:c r="G98" s="109" t="n">
        <x:f>'P4 Assumptions'!F85</x:f>
        <x:v>0.265</x:v>
      </x:c>
      <x:c r="H98" s="109" t="n">
        <x:f>'P4 Assumptions'!G85</x:f>
        <x:v>0.27</x:v>
      </x:c>
      <x:c r="I98" s="89" t="str">
        <x:v>Before financial/associate/other items</x:v>
      </x:c>
      <x:c r="J98" s="89" t="str">
        <x:v>Historical link / analyst assumption</x:v>
      </x:c>
      <x:c r="K98" s="90" t="str">
        <x:v>Before financial/associate/other items</x:v>
      </x:c>
    </x:row>
    <x:row r="99" ht="29" customHeight="1">
      <x:c r="A99" s="88" t="str">
        <x:v>Consolidated EBIT before financial/associate/other</x:v>
      </x:c>
      <x:c r="B99" s="89" t="str">
        <x:v>VND bn</x:v>
      </x:c>
      <x:c r="C99" s="288" t="n">
        <x:f>'P3 Historical IS'!G12</x:f>
        <x:v>1646.9624783470003</x:v>
      </x:c>
      <x:c r="D99" s="211" t="n">
        <x:f>D96*D98</x:f>
        <x:v>1589.386556432544</x:v>
      </x:c>
      <x:c r="E99" s="211" t="n">
        <x:f>E96*E98</x:f>
        <x:v>1584.5491963664188</x:v>
      </x:c>
      <x:c r="F99" s="211" t="n">
        <x:f>F96*F98</x:f>
        <x:v>1684.484609444645</x:v>
      </x:c>
      <x:c r="G99" s="211" t="n">
        <x:f>G96*G98</x:f>
        <x:v>1823.199842945542</x:v>
      </x:c>
      <x:c r="H99" s="211" t="n">
        <x:f>H96*H98</x:f>
        <x:v>1989.501151250683</x:v>
      </x:c>
      <x:c r="I99" s="89" t="str">
        <x:v>Revenue × operating margin</x:v>
      </x:c>
      <x:c r="J99" s="89" t="str">
        <x:v>Model output</x:v>
      </x:c>
      <x:c r="K99" s="90" t="str">
        <x:v>Revenue × operating margin</x:v>
      </x:c>
    </x:row>
    <x:row r="100" ht="29" customHeight="1">
      <x:c r="A100" s="88" t="str">
        <x:v>Financial income</x:v>
      </x:c>
      <x:c r="B100" s="89" t="str">
        <x:v>VND bn</x:v>
      </x:c>
      <x:c r="C100" s="288" t="n">
        <x:f>'P3 Historical IS'!G17</x:f>
        <x:v>228.485206429</x:v>
      </x:c>
      <x:c r="D100" s="211" t="n">
        <x:f>'P4 Assumptions'!C86</x:f>
        <x:v>210</x:v>
      </x:c>
      <x:c r="E100" s="211" t="n">
        <x:f>'P4 Assumptions'!D86</x:f>
        <x:v>190</x:v>
      </x:c>
      <x:c r="F100" s="211" t="n">
        <x:f>'P4 Assumptions'!E86</x:f>
        <x:v>175</x:v>
      </x:c>
      <x:c r="G100" s="211" t="n">
        <x:f>'P4 Assumptions'!F86</x:f>
        <x:v>170</x:v>
      </x:c>
      <x:c r="H100" s="211" t="n">
        <x:f>'P4 Assumptions'!G86</x:f>
        <x:v>165</x:v>
      </x:c>
      <x:c r="I100" s="89" t="str">
        <x:v>Analyst assumption</x:v>
      </x:c>
      <x:c r="J100" s="89" t="str">
        <x:v>Historical link / analyst assumption</x:v>
      </x:c>
      <x:c r="K100" s="90" t="str">
        <x:v>Analyst assumption</x:v>
      </x:c>
    </x:row>
    <x:row r="101" ht="29" customHeight="1">
      <x:c r="A101" s="88" t="str">
        <x:v>Financial expense</x:v>
      </x:c>
      <x:c r="B101" s="89" t="str">
        <x:v>VND bn</x:v>
      </x:c>
      <x:c r="C101" s="288" t="n">
        <x:f>'P3 Historical IS'!G18</x:f>
        <x:v>118.711817693</x:v>
      </x:c>
      <x:c r="D101" s="211" t="n">
        <x:f>'P4 Assumptions'!C87</x:f>
        <x:v>130</x:v>
      </x:c>
      <x:c r="E101" s="211" t="n">
        <x:f>'P4 Assumptions'!D87</x:f>
        <x:v>145</x:v>
      </x:c>
      <x:c r="F101" s="211" t="n">
        <x:f>'P4 Assumptions'!E87</x:f>
        <x:v>160</x:v>
      </x:c>
      <x:c r="G101" s="211" t="n">
        <x:f>'P4 Assumptions'!F87</x:f>
        <x:v>165</x:v>
      </x:c>
      <x:c r="H101" s="211" t="n">
        <x:f>'P4 Assumptions'!G87</x:f>
        <x:v>170</x:v>
      </x:c>
      <x:c r="I101" s="89" t="str">
        <x:v>Analyst assumption</x:v>
      </x:c>
      <x:c r="J101" s="89" t="str">
        <x:v>Historical link / analyst assumption</x:v>
      </x:c>
      <x:c r="K101" s="90" t="str">
        <x:v>Analyst assumption</x:v>
      </x:c>
    </x:row>
    <x:row r="102" ht="29" customHeight="1">
      <x:c r="A102" s="88" t="str">
        <x:v>Gemalink associate contribution</x:v>
      </x:c>
      <x:c r="B102" s="89" t="str">
        <x:v>VND bn</x:v>
      </x:c>
      <x:c r="C102" s="288" t="n">
        <x:f>'P3 Associates'!G7</x:f>
        <x:v>826.81</x:v>
      </x:c>
      <x:c r="D102" s="211" t="n">
        <x:f>C102*(1+'P4 Assumptions'!C89)</x:f>
        <x:v>843.3462</x:v>
      </x:c>
      <x:c r="E102" s="211" t="n">
        <x:f>D102*(1+'P4 Assumptions'!D89)</x:f>
        <x:v>843.3462</x:v>
      </x:c>
      <x:c r="F102" s="211" t="n">
        <x:f>E102*(1+'P4 Assumptions'!E89)</x:f>
        <x:v>910.813896</x:v>
      </x:c>
      <x:c r="G102" s="211" t="n">
        <x:f>F102*(1+'P4 Assumptions'!F89)</x:f>
        <x:v>1001.8952856000001</x:v>
      </x:c>
      <x:c r="H102" s="211" t="n">
        <x:f>G102*(1+'P4 Assumptions'!G89)</x:f>
        <x:v>1082.046908448</x:v>
      </x:c>
      <x:c r="I102" s="89" t="str">
        <x:v>Separate equity-accounted forecast</x:v>
      </x:c>
      <x:c r="J102" s="89" t="str">
        <x:v>Model output</x:v>
      </x:c>
      <x:c r="K102" s="90" t="str">
        <x:v>Separate equity-accounted forecast</x:v>
      </x:c>
    </x:row>
    <x:row r="103" ht="29" customHeight="1">
      <x:c r="A103" s="88" t="str">
        <x:v>SCS associate contribution</x:v>
      </x:c>
      <x:c r="B103" s="89" t="str">
        <x:v>VND bn</x:v>
      </x:c>
      <x:c r="C103" s="288" t="n">
        <x:f>'P3 Associates'!G8</x:f>
        <x:v>258.588</x:v>
      </x:c>
      <x:c r="D103" s="211" t="n">
        <x:f>C103*(1+'P4 Assumptions'!C90)</x:f>
        <x:v>263.75976</x:v>
      </x:c>
      <x:c r="E103" s="211" t="n">
        <x:f>D103*(1+'P4 Assumptions'!D90)</x:f>
        <x:v>271.67255280000006</x:v>
      </x:c>
      <x:c r="F103" s="211" t="n">
        <x:f>E103*(1+'P4 Assumptions'!E90)</x:f>
        <x:v>282.53945491200005</x:v>
      </x:c>
      <x:c r="G103" s="211" t="n">
        <x:f>F103*(1+'P4 Assumptions'!F90)</x:f>
        <x:v>296.6664276576001</x:v>
      </x:c>
      <x:c r="H103" s="211" t="n">
        <x:f>G103*(1+'P4 Assumptions'!G90)</x:f>
        <x:v>311.4997490404801</x:v>
      </x:c>
      <x:c r="I103" s="89" t="str">
        <x:v>Separate equity-accounted forecast</x:v>
      </x:c>
      <x:c r="J103" s="89" t="str">
        <x:v>Model output</x:v>
      </x:c>
      <x:c r="K103" s="90" t="str">
        <x:v>Separate equity-accounted forecast</x:v>
      </x:c>
    </x:row>
    <x:row r="104" ht="29" customHeight="1">
      <x:c r="A104" s="88" t="str">
        <x:v>CJ Gemadept Logistics contribution</x:v>
      </x:c>
      <x:c r="B104" s="89" t="str">
        <x:v>VND bn</x:v>
      </x:c>
      <x:c r="C104" s="288" t="n">
        <x:f>'P3 Associates'!G9</x:f>
        <x:v>46.182</x:v>
      </x:c>
      <x:c r="D104" s="211" t="n">
        <x:f>C104*(1+'P4 Assumptions'!C91)</x:f>
        <x:v>46.182</x:v>
      </x:c>
      <x:c r="E104" s="211" t="n">
        <x:f>D104*(1+'P4 Assumptions'!D91)</x:f>
        <x:v>47.10564</x:v>
      </x:c>
      <x:c r="F104" s="211" t="n">
        <x:f>E104*(1+'P4 Assumptions'!E91)</x:f>
        <x:v>48.5188092</x:v>
      </x:c>
      <x:c r="G104" s="211" t="n">
        <x:f>F104*(1+'P4 Assumptions'!F91)</x:f>
        <x:v>50.459561568</x:v>
      </x:c>
      <x:c r="H104" s="211" t="n">
        <x:f>G104*(1+'P4 Assumptions'!G91)</x:f>
        <x:v>52.477944030719996</x:v>
      </x:c>
      <x:c r="I104" s="89" t="str">
        <x:v>Separate equity-accounted forecast</x:v>
      </x:c>
      <x:c r="J104" s="89" t="str">
        <x:v>Model output</x:v>
      </x:c>
      <x:c r="K104" s="90" t="str">
        <x:v>Separate equity-accounted forecast</x:v>
      </x:c>
    </x:row>
    <x:row r="105" ht="29" customHeight="1">
      <x:c r="A105" s="88" t="str">
        <x:v>Other associate contribution</x:v>
      </x:c>
      <x:c r="B105" s="89" t="str">
        <x:v>VND bn</x:v>
      </x:c>
      <x:c r="C105" s="288" t="n">
        <x:f>'P3 Associates'!G10</x:f>
        <x:v>26.07937794700001</x:v>
      </x:c>
      <x:c r="D105" s="211" t="n">
        <x:f>C105*(1+'P4 Assumptions'!C92)</x:f>
        <x:v>26.07937794700001</x:v>
      </x:c>
      <x:c r="E105" s="211" t="n">
        <x:f>D105*(1+'P4 Assumptions'!D92)</x:f>
        <x:v>26.07937794700001</x:v>
      </x:c>
      <x:c r="F105" s="211" t="n">
        <x:f>E105*(1+'P4 Assumptions'!E92)</x:f>
        <x:v>26.07937794700001</x:v>
      </x:c>
      <x:c r="G105" s="211" t="n">
        <x:f>F105*(1+'P4 Assumptions'!F92)</x:f>
        <x:v>26.07937794700001</x:v>
      </x:c>
      <x:c r="H105" s="211" t="n">
        <x:f>G105*(1+'P4 Assumptions'!G92)</x:f>
        <x:v>26.07937794700001</x:v>
      </x:c>
      <x:c r="I105" s="89" t="str">
        <x:v>Residual associate forecast</x:v>
      </x:c>
      <x:c r="J105" s="89" t="str">
        <x:v>Model output</x:v>
      </x:c>
      <x:c r="K105" s="90" t="str">
        <x:v>Residual associate forecast</x:v>
      </x:c>
    </x:row>
    <x:row r="106" ht="29" customHeight="1">
      <x:c r="A106" s="88" t="str">
        <x:v>Total associates/JV profit</x:v>
      </x:c>
      <x:c r="B106" s="89" t="str">
        <x:v>VND bn</x:v>
      </x:c>
      <x:c r="C106" s="288" t="n">
        <x:f>'P3 Associates'!G6</x:f>
        <x:v>1157.659377947</x:v>
      </x:c>
      <x:c r="D106" s="211" t="n">
        <x:f>SUM(D102:D105)</x:f>
        <x:v>1179.367337947</x:v>
      </x:c>
      <x:c r="E106" s="211" t="n">
        <x:f>SUM(E102:E105)</x:f>
        <x:v>1188.2037707470001</x:v>
      </x:c>
      <x:c r="F106" s="211" t="n">
        <x:f>SUM(F102:F105)</x:f>
        <x:v>1267.951538059</x:v>
      </x:c>
      <x:c r="G106" s="211" t="n">
        <x:f>SUM(G102:G105)</x:f>
        <x:v>1375.1006527726001</x:v>
      </x:c>
      <x:c r="H106" s="211" t="n">
        <x:f>SUM(H102:H105)</x:f>
        <x:v>1472.1039794662001</x:v>
      </x:c>
      <x:c r="I106" s="89" t="str">
        <x:v>Sum of associate components</x:v>
      </x:c>
      <x:c r="J106" s="89" t="str">
        <x:v>Model output</x:v>
      </x:c>
      <x:c r="K106" s="90" t="str">
        <x:v>Sum of associate components</x:v>
      </x:c>
    </x:row>
    <x:row r="107" ht="29" customHeight="1">
      <x:c r="A107" s="88" t="str">
        <x:v>Other profit/(loss)</x:v>
      </x:c>
      <x:c r="B107" s="89" t="str">
        <x:v>VND bn</x:v>
      </x:c>
      <x:c r="C107" s="288" t="n">
        <x:f>'P3 Historical IS'!G21</x:f>
        <x:v>-393.56809844</x:v>
      </x:c>
      <x:c r="D107" s="211" t="n">
        <x:f>'P4 Assumptions'!C88</x:f>
        <x:v>-300</x:v>
      </x:c>
      <x:c r="E107" s="211" t="n">
        <x:f>'P4 Assumptions'!D88</x:f>
        <x:v>-320</x:v>
      </x:c>
      <x:c r="F107" s="211" t="n">
        <x:f>'P4 Assumptions'!E88</x:f>
        <x:v>-320</x:v>
      </x:c>
      <x:c r="G107" s="211" t="n">
        <x:f>'P4 Assumptions'!F88</x:f>
        <x:v>-300</x:v>
      </x:c>
      <x:c r="H107" s="211" t="n">
        <x:f>'P4 Assumptions'!G88</x:f>
        <x:v>-280</x:v>
      </x:c>
      <x:c r="I107" s="89" t="str">
        <x:v>Analyst assumption</x:v>
      </x:c>
      <x:c r="J107" s="89" t="str">
        <x:v>Historical link / analyst assumption</x:v>
      </x:c>
      <x:c r="K107" s="90" t="str">
        <x:v>Analyst assumption</x:v>
      </x:c>
    </x:row>
    <x:row r="108" ht="29" customHeight="1">
      <x:c r="A108" s="459" t="str">
        <x:v>Core PBT</x:v>
      </x:c>
      <x:c r="B108" s="460" t="str">
        <x:v>VND bn</x:v>
      </x:c>
      <x:c r="C108" s="495" t="n">
        <x:f>'P3 Historical IS'!G25</x:f>
        <x:v>2520.827</x:v>
      </x:c>
      <x:c r="D108" s="495" t="n">
        <x:f>D99+D100-D101+D106+D107</x:f>
        <x:v>2548.753894379544</x:v>
      </x:c>
      <x:c r="E108" s="495" t="n">
        <x:f>E99+E100-E101+E106+E107</x:f>
        <x:v>2497.752967113419</x:v>
      </x:c>
      <x:c r="F108" s="495" t="n">
        <x:f>F99+F100-F101+F106+F107</x:f>
        <x:v>2647.436147503645</x:v>
      </x:c>
      <x:c r="G108" s="495" t="n">
        <x:f>G99+G100-G101+G106+G107</x:f>
        <x:v>2903.300495718142</x:v>
      </x:c>
      <x:c r="H108" s="495" t="n">
        <x:f>H99+H100-H101+H106+H107</x:f>
        <x:v>3176.605130716883</x:v>
      </x:c>
      <x:c r="I108" s="460" t="str">
        <x:v>EBIT + net finance + associates + other</x:v>
      </x:c>
      <x:c r="J108" s="460" t="str">
        <x:v>Model output</x:v>
      </x:c>
      <x:c r="K108" s="460" t="str">
        <x:v>EBIT + net finance + associates + other</x:v>
      </x:c>
    </x:row>
    <x:row r="109" ht="29" customHeight="1">
      <x:c r="A109" s="88" t="str">
        <x:v>Core PBT margin</x:v>
      </x:c>
      <x:c r="B109" s="89" t="str">
        <x:v>%</x:v>
      </x:c>
      <x:c r="C109" s="125" t="n">
        <x:f>'P3 Historical IS'!G27</x:f>
        <x:v>0.42323980747082635</x:v>
      </x:c>
      <x:c r="D109" s="109" t="n">
        <x:f>D108/D96</x:f>
        <x:v>0.41693822679996123</x:v>
      </x:c>
      <x:c r="E109" s="109" t="n">
        <x:f>E108/E96</x:f>
        <x:v>0.40196101709841503</x:v>
      </x:c>
      <x:c r="F109" s="109" t="n">
        <x:f>F108/F96</x:f>
        <x:v>0.4086314558717656</x:v>
      </x:c>
      <x:c r="G109" s="109" t="n">
        <x:f>G108/G96</x:f>
        <x:v>0.42199138747308923</x:v>
      </x:c>
      <x:c r="H109" s="109" t="n">
        <x:f>H108/H96</x:f>
        <x:v>0.43110474440006386</x:v>
      </x:c>
      <x:c r="I109" s="89" t="str">
        <x:v>Model output</x:v>
      </x:c>
      <x:c r="J109" s="89" t="str">
        <x:v>Model output</x:v>
      </x:c>
      <x:c r="K109" s="90" t="str">
        <x:v>Model output</x:v>
      </x:c>
    </x:row>
    <x:row r="110" ht="29" customHeight="1">
      <x:c r="A110" s="88" t="str">
        <x:v>Effective PBT tax rate</x:v>
      </x:c>
      <x:c r="B110" s="89" t="str">
        <x:v>%</x:v>
      </x:c>
      <x:c r="C110" s="125" t="n">
        <x:f>('P3 Historical IS'!G38-'P3 Historical IS'!G39)/'P3 Historical IS'!G25</x:f>
        <x:v>0.0866001376683128</x:v>
      </x:c>
      <x:c r="D110" s="109" t="n">
        <x:f>'P4 Assumptions'!C93</x:f>
        <x:v>0.11</x:v>
      </x:c>
      <x:c r="E110" s="109" t="n">
        <x:f>'P4 Assumptions'!D93</x:f>
        <x:v>0.11</x:v>
      </x:c>
      <x:c r="F110" s="109" t="n">
        <x:f>'P4 Assumptions'!E93</x:f>
        <x:v>0.11</x:v>
      </x:c>
      <x:c r="G110" s="109" t="n">
        <x:f>'P4 Assumptions'!F93</x:f>
        <x:v>0.11</x:v>
      </x:c>
      <x:c r="H110" s="109" t="n">
        <x:f>'P4 Assumptions'!G93</x:f>
        <x:v>0.11</x:v>
      </x:c>
      <x:c r="I110" s="89" t="str">
        <x:v>Analyst assumption</x:v>
      </x:c>
      <x:c r="J110" s="89" t="str">
        <x:v>Historical link / analyst assumption</x:v>
      </x:c>
      <x:c r="K110" s="90" t="str">
        <x:v>Analyst assumption</x:v>
      </x:c>
    </x:row>
    <x:row r="111" ht="29" customHeight="1">
      <x:c r="A111" s="88" t="str">
        <x:v>Consolidated PAT</x:v>
      </x:c>
      <x:c r="B111" s="89" t="str">
        <x:v>VND bn</x:v>
      </x:c>
      <x:c r="C111" s="288" t="n">
        <x:f>'P3 Historical IS'!G41</x:f>
        <x:v>2302.523181352</x:v>
      </x:c>
      <x:c r="D111" s="211" t="n">
        <x:f>D108*(1-D110)</x:f>
        <x:v>2268.390965997794</x:v>
      </x:c>
      <x:c r="E111" s="211" t="n">
        <x:f>E108*(1-E110)</x:f>
        <x:v>2223.000140730943</x:v>
      </x:c>
      <x:c r="F111" s="211" t="n">
        <x:f>F108*(1-F110)</x:f>
        <x:v>2356.218171278244</x:v>
      </x:c>
      <x:c r="G111" s="211" t="n">
        <x:f>G108*(1-G110)</x:f>
        <x:v>2583.9374411891463</x:v>
      </x:c>
      <x:c r="H111" s="211" t="n">
        <x:f>H108*(1-H110)</x:f>
        <x:v>2827.178566338026</x:v>
      </x:c>
      <x:c r="I111" s="89" t="str">
        <x:v>PBT after effective tax</x:v>
      </x:c>
      <x:c r="J111" s="89" t="str">
        <x:v>Model output</x:v>
      </x:c>
      <x:c r="K111" s="90" t="str">
        <x:v>PBT after effective tax</x:v>
      </x:c>
    </x:row>
    <x:row r="112" ht="29" customHeight="1">
      <x:c r="A112" s="88" t="str">
        <x:v>NCI share of PAT</x:v>
      </x:c>
      <x:c r="B112" s="89" t="str">
        <x:v>%</x:v>
      </x:c>
      <x:c r="C112" s="125" t="n">
        <x:f>'P3 Historical IS'!G44/'P3 Historical IS'!G41</x:f>
        <x:v>0.23751915311222802</x:v>
      </x:c>
      <x:c r="D112" s="109" t="n">
        <x:f>'P4 Assumptions'!C94</x:f>
        <x:v>0.24</x:v>
      </x:c>
      <x:c r="E112" s="109" t="n">
        <x:f>'P4 Assumptions'!D94</x:f>
        <x:v>0.24</x:v>
      </x:c>
      <x:c r="F112" s="109" t="n">
        <x:f>'P4 Assumptions'!E94</x:f>
        <x:v>0.24</x:v>
      </x:c>
      <x:c r="G112" s="109" t="n">
        <x:f>'P4 Assumptions'!F94</x:f>
        <x:v>0.24</x:v>
      </x:c>
      <x:c r="H112" s="109" t="n">
        <x:f>'P4 Assumptions'!G94</x:f>
        <x:v>0.24</x:v>
      </x:c>
      <x:c r="I112" s="89" t="str">
        <x:v>Analyst assumption</x:v>
      </x:c>
      <x:c r="J112" s="89" t="str">
        <x:v>Historical link / analyst assumption</x:v>
      </x:c>
      <x:c r="K112" s="90" t="str">
        <x:v>Analyst assumption</x:v>
      </x:c>
    </x:row>
    <x:row r="113" ht="29" customHeight="1">
      <x:c r="A113" s="88" t="str">
        <x:v>NCI PAT</x:v>
      </x:c>
      <x:c r="B113" s="89" t="str">
        <x:v>VND bn</x:v>
      </x:c>
      <x:c r="C113" s="288" t="n">
        <x:f>'P3 Historical IS'!G44</x:f>
        <x:v>546.893356056</x:v>
      </x:c>
      <x:c r="D113" s="211" t="n">
        <x:f>D111*D112</x:f>
        <x:v>544.4138318394705</x:v>
      </x:c>
      <x:c r="E113" s="211" t="n">
        <x:f>E111*E112</x:f>
        <x:v>533.5200337754262</x:v>
      </x:c>
      <x:c r="F113" s="211" t="n">
        <x:f>F111*F112</x:f>
        <x:v>565.4923611067785</x:v>
      </x:c>
      <x:c r="G113" s="211" t="n">
        <x:f>G111*G112</x:f>
        <x:v>620.144985885395</x:v>
      </x:c>
      <x:c r="H113" s="211" t="n">
        <x:f>H111*H112</x:f>
        <x:v>678.5228559211262</x:v>
      </x:c>
      <x:c r="I113" s="89" t="str">
        <x:v>PAT × NCI share</x:v>
      </x:c>
      <x:c r="J113" s="89" t="str">
        <x:v>Model output</x:v>
      </x:c>
      <x:c r="K113" s="90" t="str">
        <x:v>PAT × NCI share</x:v>
      </x:c>
    </x:row>
    <x:row r="114" ht="29" customHeight="1">
      <x:c r="A114" s="499" t="str">
        <x:v>Parent PAT</x:v>
      </x:c>
      <x:c r="B114" s="500" t="str">
        <x:v>VND bn</x:v>
      </x:c>
      <x:c r="C114" s="501" t="n">
        <x:f>'P3 Historical IS'!G43</x:f>
        <x:v>1755.629825296</x:v>
      </x:c>
      <x:c r="D114" s="501" t="n">
        <x:f>D111-D113</x:f>
        <x:v>1723.9771341583235</x:v>
      </x:c>
      <x:c r="E114" s="501" t="n">
        <x:f>E111-E113</x:f>
        <x:v>1689.4801069555165</x:v>
      </x:c>
      <x:c r="F114" s="501" t="n">
        <x:f>F111-F113</x:f>
        <x:v>1790.7258101714656</x:v>
      </x:c>
      <x:c r="G114" s="501" t="n">
        <x:f>G111-G113</x:f>
        <x:v>1963.7924553037512</x:v>
      </x:c>
      <x:c r="H114" s="501" t="n">
        <x:f>H111-H113</x:f>
        <x:v>2148.6557104168996</x:v>
      </x:c>
      <x:c r="I114" s="500" t="str">
        <x:v>PAT less NCI</x:v>
      </x:c>
      <x:c r="J114" s="500" t="str">
        <x:v>Model output</x:v>
      </x:c>
      <x:c r="K114" s="500" t="str">
        <x:v>PAT less NCI</x:v>
      </x:c>
    </x:row>
    <x:row r="115" ht="29" customHeight="1">
      <x:c r="A115" s="502" t="str">
        <x:v>EPS</x:v>
      </x:c>
      <x:c r="B115" s="503" t="str">
        <x:v>VND/share</x:v>
      </x:c>
      <x:c r="C115" s="504" t="n">
        <x:f>C114*1000/'P4 Assumptions'!$C$18</x:f>
        <x:v>4116.412564290392</x:v>
      </x:c>
      <x:c r="D115" s="504" t="n">
        <x:f>D114*1000/'P4 Assumptions'!$C$18</x:f>
        <x:v>4042.1967281184543</x:v>
      </x:c>
      <x:c r="E115" s="504" t="n">
        <x:f>E114*1000/'P4 Assumptions'!$C$18</x:f>
        <x:v>3961.311797729236</x:v>
      </x:c>
      <x:c r="F115" s="504" t="n">
        <x:f>F114*1000/'P4 Assumptions'!$C$18</x:f>
        <x:v>4198.701866406317</x:v>
      </x:c>
      <x:c r="G115" s="504" t="n">
        <x:f>G114*1000/'P4 Assumptions'!$C$18</x:f>
        <x:v>4604.489978579687</x:v>
      </x:c>
      <x:c r="H115" s="504" t="n">
        <x:f>H114*1000/'P4 Assumptions'!$C$18</x:f>
        <x:v>5037.937516926834</x:v>
      </x:c>
      <x:c r="I115" s="503" t="str">
        <x:v>Parent PAT divided by listed shares</x:v>
      </x:c>
      <x:c r="J115" s="503" t="str">
        <x:v>Model output</x:v>
      </x:c>
      <x:c r="K115" s="503" t="str">
        <x:v>Parent PAT divided by listed shares</x:v>
      </x:c>
    </x:row>
    <x:row r="116" ht="29" customHeight="1">
      <x:c r="A116" s="88" t="str">
        <x:v>D&amp;A</x:v>
      </x:c>
      <x:c r="B116" s="89" t="str">
        <x:v>VND bn</x:v>
      </x:c>
      <x:c r="C116" s="288" t="n">
        <x:f>'P3 Cash Flow'!G7</x:f>
        <x:v>415.219036556</x:v>
      </x:c>
      <x:c r="D116" s="211" t="n">
        <x:f>'P4 Assumptions'!C95</x:f>
        <x:v>500</x:v>
      </x:c>
      <x:c r="E116" s="211" t="n">
        <x:f>'P4 Assumptions'!D95</x:f>
        <x:v>570</x:v>
      </x:c>
      <x:c r="F116" s="211" t="n">
        <x:f>'P4 Assumptions'!E95</x:f>
        <x:v>640</x:v>
      </x:c>
      <x:c r="G116" s="211" t="n">
        <x:f>'P4 Assumptions'!F95</x:f>
        <x:v>700</x:v>
      </x:c>
      <x:c r="H116" s="211" t="n">
        <x:f>'P4 Assumptions'!G95</x:f>
        <x:v>750</x:v>
      </x:c>
      <x:c r="I116" s="89" t="str">
        <x:v>Analyst assumption</x:v>
      </x:c>
      <x:c r="J116" s="89" t="str">
        <x:v>Historical link / analyst assumption</x:v>
      </x:c>
      <x:c r="K116" s="90" t="str">
        <x:v>Analyst assumption</x:v>
      </x:c>
    </x:row>
    <x:row r="117" ht="29" customHeight="1">
      <x:c r="A117" s="88" t="str">
        <x:v>Cash capex</x:v>
      </x:c>
      <x:c r="B117" s="89" t="str">
        <x:v>VND bn</x:v>
      </x:c>
      <x:c r="C117" s="288" t="n">
        <x:f>'P3 Cash Flow'!G8</x:f>
        <x:v>1676.123112351</x:v>
      </x:c>
      <x:c r="D117" s="211" t="n">
        <x:f>'P4 Assumptions'!C96</x:f>
        <x:v>1500</x:v>
      </x:c>
      <x:c r="E117" s="211" t="n">
        <x:f>'P4 Assumptions'!D96</x:f>
        <x:v>1350</x:v>
      </x:c>
      <x:c r="F117" s="211" t="n">
        <x:f>'P4 Assumptions'!E96</x:f>
        <x:v>1200</x:v>
      </x:c>
      <x:c r="G117" s="211" t="n">
        <x:f>'P4 Assumptions'!F96</x:f>
        <x:v>950</x:v>
      </x:c>
      <x:c r="H117" s="211" t="n">
        <x:f>'P4 Assumptions'!G96</x:f>
        <x:v>850</x:v>
      </x:c>
      <x:c r="I117" s="89" t="str">
        <x:v>Analyst assumption</x:v>
      </x:c>
      <x:c r="J117" s="89" t="str">
        <x:v>Historical link / analyst assumption</x:v>
      </x:c>
      <x:c r="K117" s="90" t="str">
        <x:v>Analyst assumption</x:v>
      </x:c>
    </x:row>
    <x:row r="118" ht="29" customHeight="1">
      <x:c r="A118" s="88" t="str">
        <x:v>Cash investment in NWC</x:v>
      </x:c>
      <x:c r="B118" s="89" t="str">
        <x:v>VND bn</x:v>
      </x:c>
      <x:c r="C118" s="288"/>
      <x:c r="D118" s="211" t="n">
        <x:f>MAX(D96-C96,0)*'P4 Assumptions'!C97</x:f>
        <x:v>2.354998800498688</x:v>
      </x:c>
      <x:c r="E118" s="211" t="n">
        <x:f>MAX(E96-D96,0)*'P4 Assumptions'!D97</x:f>
        <x:v>1.5133980011244694</x:v>
      </x:c>
      <x:c r="F118" s="211" t="n">
        <x:f>MAX(F96-E96,0)*'P4 Assumptions'!E97</x:f>
        <x:v>3.973028134189044</x:v>
      </x:c>
      <x:c r="G118" s="211" t="n">
        <x:f>MAX(G96-F96,0)*'P4 Assumptions'!F97</x:f>
        <x:v>6.018186719087803</x:v>
      </x:c>
      <x:c r="H118" s="211" t="n">
        <x:f>MAX(H96-G96,0)*'P4 Assumptions'!G97</x:f>
        <x:v>7.327850626024037</x:v>
      </x:c>
      <x:c r="I118" s="89" t="str">
        <x:v>Incremental revenue × NWC rate</x:v>
      </x:c>
      <x:c r="J118" s="89" t="str">
        <x:v>Model output</x:v>
      </x:c>
      <x:c r="K118" s="90" t="str">
        <x:v>Incremental revenue × NWC rate</x:v>
      </x:c>
    </x:row>
    <x:row r="119" ht="29" customHeight="1">
      <x:c r="A119" s="88" t="str">
        <x:v>Statutory tax rate on EBIT</x:v>
      </x:c>
      <x:c r="B119" s="89" t="str">
        <x:v>%</x:v>
      </x:c>
      <x:c r="C119" s="125" t="n">
        <x:f>'P4 Assumptions'!C98</x:f>
        <x:v>0.2</x:v>
      </x:c>
      <x:c r="D119" s="109" t="n">
        <x:f>'P4 Assumptions'!C98</x:f>
        <x:v>0.2</x:v>
      </x:c>
      <x:c r="E119" s="109" t="n">
        <x:f>'P4 Assumptions'!D98</x:f>
        <x:v>0.2</x:v>
      </x:c>
      <x:c r="F119" s="109" t="n">
        <x:f>'P4 Assumptions'!E98</x:f>
        <x:v>0.2</x:v>
      </x:c>
      <x:c r="G119" s="109" t="n">
        <x:f>'P4 Assumptions'!F98</x:f>
        <x:v>0.2</x:v>
      </x:c>
      <x:c r="H119" s="109" t="n">
        <x:f>'P4 Assumptions'!G98</x:f>
        <x:v>0.2</x:v>
      </x:c>
      <x:c r="I119" s="89" t="str">
        <x:v>FCFF tax assumption</x:v>
      </x:c>
      <x:c r="J119" s="89" t="str">
        <x:v>Historical link / analyst assumption</x:v>
      </x:c>
      <x:c r="K119" s="90" t="str">
        <x:v>FCFF tax assumption</x:v>
      </x:c>
    </x:row>
    <x:row r="120" ht="29" customHeight="1">
      <x:c r="A120" s="499" t="str">
        <x:v>FCFF</x:v>
      </x:c>
      <x:c r="B120" s="500" t="str">
        <x:v>VND bn</x:v>
      </x:c>
      <x:c r="C120" s="501"/>
      <x:c r="D120" s="501" t="n">
        <x:f>D99*(1-D119)+D116-D117-D118</x:f>
        <x:v>269.1542463455366</x:v>
      </x:c>
      <x:c r="E120" s="501" t="n">
        <x:f>E99*(1-E119)+E116-E117-E118</x:f>
        <x:v>486.12595909201053</x:v>
      </x:c>
      <x:c r="F120" s="501" t="n">
        <x:f>F99*(1-F119)+F116-F117-F118</x:f>
        <x:v>783.614659421527</x:v>
      </x:c>
      <x:c r="G120" s="501" t="n">
        <x:f>G99*(1-G119)+G116-G117-G118</x:f>
        <x:v>1202.5416876373458</x:v>
      </x:c>
      <x:c r="H120" s="501" t="n">
        <x:f>H99*(1-H119)+H116-H117-H118</x:f>
        <x:v>1484.2730703745228</x:v>
      </x:c>
      <x:c r="I120" s="500" t="str">
        <x:v>EBIT after statutory tax + D&amp;A - capex - NWC</x:v>
      </x:c>
      <x:c r="J120" s="500" t="str">
        <x:v>Model output</x:v>
      </x:c>
      <x:c r="K120" s="500" t="str">
        <x:v>EBIT after statutory tax + D&amp;A - capex - NWC</x:v>
      </x:c>
    </x:row>
    <x:row r="121" ht="29" customHeight="1">
      <x:c r="A121" s="502" t="str">
        <x:v>FCFF margin</x:v>
      </x:c>
      <x:c r="B121" s="503" t="str">
        <x:v>%</x:v>
      </x:c>
      <x:c r="C121" s="514"/>
      <x:c r="D121" s="514" t="n">
        <x:f>D120/D96</x:f>
        <x:v>0.04402963128548997</x:v>
      </x:c>
      <x:c r="E121" s="514" t="n">
        <x:f>E120/E96</x:f>
        <x:v>0.07823178974355877</x:v>
      </x:c>
      <x:c r="F121" s="514" t="n">
        <x:f>F120/F96</x:f>
        <x:v>0.12095082989019869</x:v>
      </x:c>
      <x:c r="G121" s="514" t="n">
        <x:f>G120/G96</x:f>
        <x:v>0.17478805105042744</x:v>
      </x:c>
      <x:c r="H121" s="514" t="n">
        <x:f>H120/H96</x:f>
        <x:v>0.20143427851207363</x:v>
      </x:c>
      <x:c r="I121" s="503" t="str">
        <x:v>FCFF divided by revenue</x:v>
      </x:c>
      <x:c r="J121" s="503" t="str">
        <x:v>Model output</x:v>
      </x:c>
      <x:c r="K121" s="503" t="str">
        <x:v>FCFF divided by revenue</x:v>
      </x:c>
    </x:row>
  </x:sheetData>
  <x:mergeCells>
    <x:mergeCell ref="A1:K1"/>
    <x:mergeCell ref="A2:K2"/>
    <x:mergeCell ref="A4:K4"/>
    <x:mergeCell ref="A44:K44"/>
    <x:mergeCell ref="A84:K84"/>
  </x:mergeCells>
  <x:pageMargins left="0.7" right="0.7" top="0.75" bottom="0.75" header="0.3" footer="0.3"/>
</x:worksheet>
</file>

<file path=xl/worksheets/sheet30.xml><?xml version="1.0" encoding="utf-8"?>
<x:worksheet xmlns:x="http://schemas.openxmlformats.org/spreadsheetml/2006/main">
  <x:sheetViews>
    <x:sheetView showGridLines="0" workbookViewId="0"/>
  </x:sheetViews>
  <x:sheetFormatPr defaultRowHeight="15"/>
  <x:cols>
    <x:col min="1" max="1" width="43" hidden="0" customWidth="1"/>
    <x:col min="2" max="2" width="17" hidden="0" customWidth="1"/>
    <x:col min="3" max="3" width="17" hidden="0" customWidth="1"/>
    <x:col min="4" max="4" width="17" hidden="0" customWidth="1"/>
    <x:col min="5" max="5" width="17" hidden="0" customWidth="1"/>
    <x:col min="6" max="6" width="17" hidden="0" customWidth="1"/>
    <x:col min="7" max="7" width="22" hidden="0" customWidth="1"/>
    <x:col min="8" max="8" width="30" hidden="0" customWidth="1"/>
  </x:cols>
  <x:sheetData>
    <x:row r="1" ht="30" customHeight="1">
      <x:c r="A1" s="408" t="str">
        <x:v>Phase 4 — DCF Cross-Check &amp; SOTP Equity Bridge</x:v>
      </x:c>
      <x:c r="B1" s="408" t="str">
        <x:v>Phase 4 — DCF Cross-Check &amp; SOTP Equity Bridge</x:v>
      </x:c>
      <x:c r="C1" s="408" t="str">
        <x:v>Phase 4 — DCF Cross-Check &amp; SOTP Equity Bridge</x:v>
      </x:c>
      <x:c r="D1" s="408" t="str">
        <x:v>Phase 4 — DCF Cross-Check &amp; SOTP Equity Bridge</x:v>
      </x:c>
      <x:c r="E1" s="408" t="str">
        <x:v>Phase 4 — DCF Cross-Check &amp; SOTP Equity Bridge</x:v>
      </x:c>
      <x:c r="F1" s="408" t="str">
        <x:v>Phase 4 — DCF Cross-Check &amp; SOTP Equity Bridge</x:v>
      </x:c>
      <x:c r="G1" s="408" t="str">
        <x:v>Phase 4 — DCF Cross-Check &amp; SOTP Equity Bridge</x:v>
      </x:c>
      <x:c r="H1" s="408" t="str">
        <x:v>Phase 4 — DCF Cross-Check &amp; SOTP Equity Bridge</x:v>
      </x:c>
    </x:row>
    <x:row r="2" ht="34" customHeight="1">
      <x:c r="A2" s="412" t="str">
        <x:v>Consolidated operating FCFF is discounted separately. Equity-accounted associates are added at an earnings multiple, net cash is added, and the value attributable to NCI is deducted.</x:v>
      </x:c>
      <x:c r="B2" s="412" t="str">
        <x:v>Consolidated operating FCFF is discounted separately. Equity-accounted associates are added at an earnings multiple, net cash is added, and the value attributable to NCI is deducted.</x:v>
      </x:c>
      <x:c r="C2" s="412" t="str">
        <x:v>Consolidated operating FCFF is discounted separately. Equity-accounted associates are added at an earnings multiple, net cash is added, and the value attributable to NCI is deducted.</x:v>
      </x:c>
      <x:c r="D2" s="412" t="str">
        <x:v>Consolidated operating FCFF is discounted separately. Equity-accounted associates are added at an earnings multiple, net cash is added, and the value attributable to NCI is deducted.</x:v>
      </x:c>
      <x:c r="E2" s="412" t="str">
        <x:v>Consolidated operating FCFF is discounted separately. Equity-accounted associates are added at an earnings multiple, net cash is added, and the value attributable to NCI is deducted.</x:v>
      </x:c>
      <x:c r="F2" s="412" t="str">
        <x:v>Consolidated operating FCFF is discounted separately. Equity-accounted associates are added at an earnings multiple, net cash is added, and the value attributable to NCI is deducted.</x:v>
      </x:c>
      <x:c r="G2" s="412" t="str">
        <x:v>Consolidated operating FCFF is discounted separately. Equity-accounted associates are added at an earnings multiple, net cash is added, and the value attributable to NCI is deducted.</x:v>
      </x:c>
      <x:c r="H2" s="412" t="str">
        <x:v>Consolidated operating FCFF is discounted separately. Equity-accounted associates are added at an earnings multiple, net cash is added, and the value attributable to NCI is deducted.</x:v>
      </x:c>
    </x:row>
    <x:row r="4" ht="22" customHeight="1">
      <x:c r="A4" s="415" t="str">
        <x:v>Base case DCF</x:v>
      </x:c>
      <x:c r="B4" s="415" t="str">
        <x:v>Base case DCF</x:v>
      </x:c>
      <x:c r="C4" s="415" t="str">
        <x:v>Base case DCF</x:v>
      </x:c>
      <x:c r="D4" s="415" t="str">
        <x:v>Base case DCF</x:v>
      </x:c>
      <x:c r="E4" s="415" t="str">
        <x:v>Base case DCF</x:v>
      </x:c>
      <x:c r="F4" s="415" t="str">
        <x:v>Base case DCF</x:v>
      </x:c>
      <x:c r="G4" s="415" t="str">
        <x:v>Base case DCF</x:v>
      </x:c>
      <x:c r="H4" s="415" t="str">
        <x:v>Base case DCF</x:v>
      </x:c>
    </x:row>
    <x:row r="5" ht="32" customHeight="1">
      <x:c r="A5" s="421" t="str">
        <x:v>Metric</x:v>
      </x:c>
      <x:c r="B5" s="433" t="n">
        <x:v>46387</x:v>
      </x:c>
      <x:c r="C5" s="433" t="n">
        <x:v>46752</x:v>
      </x:c>
      <x:c r="D5" s="433" t="n">
        <x:v>47118</x:v>
      </x:c>
      <x:c r="E5" s="433" t="n">
        <x:v>47483</x:v>
      </x:c>
      <x:c r="F5" s="433" t="n">
        <x:v>47848</x:v>
      </x:c>
      <x:c r="G5" s="421" t="str">
        <x:v>Unit / note</x:v>
      </x:c>
    </x:row>
    <x:row r="6" ht="27" customHeight="1">
      <x:c r="A6" s="85" t="str">
        <x:v>FCFF</x:v>
      </x:c>
      <x:c r="B6" s="287" t="n">
        <x:f>'P4 Forecast'!D40</x:f>
        <x:v>597.6501937209472</x:v>
      </x:c>
      <x:c r="C6" s="287" t="n">
        <x:f>'P4 Forecast'!E40</x:f>
        <x:v>1096.6696376701886</x:v>
      </x:c>
      <x:c r="D6" s="287" t="n">
        <x:f>'P4 Forecast'!F40</x:f>
        <x:v>1684.1035259928767</x:v>
      </x:c>
      <x:c r="E6" s="287" t="n">
        <x:f>'P4 Forecast'!G40</x:f>
        <x:v>2218.702664930385</x:v>
      </x:c>
      <x:c r="F6" s="287" t="n">
        <x:f>'P4 Forecast'!H40</x:f>
        <x:v>2660.59907091247</x:v>
      </x:c>
      <x:c r="G6" s="87" t="str">
        <x:v>VND bn</x:v>
      </x:c>
    </x:row>
    <x:row r="7" ht="27" customHeight="1">
      <x:c r="A7" s="88" t="str">
        <x:v>Discount period</x:v>
      </x:c>
      <x:c r="B7" s="89" t="n">
        <x:v>1</x:v>
      </x:c>
      <x:c r="C7" s="89" t="n">
        <x:v>2</x:v>
      </x:c>
      <x:c r="D7" s="89" t="n">
        <x:v>3</x:v>
      </x:c>
      <x:c r="E7" s="89" t="n">
        <x:v>4</x:v>
      </x:c>
      <x:c r="F7" s="89" t="n">
        <x:v>5</x:v>
      </x:c>
      <x:c r="G7" s="90" t="str">
        <x:v>Year</x:v>
      </x:c>
    </x:row>
    <x:row r="8" ht="27" customHeight="1">
      <x:c r="A8" s="88" t="str">
        <x:v>Discount factor</x:v>
      </x:c>
      <x:c r="B8" s="211" t="n">
        <x:f>1/(1+$B$11)^B7</x:f>
        <x:v>0.8962043059032081</x:v>
      </x:c>
      <x:c r="C8" s="211" t="n">
        <x:f>1/(1+$B$11)^C7</x:f>
        <x:v>0.8031821579194509</x:v>
      </x:c>
      <x:c r="D8" s="211" t="n">
        <x:f>1/(1+$B$11)^D7</x:f>
        <x:v>0.7198153083520424</x:v>
      </x:c>
      <x:c r="E8" s="211" t="n">
        <x:f>1/(1+$B$11)^E7</x:f>
        <x:v>0.645101578800146</x:v>
      </x:c>
      <x:c r="F8" s="211" t="n">
        <x:f>1/(1+$B$11)^F7</x:f>
        <x:v>0.5781428126656485</x:v>
      </x:c>
      <x:c r="G8" s="90" t="str">
        <x:v>x</x:v>
      </x:c>
    </x:row>
    <x:row r="9" ht="27" customHeight="1">
      <x:c r="A9" s="88" t="str">
        <x:v>PV of FCFF</x:v>
      </x:c>
      <x:c r="B9" s="211" t="n">
        <x:f>B6*B8</x:f>
        <x:v>535.6166770365993</x:v>
      </x:c>
      <x:c r="C9" s="211" t="n">
        <x:f>C6*C8</x:f>
        <x:v>880.8254861086845</x:v>
      </x:c>
      <x:c r="D9" s="211" t="n">
        <x:f>D6*D8</x:f>
        <x:v>1212.2434988593245</x:v>
      </x:c>
      <x:c r="E9" s="211" t="n">
        <x:f>E6*E8</x:f>
        <x:v>1431.2885920346826</x:v>
      </x:c>
      <x:c r="F9" s="211" t="n">
        <x:f>F6*F8</x:f>
        <x:v>1538.2062302329464</x:v>
      </x:c>
      <x:c r="G9" s="90" t="str">
        <x:v>VND bn</x:v>
      </x:c>
    </x:row>
    <x:row r="10" ht="27" customHeight="1">
      <x:c r="A10" s="88" t="str"/>
      <x:c r="B10" s="89"/>
      <x:c r="C10" s="89"/>
      <x:c r="D10" s="89"/>
      <x:c r="E10" s="89"/>
      <x:c r="F10" s="89"/>
      <x:c r="G10" s="90" t="str"/>
    </x:row>
    <x:row r="11" ht="27" customHeight="1">
      <x:c r="A11" s="88" t="str">
        <x:v>WACC</x:v>
      </x:c>
      <x:c r="B11" s="125" t="n">
        <x:f>'P4 Assumptions'!C112</x:f>
        <x:v>0.115817</x:v>
      </x:c>
      <x:c r="C11" s="89"/>
      <x:c r="D11" s="89"/>
      <x:c r="E11" s="89"/>
      <x:c r="F11" s="89"/>
      <x:c r="G11" s="90" t="str">
        <x:v>%</x:v>
      </x:c>
    </x:row>
    <x:row r="12" ht="27" customHeight="1">
      <x:c r="A12" s="88" t="str">
        <x:v>Terminal growth</x:v>
      </x:c>
      <x:c r="B12" s="125" t="n">
        <x:f>'P4 Assumptions'!C113</x:f>
        <x:v>0.04</x:v>
      </x:c>
      <x:c r="C12" s="89"/>
      <x:c r="D12" s="89"/>
      <x:c r="E12" s="89"/>
      <x:c r="F12" s="89"/>
      <x:c r="G12" s="90" t="str">
        <x:v>%</x:v>
      </x:c>
    </x:row>
    <x:row r="13" ht="27" customHeight="1">
      <x:c r="A13" s="88" t="str">
        <x:v>Terminal cash flow</x:v>
      </x:c>
      <x:c r="B13" s="211" t="n">
        <x:f>F6*(1+B12)</x:f>
        <x:v>2767.023033748969</x:v>
      </x:c>
      <x:c r="C13" s="89"/>
      <x:c r="D13" s="89"/>
      <x:c r="E13" s="89"/>
      <x:c r="F13" s="89"/>
      <x:c r="G13" s="90" t="str">
        <x:v>VND bn</x:v>
      </x:c>
    </x:row>
    <x:row r="14" ht="27" customHeight="1">
      <x:c r="A14" s="88" t="str">
        <x:v>Terminal value</x:v>
      </x:c>
      <x:c r="B14" s="211" t="n">
        <x:f>B13/(B11-B12)</x:f>
        <x:v>36496.0765230617</x:v>
      </x:c>
      <x:c r="C14" s="89"/>
      <x:c r="D14" s="89"/>
      <x:c r="E14" s="89"/>
      <x:c r="F14" s="89"/>
      <x:c r="G14" s="90" t="str">
        <x:v>VND bn</x:v>
      </x:c>
    </x:row>
    <x:row r="15" ht="27" customHeight="1">
      <x:c r="A15" s="88" t="str">
        <x:v>PV of terminal value</x:v>
      </x:c>
      <x:c r="B15" s="211" t="n">
        <x:f>B14*F8</x:f>
        <x:v>21099.944332303636</x:v>
      </x:c>
      <x:c r="C15" s="89"/>
      <x:c r="D15" s="89"/>
      <x:c r="E15" s="89"/>
      <x:c r="F15" s="89"/>
      <x:c r="G15" s="90" t="str">
        <x:v>VND bn</x:v>
      </x:c>
    </x:row>
    <x:row r="16" ht="27" customHeight="1">
      <x:c r="A16" s="88" t="str">
        <x:v>PV of forecast FCFF</x:v>
      </x:c>
      <x:c r="B16" s="211" t="n">
        <x:f>SUM(B9:F9)</x:f>
        <x:v>5598.180484272238</x:v>
      </x:c>
      <x:c r="C16" s="89"/>
      <x:c r="D16" s="89"/>
      <x:c r="E16" s="89"/>
      <x:c r="F16" s="89"/>
      <x:c r="G16" s="90" t="str">
        <x:v>VND bn</x:v>
      </x:c>
    </x:row>
    <x:row r="17" ht="27" customHeight="1">
      <x:c r="A17" s="459" t="str">
        <x:v>Consolidated enterprise value</x:v>
      </x:c>
      <x:c r="B17" s="495" t="n">
        <x:f>SUM(B15:B16)</x:f>
        <x:v>26698.124816575873</x:v>
      </x:c>
      <x:c r="C17" s="460"/>
      <x:c r="D17" s="460"/>
      <x:c r="E17" s="460"/>
      <x:c r="F17" s="460"/>
      <x:c r="G17" s="460" t="str">
        <x:v>VND bn</x:v>
      </x:c>
    </x:row>
    <x:row r="18" ht="27" customHeight="1">
      <x:c r="A18" s="88" t="str"/>
      <x:c r="B18" s="211"/>
      <x:c r="C18" s="89"/>
      <x:c r="D18" s="89"/>
      <x:c r="E18" s="89"/>
      <x:c r="F18" s="89"/>
      <x:c r="G18" s="90" t="str"/>
    </x:row>
    <x:row r="19" ht="27" customHeight="1">
      <x:c r="A19" s="88" t="str">
        <x:v>2026E associate earnings</x:v>
      </x:c>
      <x:c r="B19" s="211" t="n">
        <x:f>'P4 Forecast'!D26</x:f>
        <x:v>1262.25563306488</x:v>
      </x:c>
      <x:c r="C19" s="89"/>
      <x:c r="D19" s="89"/>
      <x:c r="E19" s="89"/>
      <x:c r="F19" s="89"/>
      <x:c r="G19" s="90" t="str">
        <x:v>VND bn</x:v>
      </x:c>
    </x:row>
    <x:row r="20" ht="27" customHeight="1">
      <x:c r="A20" s="88" t="str">
        <x:v>Associate earnings multiple</x:v>
      </x:c>
      <x:c r="B20" s="515" t="n">
        <x:f>'P4 Assumptions'!C114</x:f>
        <x:v>14</x:v>
      </x:c>
      <x:c r="C20" s="89"/>
      <x:c r="D20" s="89"/>
      <x:c r="E20" s="89"/>
      <x:c r="F20" s="89"/>
      <x:c r="G20" s="90" t="str">
        <x:v>x</x:v>
      </x:c>
    </x:row>
    <x:row r="21" ht="27" customHeight="1">
      <x:c r="A21" s="88" t="str">
        <x:v>Associate equity value</x:v>
      </x:c>
      <x:c r="B21" s="211" t="n">
        <x:f>B19*B20</x:f>
        <x:v>17671.578862908318</x:v>
      </x:c>
      <x:c r="C21" s="89"/>
      <x:c r="D21" s="89"/>
      <x:c r="E21" s="89"/>
      <x:c r="F21" s="89"/>
      <x:c r="G21" s="90" t="str">
        <x:v>VND bn</x:v>
      </x:c>
    </x:row>
    <x:row r="22" ht="27" customHeight="1">
      <x:c r="A22" s="88" t="str">
        <x:v>FY2025 net cash</x:v>
      </x:c>
      <x:c r="B22" s="211" t="n">
        <x:f>'P4 Assumptions'!C20</x:f>
        <x:v>1971.728574399</x:v>
      </x:c>
      <x:c r="C22" s="89"/>
      <x:c r="D22" s="89"/>
      <x:c r="E22" s="89"/>
      <x:c r="F22" s="89"/>
      <x:c r="G22" s="90" t="str">
        <x:v>VND bn</x:v>
      </x:c>
    </x:row>
    <x:row r="23" ht="27" customHeight="1">
      <x:c r="A23" s="88" t="str">
        <x:v>2026E NCI PAT</x:v>
      </x:c>
      <x:c r="B23" s="211" t="n">
        <x:f>'P4 Forecast'!D33</x:f>
        <x:v>599.162621221627</x:v>
      </x:c>
      <x:c r="C23" s="89"/>
      <x:c r="D23" s="89"/>
      <x:c r="E23" s="89"/>
      <x:c r="F23" s="89"/>
      <x:c r="G23" s="90" t="str">
        <x:v>VND bn</x:v>
      </x:c>
    </x:row>
    <x:row r="24" ht="27" customHeight="1">
      <x:c r="A24" s="88" t="str">
        <x:v>NCI earnings multiple</x:v>
      </x:c>
      <x:c r="B24" s="515" t="n">
        <x:f>'P4 Assumptions'!C115</x:f>
        <x:v>14</x:v>
      </x:c>
      <x:c r="C24" s="89"/>
      <x:c r="D24" s="89"/>
      <x:c r="E24" s="89"/>
      <x:c r="F24" s="89"/>
      <x:c r="G24" s="90" t="str">
        <x:v>x</x:v>
      </x:c>
    </x:row>
    <x:row r="25" ht="27" customHeight="1">
      <x:c r="A25" s="88" t="str">
        <x:v>NCI value deduction</x:v>
      </x:c>
      <x:c r="B25" s="211" t="n">
        <x:f>B23*B24</x:f>
        <x:v>8388.276697102778</x:v>
      </x:c>
      <x:c r="C25" s="89"/>
      <x:c r="D25" s="89"/>
      <x:c r="E25" s="89"/>
      <x:c r="F25" s="89"/>
      <x:c r="G25" s="90" t="str">
        <x:v>VND bn</x:v>
      </x:c>
    </x:row>
    <x:row r="26" ht="27" customHeight="1">
      <x:c r="A26" s="499" t="str">
        <x:v>Equity value</x:v>
      </x:c>
      <x:c r="B26" s="501" t="n">
        <x:f>B17+B21+B22-B25</x:f>
        <x:v>37953.15555678042</x:v>
      </x:c>
      <x:c r="C26" s="500"/>
      <x:c r="D26" s="500"/>
      <x:c r="E26" s="500"/>
      <x:c r="F26" s="500"/>
      <x:c r="G26" s="500" t="str">
        <x:v>VND bn</x:v>
      </x:c>
    </x:row>
    <x:row r="27" ht="27" customHeight="1">
      <x:c r="A27" s="455" t="str">
        <x:v>Listed shares</x:v>
      </x:c>
      <x:c r="B27" s="494" t="n">
        <x:f>'P4 Assumptions'!C18</x:f>
        <x:v>426.495109</x:v>
      </x:c>
      <x:c r="C27" s="456"/>
      <x:c r="D27" s="456"/>
      <x:c r="E27" s="456"/>
      <x:c r="F27" s="456"/>
      <x:c r="G27" s="456" t="str">
        <x:v>m shares</x:v>
      </x:c>
    </x:row>
    <x:row r="28" ht="27" customHeight="1">
      <x:c r="A28" s="502" t="str">
        <x:v>DCF value / share</x:v>
      </x:c>
      <x:c r="B28" s="504" t="n">
        <x:f>B26*1000/B27</x:f>
        <x:v>88988.48956502434</x:v>
      </x:c>
      <x:c r="C28" s="503"/>
      <x:c r="D28" s="503"/>
      <x:c r="E28" s="503"/>
      <x:c r="F28" s="503"/>
      <x:c r="G28" s="503" t="str">
        <x:v>VND/share</x:v>
      </x:c>
    </x:row>
    <x:row r="34" ht="22" customHeight="1">
      <x:c r="A34" s="446" t="str">
        <x:v>Bull case DCF</x:v>
      </x:c>
      <x:c r="B34" s="446" t="str">
        <x:v>Bull case DCF</x:v>
      </x:c>
      <x:c r="C34" s="446" t="str">
        <x:v>Bull case DCF</x:v>
      </x:c>
      <x:c r="D34" s="446" t="str">
        <x:v>Bull case DCF</x:v>
      </x:c>
      <x:c r="E34" s="446" t="str">
        <x:v>Bull case DCF</x:v>
      </x:c>
      <x:c r="F34" s="446" t="str">
        <x:v>Bull case DCF</x:v>
      </x:c>
      <x:c r="G34" s="446" t="str">
        <x:v>Bull case DCF</x:v>
      </x:c>
      <x:c r="H34" s="446" t="str">
        <x:v>Bull case DCF</x:v>
      </x:c>
    </x:row>
    <x:row r="35" ht="32" customHeight="1">
      <x:c r="A35" s="421" t="str">
        <x:v>Metric</x:v>
      </x:c>
      <x:c r="B35" s="433" t="n">
        <x:v>46387</x:v>
      </x:c>
      <x:c r="C35" s="433" t="n">
        <x:v>46752</x:v>
      </x:c>
      <x:c r="D35" s="433" t="n">
        <x:v>47118</x:v>
      </x:c>
      <x:c r="E35" s="433" t="n">
        <x:v>47483</x:v>
      </x:c>
      <x:c r="F35" s="433" t="n">
        <x:v>47848</x:v>
      </x:c>
      <x:c r="G35" s="421" t="str">
        <x:v>Unit / note</x:v>
      </x:c>
    </x:row>
    <x:row r="36" ht="27" customHeight="1">
      <x:c r="A36" s="85" t="str">
        <x:v>FCFF</x:v>
      </x:c>
      <x:c r="B36" s="287" t="n">
        <x:f>'P4 Forecast'!D80</x:f>
        <x:v>674.8842030144989</x:v>
      </x:c>
      <x:c r="C36" s="287" t="n">
        <x:f>'P4 Forecast'!E80</x:f>
        <x:v>1360.0046283354104</x:v>
      </x:c>
      <x:c r="D36" s="287" t="n">
        <x:f>'P4 Forecast'!F80</x:f>
        <x:v>2235.5624502133255</x:v>
      </x:c>
      <x:c r="E36" s="287" t="n">
        <x:f>'P4 Forecast'!G80</x:f>
        <x:v>2985.859320282958</x:v>
      </x:c>
      <x:c r="F36" s="287" t="n">
        <x:f>'P4 Forecast'!H80</x:f>
        <x:v>3574.319882201327</x:v>
      </x:c>
      <x:c r="G36" s="87" t="str">
        <x:v>VND bn</x:v>
      </x:c>
    </x:row>
    <x:row r="37" ht="27" customHeight="1">
      <x:c r="A37" s="88" t="str">
        <x:v>Discount period</x:v>
      </x:c>
      <x:c r="B37" s="89" t="n">
        <x:v>1</x:v>
      </x:c>
      <x:c r="C37" s="89" t="n">
        <x:v>2</x:v>
      </x:c>
      <x:c r="D37" s="89" t="n">
        <x:v>3</x:v>
      </x:c>
      <x:c r="E37" s="89" t="n">
        <x:v>4</x:v>
      </x:c>
      <x:c r="F37" s="89" t="n">
        <x:v>5</x:v>
      </x:c>
      <x:c r="G37" s="90" t="str">
        <x:v>Year</x:v>
      </x:c>
    </x:row>
    <x:row r="38" ht="27" customHeight="1">
      <x:c r="A38" s="88" t="str">
        <x:v>Discount factor</x:v>
      </x:c>
      <x:c r="B38" s="211" t="n">
        <x:f>1/(1+$B$41)^B37</x:f>
        <x:v>0.9053532405421708</x:v>
      </x:c>
      <x:c r="C38" s="211" t="n">
        <x:f>1/(1+$B$41)^C37</x:f>
        <x:v>0.8196644901602098</x:v>
      </x:c>
      <x:c r="D38" s="211" t="n">
        <x:f>1/(1+$B$41)^D37</x:f>
        <x:v>0.7420859023238922</x:v>
      </x:c>
      <x:c r="E38" s="211" t="n">
        <x:f>1/(1+$B$41)^E37</x:f>
        <x:v>0.6718498764295965</x:v>
      </x:c>
      <x:c r="F38" s="211" t="n">
        <x:f>1/(1+$B$41)^F37</x:f>
        <x:v>0.6082614627833922</x:v>
      </x:c>
      <x:c r="G38" s="90" t="str">
        <x:v>x</x:v>
      </x:c>
    </x:row>
    <x:row r="39" ht="27" customHeight="1">
      <x:c r="A39" s="88" t="str">
        <x:v>PV of FCFF</x:v>
      </x:c>
      <x:c r="B39" s="211" t="n">
        <x:f>B36*B38</x:f>
        <x:v>611.0086001898968</x:v>
      </x:c>
      <x:c r="C39" s="211" t="n">
        <x:f>C36*C38</x:f>
        <x:v>1114.7475003000698</x:v>
      </x:c>
      <x:c r="D39" s="211" t="n">
        <x:f>D36*D38</x:f>
        <x:v>1658.979378067967</x:v>
      </x:c>
      <x:c r="E39" s="211" t="n">
        <x:f>E36*E38</x:f>
        <x:v>2006.0492153682642</x:v>
      </x:c>
      <x:c r="F39" s="211" t="n">
        <x:f>F36*F38</x:f>
        <x:v>2174.121040003541</x:v>
      </x:c>
      <x:c r="G39" s="90" t="str">
        <x:v>VND bn</x:v>
      </x:c>
    </x:row>
    <x:row r="40" ht="27" customHeight="1">
      <x:c r="A40" s="88" t="str"/>
      <x:c r="B40" s="89"/>
      <x:c r="C40" s="89"/>
      <x:c r="D40" s="89"/>
      <x:c r="E40" s="89"/>
      <x:c r="F40" s="89"/>
      <x:c r="G40" s="90" t="str"/>
    </x:row>
    <x:row r="41" ht="27" customHeight="1">
      <x:c r="A41" s="88" t="str">
        <x:v>WACC</x:v>
      </x:c>
      <x:c r="B41" s="125" t="n">
        <x:f>'P4 Assumptions'!D112</x:f>
        <x:v>0.10454125</x:v>
      </x:c>
      <x:c r="C41" s="89"/>
      <x:c r="D41" s="89"/>
      <x:c r="E41" s="89"/>
      <x:c r="F41" s="89"/>
      <x:c r="G41" s="90" t="str">
        <x:v>%</x:v>
      </x:c>
    </x:row>
    <x:row r="42" ht="27" customHeight="1">
      <x:c r="A42" s="88" t="str">
        <x:v>Terminal growth</x:v>
      </x:c>
      <x:c r="B42" s="125" t="n">
        <x:f>'P4 Assumptions'!D113</x:f>
        <x:v>0.045</x:v>
      </x:c>
      <x:c r="C42" s="89"/>
      <x:c r="D42" s="89"/>
      <x:c r="E42" s="89"/>
      <x:c r="F42" s="89"/>
      <x:c r="G42" s="90" t="str">
        <x:v>%</x:v>
      </x:c>
    </x:row>
    <x:row r="43" ht="27" customHeight="1">
      <x:c r="A43" s="88" t="str">
        <x:v>Terminal cash flow</x:v>
      </x:c>
      <x:c r="B43" s="211" t="n">
        <x:f>F36*(1+B42)</x:f>
        <x:v>3735.1642769003865</x:v>
      </x:c>
      <x:c r="C43" s="89"/>
      <x:c r="D43" s="89"/>
      <x:c r="E43" s="89"/>
      <x:c r="F43" s="89"/>
      <x:c r="G43" s="90" t="str">
        <x:v>VND bn</x:v>
      </x:c>
    </x:row>
    <x:row r="44" ht="27" customHeight="1">
      <x:c r="A44" s="88" t="str">
        <x:v>Terminal value</x:v>
      </x:c>
      <x:c r="B44" s="211" t="n">
        <x:f>B43/(B41-B42)</x:f>
        <x:v>62732.3792648019</x:v>
      </x:c>
      <x:c r="C44" s="89"/>
      <x:c r="D44" s="89"/>
      <x:c r="E44" s="89"/>
      <x:c r="F44" s="89"/>
      <x:c r="G44" s="90" t="str">
        <x:v>VND bn</x:v>
      </x:c>
    </x:row>
    <x:row r="45" ht="27" customHeight="1">
      <x:c r="A45" s="88" t="str">
        <x:v>PV of terminal value</x:v>
      </x:c>
      <x:c r="B45" s="211" t="n">
        <x:f>B44*F38</x:f>
        <x:v>38157.68877549095</x:v>
      </x:c>
      <x:c r="C45" s="89"/>
      <x:c r="D45" s="89"/>
      <x:c r="E45" s="89"/>
      <x:c r="F45" s="89"/>
      <x:c r="G45" s="90" t="str">
        <x:v>VND bn</x:v>
      </x:c>
    </x:row>
    <x:row r="46" ht="27" customHeight="1">
      <x:c r="A46" s="88" t="str">
        <x:v>PV of forecast FCFF</x:v>
      </x:c>
      <x:c r="B46" s="211" t="n">
        <x:f>SUM(B39:F39)</x:f>
        <x:v>7564.90573392974</x:v>
      </x:c>
      <x:c r="C46" s="89"/>
      <x:c r="D46" s="89"/>
      <x:c r="E46" s="89"/>
      <x:c r="F46" s="89"/>
      <x:c r="G46" s="90" t="str">
        <x:v>VND bn</x:v>
      </x:c>
    </x:row>
    <x:row r="47" ht="27" customHeight="1">
      <x:c r="A47" s="459" t="str">
        <x:v>Consolidated enterprise value</x:v>
      </x:c>
      <x:c r="B47" s="495" t="n">
        <x:f>SUM(B45:B46)</x:f>
        <x:v>45722.59450942068</x:v>
      </x:c>
      <x:c r="C47" s="460"/>
      <x:c r="D47" s="460"/>
      <x:c r="E47" s="460"/>
      <x:c r="F47" s="460"/>
      <x:c r="G47" s="460" t="str">
        <x:v>VND bn</x:v>
      </x:c>
    </x:row>
    <x:row r="48" ht="27" customHeight="1">
      <x:c r="A48" s="88" t="str"/>
      <x:c r="B48" s="211"/>
      <x:c r="C48" s="89"/>
      <x:c r="D48" s="89"/>
      <x:c r="E48" s="89"/>
      <x:c r="F48" s="89"/>
      <x:c r="G48" s="90" t="str"/>
    </x:row>
    <x:row r="49" ht="27" customHeight="1">
      <x:c r="A49" s="88" t="str">
        <x:v>2026E associate earnings</x:v>
      </x:c>
      <x:c r="B49" s="211" t="n">
        <x:f>'P4 Forecast'!D66</x:f>
        <x:v>1310.2131206238198</x:v>
      </x:c>
      <x:c r="C49" s="89"/>
      <x:c r="D49" s="89"/>
      <x:c r="E49" s="89"/>
      <x:c r="F49" s="89"/>
      <x:c r="G49" s="90" t="str">
        <x:v>VND bn</x:v>
      </x:c>
    </x:row>
    <x:row r="50" ht="27" customHeight="1">
      <x:c r="A50" s="88" t="str">
        <x:v>Associate earnings multiple</x:v>
      </x:c>
      <x:c r="B50" s="515" t="n">
        <x:f>'P4 Assumptions'!D114</x:f>
        <x:v>15</x:v>
      </x:c>
      <x:c r="C50" s="89"/>
      <x:c r="D50" s="89"/>
      <x:c r="E50" s="89"/>
      <x:c r="F50" s="89"/>
      <x:c r="G50" s="90" t="str">
        <x:v>x</x:v>
      </x:c>
    </x:row>
    <x:row r="51" ht="27" customHeight="1">
      <x:c r="A51" s="88" t="str">
        <x:v>Associate equity value</x:v>
      </x:c>
      <x:c r="B51" s="211" t="n">
        <x:f>B49*B50</x:f>
        <x:v>19653.196809357298</x:v>
      </x:c>
      <x:c r="C51" s="89"/>
      <x:c r="D51" s="89"/>
      <x:c r="E51" s="89"/>
      <x:c r="F51" s="89"/>
      <x:c r="G51" s="90" t="str">
        <x:v>VND bn</x:v>
      </x:c>
    </x:row>
    <x:row r="52" ht="27" customHeight="1">
      <x:c r="A52" s="88" t="str">
        <x:v>FY2025 net cash</x:v>
      </x:c>
      <x:c r="B52" s="211" t="n">
        <x:f>'P4 Assumptions'!C20</x:f>
        <x:v>1971.728574399</x:v>
      </x:c>
      <x:c r="C52" s="89"/>
      <x:c r="D52" s="89"/>
      <x:c r="E52" s="89"/>
      <x:c r="F52" s="89"/>
      <x:c r="G52" s="90" t="str">
        <x:v>VND bn</x:v>
      </x:c>
    </x:row>
    <x:row r="53" ht="27" customHeight="1">
      <x:c r="A53" s="88" t="str">
        <x:v>2026E NCI PAT</x:v>
      </x:c>
      <x:c r="B53" s="211" t="n">
        <x:f>'P4 Forecast'!D73</x:f>
        <x:v>591.3776934040666</x:v>
      </x:c>
      <x:c r="C53" s="89"/>
      <x:c r="D53" s="89"/>
      <x:c r="E53" s="89"/>
      <x:c r="F53" s="89"/>
      <x:c r="G53" s="90" t="str">
        <x:v>VND bn</x:v>
      </x:c>
    </x:row>
    <x:row r="54" ht="27" customHeight="1">
      <x:c r="A54" s="88" t="str">
        <x:v>NCI earnings multiple</x:v>
      </x:c>
      <x:c r="B54" s="515" t="n">
        <x:f>'P4 Assumptions'!D115</x:f>
        <x:v>15</x:v>
      </x:c>
      <x:c r="C54" s="89"/>
      <x:c r="D54" s="89"/>
      <x:c r="E54" s="89"/>
      <x:c r="F54" s="89"/>
      <x:c r="G54" s="90" t="str">
        <x:v>x</x:v>
      </x:c>
    </x:row>
    <x:row r="55" ht="27" customHeight="1">
      <x:c r="A55" s="88" t="str">
        <x:v>NCI value deduction</x:v>
      </x:c>
      <x:c r="B55" s="211" t="n">
        <x:f>B53*B54</x:f>
        <x:v>8870.665401060998</x:v>
      </x:c>
      <x:c r="C55" s="89"/>
      <x:c r="D55" s="89"/>
      <x:c r="E55" s="89"/>
      <x:c r="F55" s="89"/>
      <x:c r="G55" s="90" t="str">
        <x:v>VND bn</x:v>
      </x:c>
    </x:row>
    <x:row r="56" ht="27" customHeight="1">
      <x:c r="A56" s="499" t="str">
        <x:v>Equity value</x:v>
      </x:c>
      <x:c r="B56" s="501" t="n">
        <x:f>B47+B51+B52-B55</x:f>
        <x:v>58476.854492115985</x:v>
      </x:c>
      <x:c r="C56" s="500"/>
      <x:c r="D56" s="500"/>
      <x:c r="E56" s="500"/>
      <x:c r="F56" s="500"/>
      <x:c r="G56" s="500" t="str">
        <x:v>VND bn</x:v>
      </x:c>
    </x:row>
    <x:row r="57" ht="27" customHeight="1">
      <x:c r="A57" s="455" t="str">
        <x:v>Listed shares</x:v>
      </x:c>
      <x:c r="B57" s="494" t="n">
        <x:f>'P4 Assumptions'!C18</x:f>
        <x:v>426.495109</x:v>
      </x:c>
      <x:c r="C57" s="456"/>
      <x:c r="D57" s="456"/>
      <x:c r="E57" s="456"/>
      <x:c r="F57" s="456"/>
      <x:c r="G57" s="456" t="str">
        <x:v>m shares</x:v>
      </x:c>
    </x:row>
    <x:row r="58" ht="27" customHeight="1">
      <x:c r="A58" s="502" t="str">
        <x:v>DCF value / share</x:v>
      </x:c>
      <x:c r="B58" s="504" t="n">
        <x:f>B56*1000/B57</x:f>
        <x:v>137110.25814393567</x:v>
      </x:c>
      <x:c r="C58" s="503"/>
      <x:c r="D58" s="503"/>
      <x:c r="E58" s="503"/>
      <x:c r="F58" s="503"/>
      <x:c r="G58" s="503" t="str">
        <x:v>VND/share</x:v>
      </x:c>
    </x:row>
    <x:row r="64" ht="22" customHeight="1">
      <x:c r="A64" s="449" t="str">
        <x:v>Bear case DCF</x:v>
      </x:c>
      <x:c r="B64" s="449" t="str">
        <x:v>Bear case DCF</x:v>
      </x:c>
      <x:c r="C64" s="449" t="str">
        <x:v>Bear case DCF</x:v>
      </x:c>
      <x:c r="D64" s="449" t="str">
        <x:v>Bear case DCF</x:v>
      </x:c>
      <x:c r="E64" s="449" t="str">
        <x:v>Bear case DCF</x:v>
      </x:c>
      <x:c r="F64" s="449" t="str">
        <x:v>Bear case DCF</x:v>
      </x:c>
      <x:c r="G64" s="449" t="str">
        <x:v>Bear case DCF</x:v>
      </x:c>
      <x:c r="H64" s="449" t="str">
        <x:v>Bear case DCF</x:v>
      </x:c>
    </x:row>
    <x:row r="65" ht="32" customHeight="1">
      <x:c r="A65" s="421" t="str">
        <x:v>Metric</x:v>
      </x:c>
      <x:c r="B65" s="433" t="n">
        <x:v>46387</x:v>
      </x:c>
      <x:c r="C65" s="433" t="n">
        <x:v>46752</x:v>
      </x:c>
      <x:c r="D65" s="433" t="n">
        <x:v>47118</x:v>
      </x:c>
      <x:c r="E65" s="433" t="n">
        <x:v>47483</x:v>
      </x:c>
      <x:c r="F65" s="433" t="n">
        <x:v>47848</x:v>
      </x:c>
      <x:c r="G65" s="421" t="str">
        <x:v>Unit / note</x:v>
      </x:c>
    </x:row>
    <x:row r="66" ht="27" customHeight="1">
      <x:c r="A66" s="85" t="str">
        <x:v>FCFF</x:v>
      </x:c>
      <x:c r="B66" s="287" t="n">
        <x:f>'P4 Forecast'!D120</x:f>
        <x:v>269.1542463455366</x:v>
      </x:c>
      <x:c r="C66" s="287" t="n">
        <x:f>'P4 Forecast'!E120</x:f>
        <x:v>486.12595909201053</x:v>
      </x:c>
      <x:c r="D66" s="287" t="n">
        <x:f>'P4 Forecast'!F120</x:f>
        <x:v>783.614659421527</x:v>
      </x:c>
      <x:c r="E66" s="287" t="n">
        <x:f>'P4 Forecast'!G120</x:f>
        <x:v>1202.5416876373458</x:v>
      </x:c>
      <x:c r="F66" s="287" t="n">
        <x:f>'P4 Forecast'!H120</x:f>
        <x:v>1484.2730703745228</x:v>
      </x:c>
      <x:c r="G66" s="87" t="str">
        <x:v>VND bn</x:v>
      </x:c>
    </x:row>
    <x:row r="67" ht="27" customHeight="1">
      <x:c r="A67" s="88" t="str">
        <x:v>Discount period</x:v>
      </x:c>
      <x:c r="B67" s="89" t="n">
        <x:v>1</x:v>
      </x:c>
      <x:c r="C67" s="89" t="n">
        <x:v>2</x:v>
      </x:c>
      <x:c r="D67" s="89" t="n">
        <x:v>3</x:v>
      </x:c>
      <x:c r="E67" s="89" t="n">
        <x:v>4</x:v>
      </x:c>
      <x:c r="F67" s="89" t="n">
        <x:v>5</x:v>
      </x:c>
      <x:c r="G67" s="90" t="str">
        <x:v>Year</x:v>
      </x:c>
    </x:row>
    <x:row r="68" ht="27" customHeight="1">
      <x:c r="A68" s="88" t="str">
        <x:v>Discount factor</x:v>
      </x:c>
      <x:c r="B68" s="211" t="n">
        <x:f>1/(1+$B$71)^B67</x:f>
        <x:v>0.8868402878240155</x:v>
      </x:c>
      <x:c r="C68" s="211" t="n">
        <x:f>1/(1+$B$71)^C67</x:f>
        <x:v>0.7864856961077825</x:v>
      </x:c>
      <x:c r="D68" s="211" t="n">
        <x:f>1/(1+$B$71)^D67</x:f>
        <x:v>0.697487201105697</x:v>
      </x:c>
      <x:c r="E68" s="211" t="n">
        <x:f>1/(1+$B$71)^E67</x:f>
        <x:v>0.6185597501821433</x:v>
      </x:c>
      <x:c r="F68" s="211" t="n">
        <x:f>1/(1+$B$71)^F67</x:f>
        <x:v>0.5485637068878829</x:v>
      </x:c>
      <x:c r="G68" s="90" t="str">
        <x:v>x</x:v>
      </x:c>
    </x:row>
    <x:row r="69" ht="27" customHeight="1">
      <x:c r="A69" s="88" t="str">
        <x:v>PV of FCFF</x:v>
      </x:c>
      <x:c r="B69" s="211" t="n">
        <x:f>B66*B68</x:f>
        <x:v>238.69682929813163</x:v>
      </x:c>
      <x:c r="C69" s="211" t="n">
        <x:f>C66*C68</x:f>
        <x:v>382.33111333254334</x:v>
      </x:c>
      <x:c r="D69" s="211" t="n">
        <x:f>D66*D68</x:f>
        <x:v>546.5611955453148</x:v>
      </x:c>
      <x:c r="E69" s="211" t="n">
        <x:f>E66*E68</x:f>
        <x:v>743.8438858885696</x:v>
      </x:c>
      <x:c r="F69" s="211" t="n">
        <x:f>F66*F68</x:f>
        <x:v>814.2183375185077</x:v>
      </x:c>
      <x:c r="G69" s="90" t="str">
        <x:v>VND bn</x:v>
      </x:c>
    </x:row>
    <x:row r="70" ht="27" customHeight="1">
      <x:c r="A70" s="88" t="str"/>
      <x:c r="B70" s="89"/>
      <x:c r="C70" s="89"/>
      <x:c r="D70" s="89"/>
      <x:c r="E70" s="89"/>
      <x:c r="F70" s="89"/>
      <x:c r="G70" s="90" t="str"/>
    </x:row>
    <x:row r="71" ht="27" customHeight="1">
      <x:c r="A71" s="88" t="str">
        <x:v>WACC</x:v>
      </x:c>
      <x:c r="B71" s="125" t="n">
        <x:f>'P4 Assumptions'!E112</x:f>
        <x:v>0.12759875</x:v>
      </x:c>
      <x:c r="C71" s="89"/>
      <x:c r="D71" s="89"/>
      <x:c r="E71" s="89"/>
      <x:c r="F71" s="89"/>
      <x:c r="G71" s="90" t="str">
        <x:v>%</x:v>
      </x:c>
    </x:row>
    <x:row r="72" ht="27" customHeight="1">
      <x:c r="A72" s="88" t="str">
        <x:v>Terminal growth</x:v>
      </x:c>
      <x:c r="B72" s="125" t="n">
        <x:f>'P4 Assumptions'!E113</x:f>
        <x:v>0.03</x:v>
      </x:c>
      <x:c r="C72" s="89"/>
      <x:c r="D72" s="89"/>
      <x:c r="E72" s="89"/>
      <x:c r="F72" s="89"/>
      <x:c r="G72" s="90" t="str">
        <x:v>%</x:v>
      </x:c>
    </x:row>
    <x:row r="73" ht="27" customHeight="1">
      <x:c r="A73" s="88" t="str">
        <x:v>Terminal cash flow</x:v>
      </x:c>
      <x:c r="B73" s="211" t="n">
        <x:f>F66*(1+B72)</x:f>
        <x:v>1528.8012624857586</x:v>
      </x:c>
      <x:c r="C73" s="89"/>
      <x:c r="D73" s="89"/>
      <x:c r="E73" s="89"/>
      <x:c r="F73" s="89"/>
      <x:c r="G73" s="90" t="str">
        <x:v>VND bn</x:v>
      </x:c>
    </x:row>
    <x:row r="74" ht="27" customHeight="1">
      <x:c r="A74" s="88" t="str">
        <x:v>Terminal value</x:v>
      </x:c>
      <x:c r="B74" s="211" t="n">
        <x:f>B73/(B71-B72)</x:f>
        <x:v>15664.14797818372</x:v>
      </x:c>
      <x:c r="C74" s="89"/>
      <x:c r="D74" s="89"/>
      <x:c r="E74" s="89"/>
      <x:c r="F74" s="89"/>
      <x:c r="G74" s="90" t="str">
        <x:v>VND bn</x:v>
      </x:c>
    </x:row>
    <x:row r="75" ht="27" customHeight="1">
      <x:c r="A75" s="88" t="str">
        <x:v>PV of terminal value</x:v>
      </x:c>
      <x:c r="B75" s="211" t="n">
        <x:f>B74*F68</x:f>
        <x:v>8592.783080152798</x:v>
      </x:c>
      <x:c r="C75" s="89"/>
      <x:c r="D75" s="89"/>
      <x:c r="E75" s="89"/>
      <x:c r="F75" s="89"/>
      <x:c r="G75" s="90" t="str">
        <x:v>VND bn</x:v>
      </x:c>
    </x:row>
    <x:row r="76" ht="27" customHeight="1">
      <x:c r="A76" s="88" t="str">
        <x:v>PV of forecast FCFF</x:v>
      </x:c>
      <x:c r="B76" s="211" t="n">
        <x:f>SUM(B69:F69)</x:f>
        <x:v>2725.6513615830672</x:v>
      </x:c>
      <x:c r="C76" s="89"/>
      <x:c r="D76" s="89"/>
      <x:c r="E76" s="89"/>
      <x:c r="F76" s="89"/>
      <x:c r="G76" s="90" t="str">
        <x:v>VND bn</x:v>
      </x:c>
    </x:row>
    <x:row r="77" ht="27" customHeight="1">
      <x:c r="A77" s="459" t="str">
        <x:v>Consolidated enterprise value</x:v>
      </x:c>
      <x:c r="B77" s="495" t="n">
        <x:f>SUM(B75:B76)</x:f>
        <x:v>11318.434441735866</x:v>
      </x:c>
      <x:c r="C77" s="460"/>
      <x:c r="D77" s="460"/>
      <x:c r="E77" s="460"/>
      <x:c r="F77" s="460"/>
      <x:c r="G77" s="460" t="str">
        <x:v>VND bn</x:v>
      </x:c>
    </x:row>
    <x:row r="78" ht="27" customHeight="1">
      <x:c r="A78" s="88" t="str"/>
      <x:c r="B78" s="211"/>
      <x:c r="C78" s="89"/>
      <x:c r="D78" s="89"/>
      <x:c r="E78" s="89"/>
      <x:c r="F78" s="89"/>
      <x:c r="G78" s="90" t="str"/>
    </x:row>
    <x:row r="79" ht="27" customHeight="1">
      <x:c r="A79" s="88" t="str">
        <x:v>2026E associate earnings</x:v>
      </x:c>
      <x:c r="B79" s="211" t="n">
        <x:f>'P4 Forecast'!D106</x:f>
        <x:v>1179.367337947</x:v>
      </x:c>
      <x:c r="C79" s="89"/>
      <x:c r="D79" s="89"/>
      <x:c r="E79" s="89"/>
      <x:c r="F79" s="89"/>
      <x:c r="G79" s="90" t="str">
        <x:v>VND bn</x:v>
      </x:c>
    </x:row>
    <x:row r="80" ht="27" customHeight="1">
      <x:c r="A80" s="88" t="str">
        <x:v>Associate earnings multiple</x:v>
      </x:c>
      <x:c r="B80" s="515" t="n">
        <x:f>'P4 Assumptions'!E114</x:f>
        <x:v>12</x:v>
      </x:c>
      <x:c r="C80" s="89"/>
      <x:c r="D80" s="89"/>
      <x:c r="E80" s="89"/>
      <x:c r="F80" s="89"/>
      <x:c r="G80" s="90" t="str">
        <x:v>x</x:v>
      </x:c>
    </x:row>
    <x:row r="81" ht="27" customHeight="1">
      <x:c r="A81" s="88" t="str">
        <x:v>Associate equity value</x:v>
      </x:c>
      <x:c r="B81" s="211" t="n">
        <x:f>B79*B80</x:f>
        <x:v>14152.408055363998</x:v>
      </x:c>
      <x:c r="C81" s="89"/>
      <x:c r="D81" s="89"/>
      <x:c r="E81" s="89"/>
      <x:c r="F81" s="89"/>
      <x:c r="G81" s="90" t="str">
        <x:v>VND bn</x:v>
      </x:c>
    </x:row>
    <x:row r="82" ht="27" customHeight="1">
      <x:c r="A82" s="88" t="str">
        <x:v>FY2025 net cash</x:v>
      </x:c>
      <x:c r="B82" s="211" t="n">
        <x:f>'P4 Assumptions'!C20</x:f>
        <x:v>1971.728574399</x:v>
      </x:c>
      <x:c r="C82" s="89"/>
      <x:c r="D82" s="89"/>
      <x:c r="E82" s="89"/>
      <x:c r="F82" s="89"/>
      <x:c r="G82" s="90" t="str">
        <x:v>VND bn</x:v>
      </x:c>
    </x:row>
    <x:row r="83" ht="27" customHeight="1">
      <x:c r="A83" s="88" t="str">
        <x:v>2026E NCI PAT</x:v>
      </x:c>
      <x:c r="B83" s="211" t="n">
        <x:f>'P4 Forecast'!D113</x:f>
        <x:v>544.4138318394705</x:v>
      </x:c>
      <x:c r="C83" s="89"/>
      <x:c r="D83" s="89"/>
      <x:c r="E83" s="89"/>
      <x:c r="F83" s="89"/>
      <x:c r="G83" s="90" t="str">
        <x:v>VND bn</x:v>
      </x:c>
    </x:row>
    <x:row r="84" ht="27" customHeight="1">
      <x:c r="A84" s="88" t="str">
        <x:v>NCI earnings multiple</x:v>
      </x:c>
      <x:c r="B84" s="515" t="n">
        <x:f>'P4 Assumptions'!E115</x:f>
        <x:v>12</x:v>
      </x:c>
      <x:c r="C84" s="89"/>
      <x:c r="D84" s="89"/>
      <x:c r="E84" s="89"/>
      <x:c r="F84" s="89"/>
      <x:c r="G84" s="90" t="str">
        <x:v>x</x:v>
      </x:c>
    </x:row>
    <x:row r="85" ht="27" customHeight="1">
      <x:c r="A85" s="88" t="str">
        <x:v>NCI value deduction</x:v>
      </x:c>
      <x:c r="B85" s="211" t="n">
        <x:f>B83*B84</x:f>
        <x:v>6532.965982073646</x:v>
      </x:c>
      <x:c r="C85" s="89"/>
      <x:c r="D85" s="89"/>
      <x:c r="E85" s="89"/>
      <x:c r="F85" s="89"/>
      <x:c r="G85" s="90" t="str">
        <x:v>VND bn</x:v>
      </x:c>
    </x:row>
    <x:row r="86" ht="27" customHeight="1">
      <x:c r="A86" s="499" t="str">
        <x:v>Equity value</x:v>
      </x:c>
      <x:c r="B86" s="501" t="n">
        <x:f>B77+B81+B82-B85</x:f>
        <x:v>20909.60508942522</x:v>
      </x:c>
      <x:c r="C86" s="500"/>
      <x:c r="D86" s="500"/>
      <x:c r="E86" s="500"/>
      <x:c r="F86" s="500"/>
      <x:c r="G86" s="500" t="str">
        <x:v>VND bn</x:v>
      </x:c>
    </x:row>
    <x:row r="87" ht="27" customHeight="1">
      <x:c r="A87" s="455" t="str">
        <x:v>Listed shares</x:v>
      </x:c>
      <x:c r="B87" s="494" t="n">
        <x:f>'P4 Assumptions'!C18</x:f>
        <x:v>426.495109</x:v>
      </x:c>
      <x:c r="C87" s="456"/>
      <x:c r="D87" s="456"/>
      <x:c r="E87" s="456"/>
      <x:c r="F87" s="456"/>
      <x:c r="G87" s="456" t="str">
        <x:v>m shares</x:v>
      </x:c>
    </x:row>
    <x:row r="88" ht="27" customHeight="1">
      <x:c r="A88" s="502" t="str">
        <x:v>DCF value / share</x:v>
      </x:c>
      <x:c r="B88" s="504" t="n">
        <x:f>B86*1000/B87</x:f>
        <x:v>49026.59994964964</x:v>
      </x:c>
      <x:c r="C88" s="503"/>
      <x:c r="D88" s="503"/>
      <x:c r="E88" s="503"/>
      <x:c r="F88" s="503"/>
      <x:c r="G88" s="503" t="str">
        <x:v>VND/share</x:v>
      </x:c>
    </x:row>
    <x:row r="94" ht="22" customHeight="1">
      <x:c r="A94" s="415" t="str">
        <x:v>Base-case DCF sensitivity — WACC vs terminal growth</x:v>
      </x:c>
      <x:c r="B94" s="415" t="str">
        <x:v>Base-case DCF sensitivity — WACC vs terminal growth</x:v>
      </x:c>
      <x:c r="C94" s="415" t="str">
        <x:v>Base-case DCF sensitivity — WACC vs terminal growth</x:v>
      </x:c>
      <x:c r="D94" s="415" t="str">
        <x:v>Base-case DCF sensitivity — WACC vs terminal growth</x:v>
      </x:c>
      <x:c r="E94" s="415" t="str">
        <x:v>Base-case DCF sensitivity — WACC vs terminal growth</x:v>
      </x:c>
      <x:c r="F94" s="415" t="str">
        <x:v>Base-case DCF sensitivity — WACC vs terminal growth</x:v>
      </x:c>
      <x:c r="G94" s="415" t="str">
        <x:v>Base-case DCF sensitivity — WACC vs terminal growth</x:v>
      </x:c>
      <x:c r="H94" s="415" t="str">
        <x:v>Base-case DCF sensitivity — WACC vs terminal growth</x:v>
      </x:c>
    </x:row>
    <x:row r="95" ht="32" customHeight="1">
      <x:c r="A95" s="421" t="str">
        <x:v>WACC / TGR</x:v>
      </x:c>
      <x:c r="B95" s="518" t="n">
        <x:v>0.03</x:v>
      </x:c>
      <x:c r="C95" s="518" t="n">
        <x:v>0.035</x:v>
      </x:c>
      <x:c r="D95" s="518" t="n">
        <x:v>0.04</x:v>
      </x:c>
      <x:c r="E95" s="518" t="n">
        <x:v>0.045</x:v>
      </x:c>
      <x:c r="F95" s="518" t="n">
        <x:v>0.05</x:v>
      </x:c>
      <x:c r="G95" s="421" t="str">
        <x:v>VND/share</x:v>
      </x:c>
    </x:row>
    <x:row r="96" ht="26" customHeight="1">
      <x:c r="A96" s="527" t="n">
        <x:v>0.105</x:v>
      </x:c>
      <x:c r="B96" s="130" t="n">
        <x:f>((B6/(1+$A96)^1+C6/(1+$A96)^2+D6/(1+$A96)^3+E6/(1+$A96)^4+F6/(1+$A96)^5)+F6*(1+B$95)/($A96-B$95)/(1+$A96)^5+B21+B22-B25)*1000/B27</x:f>
        <x:v>91969.374092882</x:v>
      </x:c>
      <x:c r="C96" s="130" t="n">
        <x:f>((B6/(1+$A96)^1+C6/(1+$A96)^2+D6/(1+$A96)^3+E6/(1+$A96)^4+F6/(1+$A96)^5)+F6*(1+C$95)/($A96-C$95)/(1+$A96)^5+B21+B22-B25)*1000/B27</x:f>
        <x:v>95954.3616423742</x:v>
      </x:c>
      <x:c r="D96" s="130" t="n">
        <x:f>((B6/(1+$A96)^1+C6/(1+$A96)^2+D6/(1+$A96)^3+E6/(1+$A96)^4+F6/(1+$A96)^5)+F6*(1+D$95)/($A96-D$95)/(1+$A96)^5+B21+B22-B25)*1000/B27</x:f>
        <x:v>100552.42419948056</x:v>
      </x:c>
      <x:c r="E96" s="130" t="n">
        <x:f>((B6/(1+$A96)^1+C6/(1+$A96)^2+D6/(1+$A96)^3+E6/(1+$A96)^4+F6/(1+$A96)^5)+F6*(1+E$95)/($A96-E$95)/(1+$A96)^5+B21+B22-B25)*1000/B27</x:f>
        <x:v>105916.83051610464</x:v>
      </x:c>
      <x:c r="F96" s="130" t="n">
        <x:f>((B6/(1+$A96)^1+C6/(1+$A96)^2+D6/(1+$A96)^3+E6/(1+$A96)^4+F6/(1+$A96)^5)+F6*(1+F$95)/($A96-F$95)/(1+$A96)^5+B21+B22-B25)*1000/B27</x:f>
        <x:v>112256.58343575131</x:v>
      </x:c>
      <x:c r="G96" s="87"/>
    </x:row>
    <x:row r="97" ht="26" customHeight="1">
      <x:c r="A97" s="528" t="n">
        <x:v>0.11</x:v>
      </x:c>
      <x:c r="B97" s="131" t="n">
        <x:f>((B6/(1+$A97)^1+C6/(1+$A97)^2+D6/(1+$A97)^3+E6/(1+$A97)^4+F6/(1+$A97)^5)+F6*(1+B$95)/($A97-B$95)/(1+$A97)^5+B21+B22-B25)*1000/B27</x:f>
        <x:v>87420.00342978726</x:v>
      </x:c>
      <x:c r="C97" s="131" t="n">
        <x:f>((B6/(1+$A97)^1+C6/(1+$A97)^2+D6/(1+$A97)^3+E6/(1+$A97)^4+F6/(1+$A97)^5)+F6*(1+C$95)/($A97-C$95)/(1+$A97)^5+B21+B22-B25)*1000/B27</x:f>
        <x:v>90844.46438453069</x:v>
      </x:c>
      <x:c r="D97" s="131" t="n">
        <x:f>((B6/(1+$A97)^1+C6/(1+$A97)^2+D6/(1+$A97)^3+E6/(1+$A97)^4+F6/(1+$A97)^5)+F6*(1+D$95)/($A97-D$95)/(1+$A97)^5+B21+B22-B25)*1000/B27</x:f>
        <x:v>94758.13404709463</x:v>
      </x:c>
      <x:c r="E97" s="131" t="n">
        <x:f>((B6/(1+$A97)^1+C6/(1+$A97)^2+D6/(1+$A97)^3+E6/(1+$A97)^4+F6/(1+$A97)^5)+F6*(1+E$95)/($A97-E$95)/(1+$A97)^5+B21+B22-B25)*1000/B27</x:f>
        <x:v>99273.90673466837</x:v>
      </x:c>
      <x:c r="F97" s="131" t="n">
        <x:f>((B6/(1+$A97)^1+C6/(1+$A97)^2+D6/(1+$A97)^3+E6/(1+$A97)^4+F6/(1+$A97)^5)+F6*(1+F$95)/($A97-F$95)/(1+$A97)^5+B21+B22-B25)*1000/B27</x:f>
        <x:v>104542.30820350444</x:v>
      </x:c>
      <x:c r="G97" s="90"/>
    </x:row>
    <x:row r="98" ht="26" customHeight="1">
      <x:c r="A98" s="528" t="n">
        <x:v>0.115</x:v>
      </x:c>
      <x:c r="B98" s="131" t="n">
        <x:f>((B6/(1+$A98)^1+C6/(1+$A98)^2+D6/(1+$A98)^3+E6/(1+$A98)^4+F6/(1+$A98)^5)+F6*(1+B$95)/($A98-B$95)/(1+$A98)^5+B21+B22-B25)*1000/B27</x:f>
        <x:v>83412.99485895912</x:v>
      </x:c>
      <x:c r="C98" s="131" t="n">
        <x:f>((B6/(1+$A98)^1+C6/(1+$A98)^2+D6/(1+$A98)^3+E6/(1+$A98)^4+F6/(1+$A98)^5)+F6*(1+C$95)/($A98-C$95)/(1+$A98)^5+B21+B22-B25)*1000/B27</x:f>
        <x:v>86380.74272987986</x:v>
      </x:c>
      <x:c r="D98" s="530" t="n">
        <x:f>((B6/(1+$A98)^1+C6/(1+$A98)^2+D6/(1+$A98)^3+E6/(1+$A98)^4+F6/(1+$A98)^5)+F6*(1+D$95)/($A98-D$95)/(1+$A98)^5+B21+B22-B25)*1000/B27</x:f>
        <x:v>89744.19031692338</x:v>
      </x:c>
      <x:c r="E98" s="131" t="n">
        <x:f>((B6/(1+$A98)^1+C6/(1+$A98)^2+D6/(1+$A98)^3+E6/(1+$A98)^4+F6/(1+$A98)^5)+F6*(1+E$95)/($A98-E$95)/(1+$A98)^5+B21+B22-B25)*1000/B27</x:f>
        <x:v>93588.13041640172</x:v>
      </x:c>
      <x:c r="F98" s="131" t="n">
        <x:f>((B6/(1+$A98)^1+C6/(1+$A98)^2+D6/(1+$A98)^3+E6/(1+$A98)^4+F6/(1+$A98)^5)+F6*(1+F$95)/($A98-F$95)/(1+$A98)^5+B21+B22-B25)*1000/B27</x:f>
        <x:v>98023.44591579978</x:v>
      </x:c>
      <x:c r="G98" s="90"/>
    </x:row>
    <x:row r="99" ht="26" customHeight="1">
      <x:c r="A99" s="528" t="n">
        <x:v>0.12</x:v>
      </x:c>
      <x:c r="B99" s="131" t="n">
        <x:f>((B6/(1+$A99)^1+C6/(1+$A99)^2+D6/(1+$A99)^3+E6/(1+$A99)^4+F6/(1+$A99)^5)+F6*(1+B$95)/($A99-B$95)/(1+$A99)^5+B21+B22-B25)*1000/B27</x:f>
        <x:v>79857.80367801181</x:v>
      </x:c>
      <x:c r="C99" s="131" t="n">
        <x:f>((B6/(1+$A99)^1+C6/(1+$A99)^2+D6/(1+$A99)^3+E6/(1+$A99)^4+F6/(1+$A99)^5)+F6*(1+C$95)/($A99-C$95)/(1+$A99)^5+B21+B22-B25)*1000/B27</x:f>
        <x:v>82449.00918803606</x:v>
      </x:c>
      <x:c r="D99" s="131" t="n">
        <x:f>((B6/(1+$A99)^1+C6/(1+$A99)^2+D6/(1+$A99)^3+E6/(1+$A99)^4+F6/(1+$A99)^5)+F6*(1+D$95)/($A99-D$95)/(1+$A99)^5+B21+B22-B25)*1000/B27</x:f>
        <x:v>85364.11538681337</x:v>
      </x:c>
      <x:c r="E99" s="131" t="n">
        <x:f>((B6/(1+$A99)^1+C6/(1+$A99)^2+D6/(1+$A99)^3+E6/(1+$A99)^4+F6/(1+$A99)^5)+F6*(1+E$95)/($A99-E$95)/(1+$A99)^5+B21+B22-B25)*1000/B27</x:f>
        <x:v>88667.9024120943</x:v>
      </x:c>
      <x:c r="F99" s="131" t="n">
        <x:f>((B6/(1+$A99)^1+C6/(1+$A99)^2+D6/(1+$A99)^3+E6/(1+$A99)^4+F6/(1+$A99)^5)+F6*(1+F$95)/($A99-F$95)/(1+$A99)^5+B21+B22-B25)*1000/B27</x:f>
        <x:v>92443.65901241536</x:v>
      </x:c>
      <x:c r="G99" s="90"/>
    </x:row>
    <x:row r="100" ht="26" customHeight="1">
      <x:c r="A100" s="529" t="n">
        <x:v>0.125</x:v>
      </x:c>
      <x:c r="B100" s="132" t="n">
        <x:f>((B6/(1+$A100)^1+C6/(1+$A100)^2+D6/(1+$A100)^3+E6/(1+$A100)^4+F6/(1+$A100)^5)+F6*(1+B$95)/($A100-B$95)/(1+$A100)^5+B21+B22-B25)*1000/B27</x:f>
        <x:v>76682.95115604375</x:v>
      </x:c>
      <x:c r="C100" s="132" t="n">
        <x:f>((B6/(1+$A100)^1+C6/(1+$A100)^2+D6/(1+$A100)^3+E6/(1+$A100)^4+F6/(1+$A100)^5)+F6*(1+C$95)/($A100-C$95)/(1+$A100)^5+B21+B22-B25)*1000/B27</x:f>
        <x:v>78960.45532079856</x:v>
      </x:c>
      <x:c r="D100" s="132" t="n">
        <x:f>((B6/(1+$A100)^1+C6/(1+$A100)^2+D6/(1+$A100)^3+E6/(1+$A100)^4+F6/(1+$A100)^5)+F6*(1+D$95)/($A100-D$95)/(1+$A100)^5+B21+B22-B25)*1000/B27</x:f>
        <x:v>81505.90115199512</x:v>
      </x:c>
      <x:c r="E100" s="132" t="n">
        <x:f>((B6/(1+$A100)^1+C6/(1+$A100)^2+D6/(1+$A100)^3+E6/(1+$A100)^4+F6/(1+$A100)^5)+F6*(1+E$95)/($A100-E$95)/(1+$A100)^5+B21+B22-B25)*1000/B27</x:f>
        <x:v>84369.52771209122</x:v>
      </x:c>
      <x:c r="F100" s="132" t="n">
        <x:f>((B6/(1+$A100)^1+C6/(1+$A100)^2+D6/(1+$A100)^3+E6/(1+$A100)^4+F6/(1+$A100)^5)+F6*(1+F$95)/($A100-F$95)/(1+$A100)^5+B21+B22-B25)*1000/B27</x:f>
        <x:v>87614.97114686681</x:v>
      </x:c>
      <x:c r="G100" s="93"/>
    </x:row>
    <x:row r="102" ht="25" customHeight="1">
      <x:c r="A102" s="482" t="str">
        <x:v>DCF interpretation: consolidated operations, associates and NCI are separated to avoid treating Gemalink's equity-accounted earnings as consolidated revenue or FCFF. The sensitivity table varies the core DCF discount rate and terminal growth while holding the associate/NCI multiples constant.</x:v>
      </x:c>
      <x:c r="B102" s="483" t="str">
        <x:v>DCF interpretation: consolidated operations, associates and NCI are separated to avoid treating Gemalink's equity-accounted earnings as consolidated revenue or FCFF. The sensitivity table varies the core DCF discount rate and terminal growth while holding the associate/NCI multiples constant.</x:v>
      </x:c>
      <x:c r="C102" s="483" t="str">
        <x:v>DCF interpretation: consolidated operations, associates and NCI are separated to avoid treating Gemalink's equity-accounted earnings as consolidated revenue or FCFF. The sensitivity table varies the core DCF discount rate and terminal growth while holding the associate/NCI multiples constant.</x:v>
      </x:c>
      <x:c r="D102" s="483" t="str">
        <x:v>DCF interpretation: consolidated operations, associates and NCI are separated to avoid treating Gemalink's equity-accounted earnings as consolidated revenue or FCFF. The sensitivity table varies the core DCF discount rate and terminal growth while holding the associate/NCI multiples constant.</x:v>
      </x:c>
      <x:c r="E102" s="483" t="str">
        <x:v>DCF interpretation: consolidated operations, associates and NCI are separated to avoid treating Gemalink's equity-accounted earnings as consolidated revenue or FCFF. The sensitivity table varies the core DCF discount rate and terminal growth while holding the associate/NCI multiples constant.</x:v>
      </x:c>
      <x:c r="F102" s="483" t="str">
        <x:v>DCF interpretation: consolidated operations, associates and NCI are separated to avoid treating Gemalink's equity-accounted earnings as consolidated revenue or FCFF. The sensitivity table varies the core DCF discount rate and terminal growth while holding the associate/NCI multiples constant.</x:v>
      </x:c>
      <x:c r="G102" s="483" t="str">
        <x:v>DCF interpretation: consolidated operations, associates and NCI are separated to avoid treating Gemalink's equity-accounted earnings as consolidated revenue or FCFF. The sensitivity table varies the core DCF discount rate and terminal growth while holding the associate/NCI multiples constant.</x:v>
      </x:c>
      <x:c r="H102" s="484" t="str">
        <x:v>DCF interpretation: consolidated operations, associates and NCI are separated to avoid treating Gemalink's equity-accounted earnings as consolidated revenue or FCFF. The sensitivity table varies the core DCF discount rate and terminal growth while holding the associate/NCI multiples constant.</x:v>
      </x:c>
    </x:row>
    <x:row r="103" ht="25" customHeight="1">
      <x:c r="A103" s="485" t="str">
        <x:v>DCF interpretation: consolidated operations, associates and NCI are separated to avoid treating Gemalink's equity-accounted earnings as consolidated revenue or FCFF. The sensitivity table varies the core DCF discount rate and terminal growth while holding the associate/NCI multiples constant.</x:v>
      </x:c>
      <x:c r="B103" s="486" t="str">
        <x:v>DCF interpretation: consolidated operations, associates and NCI are separated to avoid treating Gemalink's equity-accounted earnings as consolidated revenue or FCFF. The sensitivity table varies the core DCF discount rate and terminal growth while holding the associate/NCI multiples constant.</x:v>
      </x:c>
      <x:c r="C103" s="486" t="str">
        <x:v>DCF interpretation: consolidated operations, associates and NCI are separated to avoid treating Gemalink's equity-accounted earnings as consolidated revenue or FCFF. The sensitivity table varies the core DCF discount rate and terminal growth while holding the associate/NCI multiples constant.</x:v>
      </x:c>
      <x:c r="D103" s="486" t="str">
        <x:v>DCF interpretation: consolidated operations, associates and NCI are separated to avoid treating Gemalink's equity-accounted earnings as consolidated revenue or FCFF. The sensitivity table varies the core DCF discount rate and terminal growth while holding the associate/NCI multiples constant.</x:v>
      </x:c>
      <x:c r="E103" s="486" t="str">
        <x:v>DCF interpretation: consolidated operations, associates and NCI are separated to avoid treating Gemalink's equity-accounted earnings as consolidated revenue or FCFF. The sensitivity table varies the core DCF discount rate and terminal growth while holding the associate/NCI multiples constant.</x:v>
      </x:c>
      <x:c r="F103" s="486" t="str">
        <x:v>DCF interpretation: consolidated operations, associates and NCI are separated to avoid treating Gemalink's equity-accounted earnings as consolidated revenue or FCFF. The sensitivity table varies the core DCF discount rate and terminal growth while holding the associate/NCI multiples constant.</x:v>
      </x:c>
      <x:c r="G103" s="486" t="str">
        <x:v>DCF interpretation: consolidated operations, associates and NCI are separated to avoid treating Gemalink's equity-accounted earnings as consolidated revenue or FCFF. The sensitivity table varies the core DCF discount rate and terminal growth while holding the associate/NCI multiples constant.</x:v>
      </x:c>
      <x:c r="H103" s="487" t="str">
        <x:v>DCF interpretation: consolidated operations, associates and NCI are separated to avoid treating Gemalink's equity-accounted earnings as consolidated revenue or FCFF. The sensitivity table varies the core DCF discount rate and terminal growth while holding the associate/NCI multiples constant.</x:v>
      </x:c>
    </x:row>
    <x:row r="104" ht="25" customHeight="1">
      <x:c r="A104" s="488" t="str">
        <x:v>DCF interpretation: consolidated operations, associates and NCI are separated to avoid treating Gemalink's equity-accounted earnings as consolidated revenue or FCFF. The sensitivity table varies the core DCF discount rate and terminal growth while holding the associate/NCI multiples constant.</x:v>
      </x:c>
      <x:c r="B104" s="489" t="str">
        <x:v>DCF interpretation: consolidated operations, associates and NCI are separated to avoid treating Gemalink's equity-accounted earnings as consolidated revenue or FCFF. The sensitivity table varies the core DCF discount rate and terminal growth while holding the associate/NCI multiples constant.</x:v>
      </x:c>
      <x:c r="C104" s="489" t="str">
        <x:v>DCF interpretation: consolidated operations, associates and NCI are separated to avoid treating Gemalink's equity-accounted earnings as consolidated revenue or FCFF. The sensitivity table varies the core DCF discount rate and terminal growth while holding the associate/NCI multiples constant.</x:v>
      </x:c>
      <x:c r="D104" s="489" t="str">
        <x:v>DCF interpretation: consolidated operations, associates and NCI are separated to avoid treating Gemalink's equity-accounted earnings as consolidated revenue or FCFF. The sensitivity table varies the core DCF discount rate and terminal growth while holding the associate/NCI multiples constant.</x:v>
      </x:c>
      <x:c r="E104" s="489" t="str">
        <x:v>DCF interpretation: consolidated operations, associates and NCI are separated to avoid treating Gemalink's equity-accounted earnings as consolidated revenue or FCFF. The sensitivity table varies the core DCF discount rate and terminal growth while holding the associate/NCI multiples constant.</x:v>
      </x:c>
      <x:c r="F104" s="489" t="str">
        <x:v>DCF interpretation: consolidated operations, associates and NCI are separated to avoid treating Gemalink's equity-accounted earnings as consolidated revenue or FCFF. The sensitivity table varies the core DCF discount rate and terminal growth while holding the associate/NCI multiples constant.</x:v>
      </x:c>
      <x:c r="G104" s="489" t="str">
        <x:v>DCF interpretation: consolidated operations, associates and NCI are separated to avoid treating Gemalink's equity-accounted earnings as consolidated revenue or FCFF. The sensitivity table varies the core DCF discount rate and terminal growth while holding the associate/NCI multiples constant.</x:v>
      </x:c>
      <x:c r="H104" s="490" t="str">
        <x:v>DCF interpretation: consolidated operations, associates and NCI are separated to avoid treating Gemalink's equity-accounted earnings as consolidated revenue or FCFF. The sensitivity table varies the core DCF discount rate and terminal growth while holding the associate/NCI multiples constant.</x:v>
      </x:c>
    </x:row>
  </x:sheetData>
  <x:mergeCells>
    <x:mergeCell ref="A1:H1"/>
    <x:mergeCell ref="A2:H2"/>
    <x:mergeCell ref="A4:H4"/>
    <x:mergeCell ref="A34:H34"/>
    <x:mergeCell ref="A64:H64"/>
    <x:mergeCell ref="A94:H94"/>
    <x:mergeCell ref="A102:H104"/>
  </x:mergeCells>
  <x:pageMargins left="0.7" right="0.7" top="0.75" bottom="0.75" header="0.3" footer="0.3"/>
</x:worksheet>
</file>

<file path=xl/worksheets/sheet31.xml><?xml version="1.0" encoding="utf-8"?>
<x:worksheet xmlns:x="http://schemas.openxmlformats.org/spreadsheetml/2006/main">
  <x:sheetViews>
    <x:sheetView showGridLines="0" workbookViewId="0"/>
  </x:sheetViews>
  <x:sheetFormatPr defaultRowHeight="15"/>
  <x:cols>
    <x:col min="1" max="1" width="40" hidden="0" customWidth="1"/>
    <x:col min="2" max="2" width="18" hidden="0" customWidth="1"/>
    <x:col min="3" max="3" width="18" hidden="0" customWidth="1"/>
    <x:col min="4" max="4" width="18" hidden="0" customWidth="1"/>
    <x:col min="5" max="5" width="18" hidden="0" customWidth="1"/>
    <x:col min="6" max="6" width="55" hidden="0" customWidth="1"/>
    <x:col min="7" max="7" width="27" hidden="0" customWidth="1"/>
  </x:cols>
  <x:sheetData>
    <x:row r="1" ht="30" customHeight="1">
      <x:c r="A1" s="408" t="str">
        <x:v>Phase 4 — Trading Multiple, Blended Target Price &amp; Rating</x:v>
      </x:c>
      <x:c r="B1" s="408" t="str">
        <x:v>Phase 4 — Trading Multiple, Blended Target Price &amp; Rating</x:v>
      </x:c>
      <x:c r="C1" s="408" t="str">
        <x:v>Phase 4 — Trading Multiple, Blended Target Price &amp; Rating</x:v>
      </x:c>
      <x:c r="D1" s="408" t="str">
        <x:v>Phase 4 — Trading Multiple, Blended Target Price &amp; Rating</x:v>
      </x:c>
      <x:c r="E1" s="408" t="str">
        <x:v>Phase 4 — Trading Multiple, Blended Target Price &amp; Rating</x:v>
      </x:c>
      <x:c r="F1" s="408" t="str">
        <x:v>Phase 4 — Trading Multiple, Blended Target Price &amp; Rating</x:v>
      </x:c>
      <x:c r="G1" s="408" t="str">
        <x:v>Phase 4 — Trading Multiple, Blended Target Price &amp; Rating</x:v>
      </x:c>
    </x:row>
    <x:row r="2" ht="34" customHeight="1">
      <x:c r="A2" s="412" t="str">
        <x:v>Primary investment call uses an equal-weight blend of 2026E P/E and the DCF/SOTP cross-check. Upside excludes dividends.</x:v>
      </x:c>
      <x:c r="B2" s="412" t="str">
        <x:v>Primary investment call uses an equal-weight blend of 2026E P/E and the DCF/SOTP cross-check. Upside excludes dividends.</x:v>
      </x:c>
      <x:c r="C2" s="412" t="str">
        <x:v>Primary investment call uses an equal-weight blend of 2026E P/E and the DCF/SOTP cross-check. Upside excludes dividends.</x:v>
      </x:c>
      <x:c r="D2" s="412" t="str">
        <x:v>Primary investment call uses an equal-weight blend of 2026E P/E and the DCF/SOTP cross-check. Upside excludes dividends.</x:v>
      </x:c>
      <x:c r="E2" s="412" t="str">
        <x:v>Primary investment call uses an equal-weight blend of 2026E P/E and the DCF/SOTP cross-check. Upside excludes dividends.</x:v>
      </x:c>
      <x:c r="F2" s="412" t="str">
        <x:v>Primary investment call uses an equal-weight blend of 2026E P/E and the DCF/SOTP cross-check. Upside excludes dividends.</x:v>
      </x:c>
      <x:c r="G2" s="412" t="str">
        <x:v>Primary investment call uses an equal-weight blend of 2026E P/E and the DCF/SOTP cross-check. Upside excludes dividends.</x:v>
      </x:c>
    </x:row>
    <x:row r="4" ht="22" customHeight="1">
      <x:c r="A4" s="415" t="str">
        <x:v>Scenario valuation</x:v>
      </x:c>
      <x:c r="B4" s="415" t="str">
        <x:v>Scenario valuation</x:v>
      </x:c>
      <x:c r="C4" s="415" t="str">
        <x:v>Scenario valuation</x:v>
      </x:c>
      <x:c r="D4" s="415" t="str">
        <x:v>Scenario valuation</x:v>
      </x:c>
      <x:c r="E4" s="415" t="str">
        <x:v>Scenario valuation</x:v>
      </x:c>
      <x:c r="F4" s="415" t="str">
        <x:v>Scenario valuation</x:v>
      </x:c>
      <x:c r="G4" s="415" t="str">
        <x:v>Scenario valuation</x:v>
      </x:c>
    </x:row>
    <x:row r="5" ht="32" customHeight="1">
      <x:c r="A5" s="421" t="str">
        <x:v>Metric</x:v>
      </x:c>
      <x:c r="B5" s="421" t="str">
        <x:v>Unit</x:v>
      </x:c>
      <x:c r="C5" s="421" t="str">
        <x:v>Base</x:v>
      </x:c>
      <x:c r="D5" s="421" t="str">
        <x:v>Bull</x:v>
      </x:c>
      <x:c r="E5" s="421" t="str">
        <x:v>Bear</x:v>
      </x:c>
      <x:c r="F5" s="421" t="str">
        <x:v>Interpretation</x:v>
      </x:c>
      <x:c r="G5" s="421" t="str">
        <x:v>Data class</x:v>
      </x:c>
    </x:row>
    <x:row r="6" ht="30" customHeight="1">
      <x:c r="A6" s="85" t="str">
        <x:v>Current price</x:v>
      </x:c>
      <x:c r="B6" s="86" t="str">
        <x:v>VND/share</x:v>
      </x:c>
      <x:c r="C6" s="370" t="n">
        <x:f>'P4 Assumptions'!$C$19*1000</x:f>
        <x:v>73200</x:v>
      </x:c>
      <x:c r="D6" s="370" t="n">
        <x:f>'P4 Assumptions'!$C$19*1000</x:f>
        <x:v>73200</x:v>
      </x:c>
      <x:c r="E6" s="370" t="n">
        <x:f>'P4 Assumptions'!$C$19*1000</x:f>
        <x:v>73200</x:v>
      </x:c>
      <x:c r="F6" s="86" t="str"/>
      <x:c r="G6" s="87" t="str">
        <x:v>Market / model</x:v>
      </x:c>
    </x:row>
    <x:row r="7" ht="30" customHeight="1">
      <x:c r="A7" s="88" t="str">
        <x:v>Market capitalization</x:v>
      </x:c>
      <x:c r="B7" s="89" t="str">
        <x:v>VND bn</x:v>
      </x:c>
      <x:c r="C7" s="364" t="n">
        <x:f>'Raw GMD Market'!C22</x:f>
        <x:v>31219.4419788</x:v>
      </x:c>
      <x:c r="D7" s="364" t="n">
        <x:f>'Raw GMD Market'!C22</x:f>
        <x:v>31219.4419788</x:v>
      </x:c>
      <x:c r="E7" s="364" t="n">
        <x:f>'Raw GMD Market'!C22</x:f>
        <x:v>31219.4419788</x:v>
      </x:c>
      <x:c r="F7" s="89" t="str"/>
      <x:c r="G7" s="90" t="str">
        <x:v>Model output / analyst assumption</x:v>
      </x:c>
    </x:row>
    <x:row r="8" ht="30" customHeight="1">
      <x:c r="A8" s="88" t="str">
        <x:v>2026E EPS</x:v>
      </x:c>
      <x:c r="B8" s="89" t="str">
        <x:v>VND/share</x:v>
      </x:c>
      <x:c r="C8" s="364" t="n">
        <x:f>'P4 Forecast'!D35</x:f>
        <x:v>4980.839859705584</x:v>
      </x:c>
      <x:c r="D8" s="364" t="n">
        <x:f>'P4 Forecast'!D75</x:f>
        <x:v>5546.396016504533</x:v>
      </x:c>
      <x:c r="E8" s="364" t="n">
        <x:f>'P4 Forecast'!D115</x:f>
        <x:v>4042.1967281184543</x:v>
      </x:c>
      <x:c r="F8" s="89" t="str"/>
      <x:c r="G8" s="90" t="str">
        <x:v>Model output / analyst assumption</x:v>
      </x:c>
    </x:row>
    <x:row r="9" ht="30" customHeight="1">
      <x:c r="A9" s="88" t="str">
        <x:v>Current 2026E P/E</x:v>
      </x:c>
      <x:c r="B9" s="89" t="str">
        <x:v>x</x:v>
      </x:c>
      <x:c r="C9" s="515" t="n">
        <x:f>C6/C8</x:f>
        <x:v>14.696316697948774</x:v>
      </x:c>
      <x:c r="D9" s="515" t="n">
        <x:f>D6/D8</x:f>
        <x:v>13.197759370621418</x:v>
      </x:c>
      <x:c r="E9" s="515" t="n">
        <x:f>E6/E8</x:f>
        <x:v>18.108965229426833</x:v>
      </x:c>
      <x:c r="F9" s="89" t="str"/>
      <x:c r="G9" s="90" t="str">
        <x:v>Market / model</x:v>
      </x:c>
    </x:row>
    <x:row r="10" ht="30" customHeight="1">
      <x:c r="A10" s="88" t="str">
        <x:v>Target 2026E P/E</x:v>
      </x:c>
      <x:c r="B10" s="89" t="str">
        <x:v>x</x:v>
      </x:c>
      <x:c r="C10" s="368" t="n">
        <x:f>'P4 Assumptions'!C116</x:f>
        <x:v>16</x:v>
      </x:c>
      <x:c r="D10" s="368" t="n">
        <x:f>'P4 Assumptions'!D116</x:f>
        <x:v>17</x:v>
      </x:c>
      <x:c r="E10" s="368" t="n">
        <x:f>'P4 Assumptions'!E116</x:f>
        <x:v>13</x:v>
      </x:c>
      <x:c r="F10" s="89" t="str"/>
      <x:c r="G10" s="90" t="str">
        <x:v>Model output / analyst assumption</x:v>
      </x:c>
    </x:row>
    <x:row r="11" ht="30" customHeight="1">
      <x:c r="A11" s="88" t="str">
        <x:v>P/E implied value</x:v>
      </x:c>
      <x:c r="B11" s="89" t="str">
        <x:v>VND/share</x:v>
      </x:c>
      <x:c r="C11" s="131" t="n">
        <x:f>C8*C10</x:f>
        <x:v>79693.43775528934</x:v>
      </x:c>
      <x:c r="D11" s="131" t="n">
        <x:f>D8*D10</x:f>
        <x:v>94288.73228057705</x:v>
      </x:c>
      <x:c r="E11" s="131" t="n">
        <x:f>E8*E10</x:f>
        <x:v>52548.5574655399</x:v>
      </x:c>
      <x:c r="F11" s="89" t="str"/>
      <x:c r="G11" s="90" t="str">
        <x:v>Model output / analyst assumption</x:v>
      </x:c>
    </x:row>
    <x:row r="12" ht="30" customHeight="1">
      <x:c r="A12" s="88" t="str">
        <x:v>DCF implied value</x:v>
      </x:c>
      <x:c r="B12" s="89" t="str">
        <x:v>VND/share</x:v>
      </x:c>
      <x:c r="C12" s="364" t="n">
        <x:f>'P4 DCF'!B28</x:f>
        <x:v>88988.48956502434</x:v>
      </x:c>
      <x:c r="D12" s="364" t="n">
        <x:f>'P4 DCF'!B58</x:f>
        <x:v>137110.25814393567</x:v>
      </x:c>
      <x:c r="E12" s="364" t="n">
        <x:f>'P4 DCF'!B88</x:f>
        <x:v>49026.59994964964</x:v>
      </x:c>
      <x:c r="F12" s="89" t="str"/>
      <x:c r="G12" s="90" t="str">
        <x:v>Model output / analyst assumption</x:v>
      </x:c>
    </x:row>
    <x:row r="13" ht="30" customHeight="1">
      <x:c r="A13" s="88" t="str">
        <x:v>P/E weight</x:v>
      </x:c>
      <x:c r="B13" s="89" t="str">
        <x:v>%</x:v>
      </x:c>
      <x:c r="C13" s="125" t="n">
        <x:f>'P4 Assumptions'!C117</x:f>
        <x:v>0.5</x:v>
      </x:c>
      <x:c r="D13" s="125" t="n">
        <x:f>'P4 Assumptions'!D117</x:f>
        <x:v>0.5</x:v>
      </x:c>
      <x:c r="E13" s="125" t="n">
        <x:f>'P4 Assumptions'!E117</x:f>
        <x:v>0.5</x:v>
      </x:c>
      <x:c r="F13" s="89" t="str"/>
      <x:c r="G13" s="90" t="str">
        <x:v>Model output / analyst assumption</x:v>
      </x:c>
    </x:row>
    <x:row r="14" ht="30" customHeight="1">
      <x:c r="A14" s="88" t="str">
        <x:v>DCF weight</x:v>
      </x:c>
      <x:c r="B14" s="89" t="str">
        <x:v>%</x:v>
      </x:c>
      <x:c r="C14" s="125" t="n">
        <x:f>'P4 Assumptions'!C118</x:f>
        <x:v>0.5</x:v>
      </x:c>
      <x:c r="D14" s="125" t="n">
        <x:f>'P4 Assumptions'!D118</x:f>
        <x:v>0.5</x:v>
      </x:c>
      <x:c r="E14" s="125" t="n">
        <x:f>'P4 Assumptions'!E118</x:f>
        <x:v>0.5</x:v>
      </x:c>
      <x:c r="F14" s="89" t="str"/>
      <x:c r="G14" s="90" t="str">
        <x:v>Model output / analyst assumption</x:v>
      </x:c>
    </x:row>
    <x:row r="15" ht="30" customHeight="1">
      <x:c r="A15" s="499" t="str">
        <x:v>Blended value</x:v>
      </x:c>
      <x:c r="B15" s="500" t="str">
        <x:v>VND/share</x:v>
      </x:c>
      <x:c r="C15" s="531" t="n">
        <x:f>C11*C13+C12*C14</x:f>
        <x:v>84340.96366015685</x:v>
      </x:c>
      <x:c r="D15" s="531" t="n">
        <x:f>D11*D13+D12*D14</x:f>
        <x:v>115699.49521225636</x:v>
      </x:c>
      <x:c r="E15" s="531" t="n">
        <x:f>E11*E13+E12*E14</x:f>
        <x:v>50787.578707594774</x:v>
      </x:c>
      <x:c r="F15" s="500" t="str"/>
      <x:c r="G15" s="500" t="str">
        <x:v>Model output / analyst assumption</x:v>
      </x:c>
    </x:row>
    <x:row r="16" ht="30" customHeight="1">
      <x:c r="A16" s="455" t="str">
        <x:v>Rounded target price</x:v>
      </x:c>
      <x:c r="B16" s="456" t="str">
        <x:v>VND/share</x:v>
      </x:c>
      <x:c r="C16" s="498" t="n">
        <x:f>ROUND(C15/500,0)*500</x:f>
        <x:v>84500</x:v>
      </x:c>
      <x:c r="D16" s="498" t="n">
        <x:f>ROUND(D15/500,0)*500</x:f>
        <x:v>115500</x:v>
      </x:c>
      <x:c r="E16" s="498" t="n">
        <x:f>ROUND(E15/500,0)*500</x:f>
        <x:v>51000</x:v>
      </x:c>
      <x:c r="F16" s="456" t="str"/>
      <x:c r="G16" s="456" t="str">
        <x:v>Model output / analyst assumption</x:v>
      </x:c>
    </x:row>
    <x:row r="17" ht="30" customHeight="1">
      <x:c r="A17" s="455" t="str">
        <x:v>Upside / (downside)</x:v>
      </x:c>
      <x:c r="B17" s="456" t="str">
        <x:v>%</x:v>
      </x:c>
      <x:c r="C17" s="457" t="n">
        <x:f>C16/C6-1</x:f>
        <x:v>0.15437158469945356</x:v>
      </x:c>
      <x:c r="D17" s="457" t="n">
        <x:f>D16/D6-1</x:f>
        <x:v>0.5778688524590163</x:v>
      </x:c>
      <x:c r="E17" s="457" t="n">
        <x:f>E16/E6-1</x:f>
        <x:v>-0.30327868852459017</x:v>
      </x:c>
      <x:c r="F17" s="456" t="str"/>
      <x:c r="G17" s="456" t="str">
        <x:v>Model output / analyst assumption</x:v>
      </x:c>
    </x:row>
    <x:row r="18" ht="30" customHeight="1">
      <x:c r="A18" s="502" t="str">
        <x:v>Rating</x:v>
      </x:c>
      <x:c r="B18" s="503" t="str">
        <x:v>text</x:v>
      </x:c>
      <x:c r="C18" s="532" t="str">
        <x:f>IF(C17&gt;='P4 Assumptions'!$C$120,"BUY",IF(C17&lt;='P4 Assumptions'!$C$121,"SELL","HOLD"))</x:f>
        <x:v>BUY</x:v>
      </x:c>
      <x:c r="D18" s="532" t="str">
        <x:f>IF(D17&gt;='P4 Assumptions'!$C$120,"BUY",IF(D17&lt;='P4 Assumptions'!$C$121,"SELL","HOLD"))</x:f>
        <x:v>BUY</x:v>
      </x:c>
      <x:c r="E18" s="532" t="str">
        <x:f>IF(E17&gt;='P4 Assumptions'!$C$120,"BUY",IF(E17&lt;='P4 Assumptions'!$C$121,"SELL","HOLD"))</x:f>
        <x:v>SELL</x:v>
      </x:c>
      <x:c r="F18" s="503" t="str">
        <x:v>BUY ≥ 15%; HOLD between -10% and +15%; SELL ≤ -10%.</x:v>
      </x:c>
      <x:c r="G18" s="503" t="str">
        <x:v>Model output / analyst assumption</x:v>
      </x:c>
    </x:row>
    <x:row r="19" ht="30" customHeight="1">
      <x:c r="A19" s="91" t="str">
        <x:v>Scenario probability</x:v>
      </x:c>
      <x:c r="B19" s="92" t="str">
        <x:v>%</x:v>
      </x:c>
      <x:c r="C19" s="110" t="n">
        <x:f>'P4 Assumptions'!C119</x:f>
        <x:v>0.6</x:v>
      </x:c>
      <x:c r="D19" s="110" t="n">
        <x:f>'P4 Assumptions'!D119</x:f>
        <x:v>0.2</x:v>
      </x:c>
      <x:c r="E19" s="110" t="n">
        <x:f>'P4 Assumptions'!E119</x:f>
        <x:v>0.2</x:v>
      </x:c>
      <x:c r="F19" s="92" t="str"/>
      <x:c r="G19" s="93" t="str">
        <x:v>Model output / analyst assumption</x:v>
      </x:c>
    </x:row>
    <x:row r="21" ht="22" customHeight="1">
      <x:c r="A21" s="415" t="str">
        <x:v>Probability-weighted and benchmark cross-checks</x:v>
      </x:c>
      <x:c r="B21" s="415" t="str">
        <x:v>Probability-weighted and benchmark cross-checks</x:v>
      </x:c>
      <x:c r="C21" s="415" t="str">
        <x:v>Probability-weighted and benchmark cross-checks</x:v>
      </x:c>
      <x:c r="D21" s="415" t="str">
        <x:v>Probability-weighted and benchmark cross-checks</x:v>
      </x:c>
      <x:c r="E21" s="415" t="str">
        <x:v>Probability-weighted and benchmark cross-checks</x:v>
      </x:c>
      <x:c r="F21" s="415" t="str">
        <x:v>Probability-weighted and benchmark cross-checks</x:v>
      </x:c>
      <x:c r="G21" s="415" t="str">
        <x:v>Probability-weighted and benchmark cross-checks</x:v>
      </x:c>
    </x:row>
    <x:row r="22" ht="30" customHeight="1">
      <x:c r="A22" s="499" t="str">
        <x:v>Probability-weighted target price</x:v>
      </x:c>
      <x:c r="B22" s="500" t="str">
        <x:v>VND/share</x:v>
      </x:c>
      <x:c r="C22" s="531" t="n">
        <x:f>C16*C19+D16*D19+E16*E19</x:f>
        <x:v>84000</x:v>
      </x:c>
      <x:c r="D22" s="500"/>
      <x:c r="E22" s="500"/>
      <x:c r="F22" s="500" t="str">
        <x:v>Base/Bull/Bear target prices weighted 60%/20%/20%.</x:v>
      </x:c>
      <x:c r="G22" s="500" t="str">
        <x:v>Model output</x:v>
      </x:c>
    </x:row>
    <x:row r="23" ht="30" customHeight="1">
      <x:c r="A23" s="502" t="str">
        <x:v>Probability-weighted upside</x:v>
      </x:c>
      <x:c r="B23" s="503" t="str">
        <x:v>%</x:v>
      </x:c>
      <x:c r="C23" s="514" t="n">
        <x:f>C22/C6-1</x:f>
        <x:v>0.14754098360655732</x:v>
      </x:c>
      <x:c r="D23" s="503"/>
      <x:c r="E23" s="503"/>
      <x:c r="F23" s="503" t="str">
        <x:v>Versus current close.</x:v>
      </x:c>
      <x:c r="G23" s="503" t="str">
        <x:v>Model output</x:v>
      </x:c>
    </x:row>
    <x:row r="24" ht="30" customHeight="1">
      <x:c r="A24" s="88" t="str">
        <x:v>Base revenue vs registered plan</x:v>
      </x:c>
      <x:c r="B24" s="89" t="str">
        <x:v>%</x:v>
      </x:c>
      <x:c r="C24" s="109" t="n">
        <x:f>'P4 Forecast'!D16/'P4 Assumptions'!C21-1</x:f>
        <x:v>0.0396151491558423</x:v>
      </x:c>
      <x:c r="D24" s="89"/>
      <x:c r="E24" s="89"/>
      <x:c r="F24" s="89" t="str">
        <x:v>2026E Base relative to management's registered revenue plan.</x:v>
      </x:c>
      <x:c r="G24" s="90" t="str">
        <x:v>Model output</x:v>
      </x:c>
    </x:row>
    <x:row r="25" ht="30" customHeight="1">
      <x:c r="A25" s="88" t="str">
        <x:v>Base revenue vs stretch target</x:v>
      </x:c>
      <x:c r="B25" s="89" t="str">
        <x:v>%</x:v>
      </x:c>
      <x:c r="C25" s="109" t="n">
        <x:f>'P4 Forecast'!D16/'P4 Assumptions'!C23-1</x:f>
        <x:v>-0.006250225071621318</x:v>
      </x:c>
      <x:c r="D25" s="89"/>
      <x:c r="E25" s="89"/>
      <x:c r="F25" s="89" t="str">
        <x:v>2026E Base relative to management's stretch revenue target.</x:v>
      </x:c>
      <x:c r="G25" s="90" t="str">
        <x:v>Model output</x:v>
      </x:c>
    </x:row>
    <x:row r="26" ht="30" customHeight="1">
      <x:c r="A26" s="88" t="str">
        <x:v>Base PBT vs registered plan</x:v>
      </x:c>
      <x:c r="B26" s="89" t="str">
        <x:v>%</x:v>
      </x:c>
      <x:c r="C26" s="109" t="n">
        <x:f>'P4 Forecast'!D28/'P4 Assumptions'!C22-1</x:f>
        <x:v>0.07476971590304049</x:v>
      </x:c>
      <x:c r="D26" s="89"/>
      <x:c r="E26" s="89"/>
      <x:c r="F26" s="89" t="str">
        <x:v>2026E Base relative to management's registered PBT plan.</x:v>
      </x:c>
      <x:c r="G26" s="90" t="str">
        <x:v>Model output</x:v>
      </x:c>
    </x:row>
    <x:row r="27" ht="30" customHeight="1">
      <x:c r="A27" s="91" t="str">
        <x:v>Base PBT vs stretch target</x:v>
      </x:c>
      <x:c r="B27" s="92" t="str">
        <x:v>%</x:v>
      </x:c>
      <x:c r="C27" s="110" t="n">
        <x:f>'P4 Forecast'!D28/'P4 Assumptions'!C24-1</x:f>
        <x:v>0.003118401509504487</x:v>
      </x:c>
      <x:c r="D27" s="92"/>
      <x:c r="E27" s="92"/>
      <x:c r="F27" s="92" t="str">
        <x:v>2026E Base relative to management's stretch PBT target.</x:v>
      </x:c>
      <x:c r="G27" s="93" t="str">
        <x:v>Model output</x:v>
      </x:c>
    </x:row>
    <x:row r="29" ht="25" customHeight="1">
      <x:c r="A29" s="482" t="str">
        <x:v>Investment-call discipline: the Base case is the primary rating case; the probability-weighted target is a cross-check. The target price is rounded to the nearest VND 500 and excludes dividends. No recommendation is forced: a strong operating thesis can still produce HOLD if valuation absorbs the upside.</x:v>
      </x:c>
      <x:c r="B29" s="483" t="str">
        <x:v>Investment-call discipline: the Base case is the primary rating case; the probability-weighted target is a cross-check. The target price is rounded to the nearest VND 500 and excludes dividends. No recommendation is forced: a strong operating thesis can still produce HOLD if valuation absorbs the upside.</x:v>
      </x:c>
      <x:c r="C29" s="483" t="str">
        <x:v>Investment-call discipline: the Base case is the primary rating case; the probability-weighted target is a cross-check. The target price is rounded to the nearest VND 500 and excludes dividends. No recommendation is forced: a strong operating thesis can still produce HOLD if valuation absorbs the upside.</x:v>
      </x:c>
      <x:c r="D29" s="483" t="str">
        <x:v>Investment-call discipline: the Base case is the primary rating case; the probability-weighted target is a cross-check. The target price is rounded to the nearest VND 500 and excludes dividends. No recommendation is forced: a strong operating thesis can still produce HOLD if valuation absorbs the upside.</x:v>
      </x:c>
      <x:c r="E29" s="483" t="str">
        <x:v>Investment-call discipline: the Base case is the primary rating case; the probability-weighted target is a cross-check. The target price is rounded to the nearest VND 500 and excludes dividends. No recommendation is forced: a strong operating thesis can still produce HOLD if valuation absorbs the upside.</x:v>
      </x:c>
      <x:c r="F29" s="483" t="str">
        <x:v>Investment-call discipline: the Base case is the primary rating case; the probability-weighted target is a cross-check. The target price is rounded to the nearest VND 500 and excludes dividends. No recommendation is forced: a strong operating thesis can still produce HOLD if valuation absorbs the upside.</x:v>
      </x:c>
      <x:c r="G29" s="484" t="str">
        <x:v>Investment-call discipline: the Base case is the primary rating case; the probability-weighted target is a cross-check. The target price is rounded to the nearest VND 500 and excludes dividends. No recommendation is forced: a strong operating thesis can still produce HOLD if valuation absorbs the upside.</x:v>
      </x:c>
    </x:row>
    <x:row r="30" ht="25" customHeight="1">
      <x:c r="A30" s="485" t="str">
        <x:v>Investment-call discipline: the Base case is the primary rating case; the probability-weighted target is a cross-check. The target price is rounded to the nearest VND 500 and excludes dividends. No recommendation is forced: a strong operating thesis can still produce HOLD if valuation absorbs the upside.</x:v>
      </x:c>
      <x:c r="B30" s="486" t="str">
        <x:v>Investment-call discipline: the Base case is the primary rating case; the probability-weighted target is a cross-check. The target price is rounded to the nearest VND 500 and excludes dividends. No recommendation is forced: a strong operating thesis can still produce HOLD if valuation absorbs the upside.</x:v>
      </x:c>
      <x:c r="C30" s="486" t="str">
        <x:v>Investment-call discipline: the Base case is the primary rating case; the probability-weighted target is a cross-check. The target price is rounded to the nearest VND 500 and excludes dividends. No recommendation is forced: a strong operating thesis can still produce HOLD if valuation absorbs the upside.</x:v>
      </x:c>
      <x:c r="D30" s="486" t="str">
        <x:v>Investment-call discipline: the Base case is the primary rating case; the probability-weighted target is a cross-check. The target price is rounded to the nearest VND 500 and excludes dividends. No recommendation is forced: a strong operating thesis can still produce HOLD if valuation absorbs the upside.</x:v>
      </x:c>
      <x:c r="E30" s="486" t="str">
        <x:v>Investment-call discipline: the Base case is the primary rating case; the probability-weighted target is a cross-check. The target price is rounded to the nearest VND 500 and excludes dividends. No recommendation is forced: a strong operating thesis can still produce HOLD if valuation absorbs the upside.</x:v>
      </x:c>
      <x:c r="F30" s="486" t="str">
        <x:v>Investment-call discipline: the Base case is the primary rating case; the probability-weighted target is a cross-check. The target price is rounded to the nearest VND 500 and excludes dividends. No recommendation is forced: a strong operating thesis can still produce HOLD if valuation absorbs the upside.</x:v>
      </x:c>
      <x:c r="G30" s="487" t="str">
        <x:v>Investment-call discipline: the Base case is the primary rating case; the probability-weighted target is a cross-check. The target price is rounded to the nearest VND 500 and excludes dividends. No recommendation is forced: a strong operating thesis can still produce HOLD if valuation absorbs the upside.</x:v>
      </x:c>
    </x:row>
    <x:row r="31" ht="25" customHeight="1">
      <x:c r="A31" s="488" t="str">
        <x:v>Investment-call discipline: the Base case is the primary rating case; the probability-weighted target is a cross-check. The target price is rounded to the nearest VND 500 and excludes dividends. No recommendation is forced: a strong operating thesis can still produce HOLD if valuation absorbs the upside.</x:v>
      </x:c>
      <x:c r="B31" s="489" t="str">
        <x:v>Investment-call discipline: the Base case is the primary rating case; the probability-weighted target is a cross-check. The target price is rounded to the nearest VND 500 and excludes dividends. No recommendation is forced: a strong operating thesis can still produce HOLD if valuation absorbs the upside.</x:v>
      </x:c>
      <x:c r="C31" s="489" t="str">
        <x:v>Investment-call discipline: the Base case is the primary rating case; the probability-weighted target is a cross-check. The target price is rounded to the nearest VND 500 and excludes dividends. No recommendation is forced: a strong operating thesis can still produce HOLD if valuation absorbs the upside.</x:v>
      </x:c>
      <x:c r="D31" s="489" t="str">
        <x:v>Investment-call discipline: the Base case is the primary rating case; the probability-weighted target is a cross-check. The target price is rounded to the nearest VND 500 and excludes dividends. No recommendation is forced: a strong operating thesis can still produce HOLD if valuation absorbs the upside.</x:v>
      </x:c>
      <x:c r="E31" s="489" t="str">
        <x:v>Investment-call discipline: the Base case is the primary rating case; the probability-weighted target is a cross-check. The target price is rounded to the nearest VND 500 and excludes dividends. No recommendation is forced: a strong operating thesis can still produce HOLD if valuation absorbs the upside.</x:v>
      </x:c>
      <x:c r="F31" s="489" t="str">
        <x:v>Investment-call discipline: the Base case is the primary rating case; the probability-weighted target is a cross-check. The target price is rounded to the nearest VND 500 and excludes dividends. No recommendation is forced: a strong operating thesis can still produce HOLD if valuation absorbs the upside.</x:v>
      </x:c>
      <x:c r="G31" s="490" t="str">
        <x:v>Investment-call discipline: the Base case is the primary rating case; the probability-weighted target is a cross-check. The target price is rounded to the nearest VND 500 and excludes dividends. No recommendation is forced: a strong operating thesis can still produce HOLD if valuation absorbs the upside.</x:v>
      </x:c>
    </x:row>
  </x:sheetData>
  <x:mergeCells>
    <x:mergeCell ref="A1:G1"/>
    <x:mergeCell ref="A2:G2"/>
    <x:mergeCell ref="A4:G4"/>
    <x:mergeCell ref="A21:G21"/>
    <x:mergeCell ref="A29:G31"/>
  </x:mergeCells>
  <x:conditionalFormatting sqref="C18:E18">
    <x:cfRule type="containsText" dxfId="6" priority="1" operator="containsText" text="BUY"/>
    <x:cfRule type="containsText" dxfId="7" priority="2" operator="containsText" text="SELL"/>
    <x:cfRule type="containsText" dxfId="8" priority="3" operator="containsText" text="HOLD"/>
  </x:conditionalFormatting>
  <x:pageMargins left="0.7" right="0.7" top="0.75" bottom="0.75" header="0.3" footer="0.3"/>
</x:worksheet>
</file>

<file path=xl/worksheets/sheet32.xml><?xml version="1.0" encoding="utf-8"?>
<x:worksheet xmlns:x="http://schemas.openxmlformats.org/spreadsheetml/2006/main">
  <x:sheetViews>
    <x:sheetView showGridLines="0" workbookViewId="0"/>
  </x:sheetViews>
  <x:sheetFormatPr defaultRowHeight="15"/>
  <x:cols>
    <x:col min="1" max="1" width="31" hidden="0" customWidth="1"/>
    <x:col min="2" max="2" width="33" hidden="0" customWidth="1"/>
    <x:col min="3" max="3" width="42" hidden="0" customWidth="1"/>
    <x:col min="4" max="4" width="20" hidden="0" customWidth="1"/>
    <x:col min="5" max="5" width="20" hidden="0" customWidth="1"/>
    <x:col min="6" max="6" width="38" hidden="0" customWidth="1"/>
    <x:col min="7" max="7" width="27" hidden="0" customWidth="1"/>
    <x:col min="8" max="8" width="27" hidden="0" customWidth="1"/>
  </x:cols>
  <x:sheetData>
    <x:row r="1" ht="30" customHeight="1">
      <x:c r="A1" s="408" t="str">
        <x:v>Phase 4 — GMD Investment View</x:v>
      </x:c>
      <x:c r="B1" s="408" t="str">
        <x:v>Phase 4 — GMD Investment View</x:v>
      </x:c>
      <x:c r="C1" s="408" t="str">
        <x:v>Phase 4 — GMD Investment View</x:v>
      </x:c>
      <x:c r="D1" s="408" t="str">
        <x:v>Phase 4 — GMD Investment View</x:v>
      </x:c>
      <x:c r="E1" s="408" t="str">
        <x:v>Phase 4 — GMD Investment View</x:v>
      </x:c>
      <x:c r="F1" s="408" t="str">
        <x:v>Phase 4 — GMD Investment View</x:v>
      </x:c>
      <x:c r="G1" s="408" t="str">
        <x:v>Phase 4 — GMD Investment View</x:v>
      </x:c>
      <x:c r="H1" s="408" t="str">
        <x:v>Phase 4 — GMD Investment View</x:v>
      </x:c>
    </x:row>
    <x:row r="2" ht="34" customHeight="1">
      <x:c r="A2" s="412" t="str">
        <x:v>A compact investment call that separates facts, analyst assumptions and model outputs. Full formulas remain in the forecast, DCF and valuation sheets.</x:v>
      </x:c>
      <x:c r="B2" s="412" t="str">
        <x:v>A compact investment call that separates facts, analyst assumptions and model outputs. Full formulas remain in the forecast, DCF and valuation sheets.</x:v>
      </x:c>
      <x:c r="C2" s="412" t="str">
        <x:v>A compact investment call that separates facts, analyst assumptions and model outputs. Full formulas remain in the forecast, DCF and valuation sheets.</x:v>
      </x:c>
      <x:c r="D2" s="412" t="str">
        <x:v>A compact investment call that separates facts, analyst assumptions and model outputs. Full formulas remain in the forecast, DCF and valuation sheets.</x:v>
      </x:c>
      <x:c r="E2" s="412" t="str">
        <x:v>A compact investment call that separates facts, analyst assumptions and model outputs. Full formulas remain in the forecast, DCF and valuation sheets.</x:v>
      </x:c>
      <x:c r="F2" s="412" t="str">
        <x:v>A compact investment call that separates facts, analyst assumptions and model outputs. Full formulas remain in the forecast, DCF and valuation sheets.</x:v>
      </x:c>
      <x:c r="G2" s="412" t="str">
        <x:v>A compact investment call that separates facts, analyst assumptions and model outputs. Full formulas remain in the forecast, DCF and valuation sheets.</x:v>
      </x:c>
      <x:c r="H2" s="412" t="str">
        <x:v>A compact investment call that separates facts, analyst assumptions and model outputs. Full formulas remain in the forecast, DCF and valuation sheets.</x:v>
      </x:c>
    </x:row>
    <x:row r="4" ht="22" customHeight="1">
      <x:c r="A4" s="415" t="str">
        <x:v>Investment call</x:v>
      </x:c>
      <x:c r="B4" s="415" t="str">
        <x:v>Investment call</x:v>
      </x:c>
      <x:c r="C4" s="415" t="str">
        <x:v>Investment call</x:v>
      </x:c>
      <x:c r="D4" s="415" t="str">
        <x:v>Investment call</x:v>
      </x:c>
      <x:c r="E4" s="415" t="str">
        <x:v>Investment call</x:v>
      </x:c>
      <x:c r="F4" s="415" t="str">
        <x:v>Investment call</x:v>
      </x:c>
      <x:c r="G4" s="415" t="str">
        <x:v>Investment call</x:v>
      </x:c>
      <x:c r="H4" s="415" t="str">
        <x:v>Investment call</x:v>
      </x:c>
    </x:row>
    <x:row r="5">
      <x:c r="A5" s="545" t="str">
        <x:v>Rating</x:v>
      </x:c>
      <x:c r="B5" s="542"/>
      <x:c r="C5" s="545" t="str">
        <x:v>Target price</x:v>
      </x:c>
      <x:c r="D5" s="542"/>
      <x:c r="E5" s="545" t="str">
        <x:v>Current price</x:v>
      </x:c>
      <x:c r="F5" s="542"/>
      <x:c r="G5" s="545" t="str">
        <x:v>Price upside</x:v>
      </x:c>
      <x:c r="H5" s="542"/>
    </x:row>
    <x:row r="6" ht="30" customHeight="1">
      <x:c r="A6" s="548" t="str">
        <x:f>'P4 Valuation'!C18</x:f>
        <x:v>BUY</x:v>
      </x:c>
      <x:c r="B6" s="548"/>
      <x:c r="C6" s="550" t="n">
        <x:f>'P4 Valuation'!C16</x:f>
        <x:v>84500</x:v>
      </x:c>
      <x:c r="D6" s="550"/>
      <x:c r="E6" s="550" t="n">
        <x:f>'P4 Valuation'!C6</x:f>
        <x:v>73200</x:v>
      </x:c>
      <x:c r="F6" s="550"/>
      <x:c r="G6" s="551" t="n">
        <x:f>'P4 Valuation'!C17</x:f>
        <x:v>0.15437158469945356</x:v>
      </x:c>
      <x:c r="H6" s="542"/>
    </x:row>
    <x:row r="7" ht="30" customHeight="1">
      <x:c r="A7" s="549" t="str">
        <x:v>2026E revenue</x:v>
      </x:c>
      <x:c r="B7" s="548"/>
      <x:c r="C7" s="549" t="str">
        <x:v>2026E core PBT</x:v>
      </x:c>
      <x:c r="D7" s="548"/>
      <x:c r="E7" s="549" t="str">
        <x:v>2026E EPS</x:v>
      </x:c>
      <x:c r="F7" s="548"/>
      <x:c r="G7" s="549" t="str">
        <x:v>2026E P/E</x:v>
      </x:c>
      <x:c r="H7" s="542"/>
    </x:row>
    <x:row r="8" ht="30" customHeight="1">
      <x:c r="A8" s="550" t="n">
        <x:f>'P4 Forecast'!D16</x:f>
        <x:v>6757.498469512975</x:v>
      </x:c>
      <x:c r="B8" s="550"/>
      <x:c r="C8" s="550" t="n">
        <x:f>'P4 Forecast'!D28</x:f>
        <x:v>3009.3552045285132</x:v>
      </x:c>
      <x:c r="D8" s="548"/>
      <x:c r="E8" s="550" t="n">
        <x:f>'P4 Forecast'!D35</x:f>
        <x:v>4980.839859705584</x:v>
      </x:c>
      <x:c r="F8" s="548"/>
      <x:c r="G8" s="552" t="n">
        <x:f>'P4 Valuation'!C9</x:f>
        <x:v>14.696316697948774</x:v>
      </x:c>
      <x:c r="H8" s="542"/>
    </x:row>
    <x:row r="9" ht="30" customHeight="1">
      <x:c r="A9" s="549" t="str">
        <x:v>DCF cross-check</x:v>
      </x:c>
      <x:c r="B9" s="548"/>
      <x:c r="C9" s="549" t="str">
        <x:v>P/E cross-check</x:v>
      </x:c>
      <x:c r="D9" s="548"/>
      <x:c r="E9" s="549" t="str">
        <x:v>Bear target</x:v>
      </x:c>
      <x:c r="F9" s="548"/>
      <x:c r="G9" s="549" t="str">
        <x:v>Data cut-off</x:v>
      </x:c>
      <x:c r="H9" s="542"/>
    </x:row>
    <x:row r="10" ht="30" customHeight="1">
      <x:c r="A10" s="550" t="n">
        <x:f>'P4 Valuation'!C12</x:f>
        <x:v>88988.48956502434</x:v>
      </x:c>
      <x:c r="B10" s="550"/>
      <x:c r="C10" s="550" t="n">
        <x:f>'P4 Valuation'!C11</x:f>
        <x:v>79693.43775528934</x:v>
      </x:c>
      <x:c r="D10" s="550"/>
      <x:c r="E10" s="550" t="n">
        <x:f>'P4 Valuation'!E16</x:f>
        <x:v>51000</x:v>
      </x:c>
      <x:c r="F10" s="548"/>
      <x:c r="G10" s="548" t="str">
        <x:v>25-Jul-2026</x:v>
      </x:c>
      <x:c r="H10" s="542"/>
    </x:row>
    <x:row r="12" ht="22" customHeight="1">
      <x:c r="A12" s="415" t="str">
        <x:v>Three-part thesis</x:v>
      </x:c>
      <x:c r="B12" s="415" t="str">
        <x:v>Three-part thesis</x:v>
      </x:c>
      <x:c r="C12" s="415" t="str">
        <x:v>Three-part thesis</x:v>
      </x:c>
      <x:c r="D12" s="415" t="str">
        <x:v>Three-part thesis</x:v>
      </x:c>
      <x:c r="E12" s="415" t="str">
        <x:v>Three-part thesis</x:v>
      </x:c>
      <x:c r="F12" s="415" t="str">
        <x:v>Three-part thesis</x:v>
      </x:c>
      <x:c r="G12" s="415" t="str">
        <x:v>Three-part thesis</x:v>
      </x:c>
      <x:c r="H12" s="415" t="str">
        <x:v>Three-part thesis</x:v>
      </x:c>
    </x:row>
    <x:row r="13" ht="32" customHeight="1">
      <x:c r="A13" s="421" t="str">
        <x:v>Pillar</x:v>
      </x:c>
      <x:c r="B13" s="421" t="str">
        <x:v>Evidence</x:v>
      </x:c>
      <x:c r="C13" s="421" t="str">
        <x:v>Forecast transmission</x:v>
      </x:c>
      <x:c r="D13" s="421" t="str">
        <x:v>2026E Base</x:v>
      </x:c>
      <x:c r="E13" s="421" t="str">
        <x:v>2030E Base</x:v>
      </x:c>
      <x:c r="F13" s="421" t="str">
        <x:v>What can break</x:v>
      </x:c>
      <x:c r="G13" s="421" t="str">
        <x:v>Leading indicator</x:v>
      </x:c>
      <x:c r="H13" s="421" t="str">
        <x:v>Data class</x:v>
      </x:c>
    </x:row>
    <x:row r="14" ht="48" customHeight="1">
      <x:c r="A14" s="85" t="str">
        <x:v>1. Trade recovery reaches container demand</x:v>
      </x:c>
      <x:c r="B14" s="86" t="str">
        <x:v>1H2026 trade +27.1% YoY; 2025 national container anchor 34m TEU</x:v>
      </x:c>
      <x:c r="C14" s="86" t="str">
        <x:v>National TEU growth is deliberately forecast below trade-value growth</x:v>
      </x:c>
      <x:c r="D14" s="317" t="n">
        <x:f>'P4 Forecast'!D7</x:f>
        <x:v>0.1</x:v>
      </x:c>
      <x:c r="E14" s="317" t="n">
        <x:f>'P4 Forecast'!H6</x:f>
        <x:v>48.79042581600002</x:v>
      </x:c>
      <x:c r="F14" s="86" t="str">
        <x:v>Product mix/prices decouple trade value from TEU</x:v>
      </x:c>
      <x:c r="G14" s="86" t="str">
        <x:v>Official national TEU growth</x:v>
      </x:c>
      <x:c r="H14" s="87" t="str">
        <x:v>Fact + analyst assumption</x:v>
      </x:c>
    </x:row>
    <x:row r="15" ht="48" customHeight="1">
      <x:c r="A15" s="88" t="str">
        <x:v>2. GMD captures more than national growth</x:v>
      </x:c>
      <x:c r="B15" s="89" t="str">
        <x:v>2025 system throughput 5.079m TEU and ~15% issuer-estimated share</x:v>
      </x:c>
      <x:c r="C15" s="89" t="str">
        <x:v>Share rises with Nam Dinh Vu completion and Gemalink Phase 2 ramp</x:v>
      </x:c>
      <x:c r="D15" s="348" t="n">
        <x:f>'P4 Forecast'!D8</x:f>
        <x:v>5.684800000000001</x:v>
      </x:c>
      <x:c r="E15" s="348" t="n">
        <x:f>'P4 Forecast'!H8</x:f>
        <x:v>8.538324517800003</x:v>
      </x:c>
      <x:c r="F15" s="89" t="str">
        <x:v>Route losses or slower capacity ramp</x:v>
      </x:c>
      <x:c r="G15" s="89" t="str">
        <x:v>GMD share and utilization</x:v>
      </x:c>
      <x:c r="H15" s="90" t="str">
        <x:v>Fact + analyst assumption</x:v>
      </x:c>
    </x:row>
    <x:row r="16" ht="48" customHeight="1">
      <x:c r="A16" s="91" t="str">
        <x:v>3. Volume converts into attributable earnings</x:v>
      </x:c>
      <x:c r="B16" s="92" t="str">
        <x:v>Associates were 45.9% of 2025 core PBT; Gemalink is equity-accounted</x:v>
      </x:c>
      <x:c r="C16" s="92" t="str">
        <x:v>Separate consolidated EBIT, associates, NCI, capex and FCFF</x:v>
      </x:c>
      <x:c r="D16" s="365" t="n">
        <x:f>'P4 Forecast'!D34</x:f>
        <x:v>2124.3038388766777</x:v>
      </x:c>
      <x:c r="E16" s="365" t="n">
        <x:f>'P4 Forecast'!H34</x:f>
        <x:v>3677.8156533843276</x:v>
      </x:c>
      <x:c r="F16" s="92" t="str">
        <x:v>Capex/NCI absorb EBITDA growth</x:v>
      </x:c>
      <x:c r="G16" s="92" t="str">
        <x:v>FCFF and parent-PAT conversion</x:v>
      </x:c>
      <x:c r="H16" s="93" t="str">
        <x:v>Model output</x:v>
      </x:c>
    </x:row>
    <x:row r="18" ht="22" customHeight="1">
      <x:c r="A18" s="415" t="str">
        <x:v>Catalysts</x:v>
      </x:c>
      <x:c r="B18" s="415" t="str">
        <x:v>Catalysts</x:v>
      </x:c>
      <x:c r="C18" s="415" t="str">
        <x:v>Catalysts</x:v>
      </x:c>
      <x:c r="D18" s="415" t="str">
        <x:v>Catalysts</x:v>
      </x:c>
      <x:c r="E18" s="415" t="str">
        <x:v>Catalysts</x:v>
      </x:c>
      <x:c r="F18" s="415" t="str">
        <x:v>Catalysts</x:v>
      </x:c>
      <x:c r="G18" s="415" t="str">
        <x:v>Catalysts</x:v>
      </x:c>
      <x:c r="H18" s="415" t="str">
        <x:v>Catalysts</x:v>
      </x:c>
    </x:row>
    <x:row r="19" ht="32" customHeight="1">
      <x:c r="A19" s="421" t="str">
        <x:v>Catalyst</x:v>
      </x:c>
      <x:c r="B19" s="421" t="str">
        <x:v>Timing</x:v>
      </x:c>
      <x:c r="C19" s="421" t="str">
        <x:v>Mechanism</x:v>
      </x:c>
      <x:c r="D19" s="421" t="str">
        <x:v>KPI to monitor</x:v>
      </x:c>
      <x:c r="E19" s="421" t="str">
        <x:v>Base-case treatment</x:v>
      </x:c>
      <x:c r="F19" s="421" t="str">
        <x:v>Upside path</x:v>
      </x:c>
      <x:c r="G19" s="421" t="str">
        <x:v>Source ID</x:v>
      </x:c>
      <x:c r="H19" s="421" t="str">
        <x:v>Risk</x:v>
      </x:c>
    </x:row>
    <x:row r="20" ht="48" customHeight="1">
      <x:c r="A20" s="85" t="str">
        <x:v>2026 trade and FDI backdrop</x:v>
      </x:c>
      <x:c r="B20" s="86" t="str">
        <x:v>2H2026</x:v>
      </x:c>
      <x:c r="C20" s="86" t="str">
        <x:v>Supports national container demand</x:v>
      </x:c>
      <x:c r="D20" s="86" t="str">
        <x:v>National TEU growth</x:v>
      </x:c>
      <x:c r="E20" s="86" t="str">
        <x:v>10% FY2026 national TEU growth</x:v>
      </x:c>
      <x:c r="F20" s="86" t="str">
        <x:v>Stronger cargo-volume conversion</x:v>
      </x:c>
      <x:c r="G20" s="86" t="str">
        <x:v>SRC-M01 / SRC-I01</x:v>
      </x:c>
      <x:c r="H20" s="87" t="str">
        <x:v>Trade value may overstate physical volume</x:v>
      </x:c>
    </x:row>
    <x:row r="21" ht="48" customHeight="1">
      <x:c r="A21" s="88" t="str">
        <x:v>Nam Dinh Vu Phase 3 full-year contribution</x:v>
      </x:c>
      <x:c r="B21" s="89" t="str">
        <x:v>FY2026</x:v>
      </x:c>
      <x:c r="C21" s="89" t="str">
        <x:v>More Northern capacity and route flexibility</x:v>
      </x:c>
      <x:c r="D21" s="89" t="str">
        <x:v>GMD market share</x:v>
      </x:c>
      <x:c r="E21" s="89" t="str">
        <x:v>Share reaches 15.2%</x:v>
      </x:c>
      <x:c r="F21" s="89" t="str">
        <x:v>Faster utilization and unit mix</x:v>
      </x:c>
      <x:c r="G21" s="89" t="str">
        <x:v>SRC-G01 / SRC-G02</x:v>
      </x:c>
      <x:c r="H21" s="90" t="str">
        <x:v>Competition in Hai Phong</x:v>
      </x:c>
    </x:row>
    <x:row r="22" ht="48" customHeight="1">
      <x:c r="A22" s="88" t="str">
        <x:v>Gemalink Phase 2 commissioning</x:v>
      </x:c>
      <x:c r="B22" s="89" t="str">
        <x:v>Q4 2027; ramp 2028+</x:v>
      </x:c>
      <x:c r="C22" s="89" t="str">
        <x:v>Deep-sea capacity raises associate earnings</x:v>
      </x:c>
      <x:c r="D22" s="89" t="str">
        <x:v>Gemalink throughput/profit</x:v>
      </x:c>
      <x:c r="E22" s="89" t="str">
        <x:v>25% Gemalink-profit growth in 2028</x:v>
      </x:c>
      <x:c r="F22" s="89" t="str">
        <x:v>Earlier or faster ramp</x:v>
      </x:c>
      <x:c r="G22" s="89" t="str">
        <x:v>SRC-G02</x:v>
      </x:c>
      <x:c r="H22" s="90" t="str">
        <x:v>Timing, capex and utilization</x:v>
      </x:c>
    </x:row>
    <x:row r="23" ht="48" customHeight="1">
      <x:c r="A23" s="91" t="str">
        <x:v>Unit/mix uplift</x:v>
      </x:c>
      <x:c r="B23" s="92" t="str">
        <x:v>2026–2030</x:v>
      </x:c>
      <x:c r="C23" s="92" t="str">
        <x:v>Service mix and regulated pricing lift revenue per system TEU</x:v>
      </x:c>
      <x:c r="D23" s="92" t="str">
        <x:v>Implied unit proxy</x:v>
      </x:c>
      <x:c r="E23" s="92" t="str">
        <x:v>2.5–3.0% annual growth</x:v>
      </x:c>
      <x:c r="F23" s="92" t="str">
        <x:v>Higher-value cargo/service mix</x:v>
      </x:c>
      <x:c r="G23" s="92" t="str">
        <x:v>Model assumption</x:v>
      </x:c>
      <x:c r="H23" s="93" t="str">
        <x:v>Proxy is not a clean tariff</x:v>
      </x:c>
    </x:row>
    <x:row r="25" ht="22" customHeight="1">
      <x:c r="A25" s="415" t="str">
        <x:v>Risks and explicit falsifiers</x:v>
      </x:c>
      <x:c r="B25" s="415" t="str">
        <x:v>Risks and explicit falsifiers</x:v>
      </x:c>
      <x:c r="C25" s="415" t="str">
        <x:v>Risks and explicit falsifiers</x:v>
      </x:c>
      <x:c r="D25" s="415" t="str">
        <x:v>Risks and explicit falsifiers</x:v>
      </x:c>
      <x:c r="E25" s="415" t="str">
        <x:v>Risks and explicit falsifiers</x:v>
      </x:c>
      <x:c r="F25" s="415" t="str">
        <x:v>Risks and explicit falsifiers</x:v>
      </x:c>
      <x:c r="G25" s="415" t="str">
        <x:v>Risks and explicit falsifiers</x:v>
      </x:c>
      <x:c r="H25" s="415" t="str">
        <x:v>Risks and explicit falsifiers</x:v>
      </x:c>
    </x:row>
    <x:row r="26" ht="32" customHeight="1">
      <x:c r="A26" s="421" t="str">
        <x:v>Risk / falsifier</x:v>
      </x:c>
      <x:c r="B26" s="421" t="str">
        <x:v>Transmission</x:v>
      </x:c>
      <x:c r="C26" s="421" t="str">
        <x:v>Observed warning</x:v>
      </x:c>
      <x:c r="D26" s="421" t="str">
        <x:v>Model stress</x:v>
      </x:c>
      <x:c r="E26" s="421" t="str">
        <x:v>Bear outcome</x:v>
      </x:c>
      <x:c r="F26" s="421" t="str">
        <x:v>Monitoring frequency</x:v>
      </x:c>
      <x:c r="G26" s="421" t="str">
        <x:v>Owner</x:v>
      </x:c>
      <x:c r="H26" s="421" t="str">
        <x:v>Status</x:v>
      </x:c>
    </x:row>
    <x:row r="27" ht="48" customHeight="1">
      <x:c r="A27" s="85" t="str">
        <x:v>Trade value fails to convert into TEU</x:v>
      </x:c>
      <x:c r="B27" s="86" t="str">
        <x:v>National volume grows below forecast</x:v>
      </x:c>
      <x:c r="C27" s="86" t="str">
        <x:v>National TEU growth &lt;5%</x:v>
      </x:c>
      <x:c r="D27" s="86" t="str">
        <x:v>2026 national TEU growth cut to 5%</x:v>
      </x:c>
      <x:c r="E27" s="370" t="n">
        <x:f>'P4 Valuation'!E16</x:f>
        <x:v>51000</x:v>
      </x:c>
      <x:c r="F27" s="86" t="str">
        <x:v>Quarterly / annual</x:v>
      </x:c>
      <x:c r="G27" s="86" t="str">
        <x:v>Analyst</x:v>
      </x:c>
      <x:c r="H27" s="87" t="str">
        <x:v>Open</x:v>
      </x:c>
    </x:row>
    <x:row r="28" ht="48" customHeight="1">
      <x:c r="A28" s="88" t="str">
        <x:v>GMD loses share despite sector growth</x:v>
      </x:c>
      <x:c r="B28" s="89" t="str">
        <x:v>Company throughput underperforms national volume</x:v>
      </x:c>
      <x:c r="C28" s="89" t="str">
        <x:v>Share falls below 14.8%</x:v>
      </x:c>
      <x:c r="D28" s="89" t="str">
        <x:v>Bear share troughs at 14.6%</x:v>
      </x:c>
      <x:c r="E28" s="364" t="n">
        <x:f>'P4 Valuation'!E16</x:f>
        <x:v>51000</x:v>
      </x:c>
      <x:c r="F28" s="89" t="str">
        <x:v>Quarterly</x:v>
      </x:c>
      <x:c r="G28" s="89" t="str">
        <x:v>Analyst</x:v>
      </x:c>
      <x:c r="H28" s="90" t="str">
        <x:v>Open</x:v>
      </x:c>
    </x:row>
    <x:row r="29" ht="48" customHeight="1">
      <x:c r="A29" s="88" t="str">
        <x:v>Gemalink Phase 2 ramp slips</x:v>
      </x:c>
      <x:c r="B29" s="89" t="str">
        <x:v>Associate earnings and terminal value fall</x:v>
      </x:c>
      <x:c r="C29" s="89" t="str">
        <x:v>Operation later than Q4 2027</x:v>
      </x:c>
      <x:c r="D29" s="89" t="str">
        <x:v>Gemalink growth held to 8% in 2028</x:v>
      </x:c>
      <x:c r="E29" s="364" t="n">
        <x:f>'P4 Valuation'!E16</x:f>
        <x:v>51000</x:v>
      </x:c>
      <x:c r="F29" s="89" t="str">
        <x:v>Project milestones</x:v>
      </x:c>
      <x:c r="G29" s="89" t="str">
        <x:v>Analyst</x:v>
      </x:c>
      <x:c r="H29" s="90" t="str">
        <x:v>Open</x:v>
      </x:c>
    </x:row>
    <x:row r="30" ht="48" customHeight="1">
      <x:c r="A30" s="88" t="str">
        <x:v>Price/mix compression</x:v>
      </x:c>
      <x:c r="B30" s="89" t="str">
        <x:v>Port revenue grows slower than throughput</x:v>
      </x:c>
      <x:c r="C30" s="89" t="str">
        <x:v>Unit proxy declines</x:v>
      </x:c>
      <x:c r="D30" s="89" t="str">
        <x:v>2026 unit proxy -1%</x:v>
      </x:c>
      <x:c r="E30" s="364" t="n">
        <x:f>'P4 Valuation'!E16</x:f>
        <x:v>51000</x:v>
      </x:c>
      <x:c r="F30" s="89" t="str">
        <x:v>Quarterly / annual</x:v>
      </x:c>
      <x:c r="G30" s="89" t="str">
        <x:v>Analyst</x:v>
      </x:c>
      <x:c r="H30" s="90" t="str">
        <x:v>Open</x:v>
      </x:c>
    </x:row>
    <x:row r="31" ht="48" customHeight="1">
      <x:c r="A31" s="91" t="str">
        <x:v>Capex and NCI absorb growth</x:v>
      </x:c>
      <x:c r="B31" s="92" t="str">
        <x:v>Parent cash flow lags PBT</x:v>
      </x:c>
      <x:c r="C31" s="92" t="str">
        <x:v>Capex remains &gt;VND 1.5tn and NCI share rises</x:v>
      </x:c>
      <x:c r="D31" s="92" t="str">
        <x:v>Bear capex/NCI assumptions</x:v>
      </x:c>
      <x:c r="E31" s="365" t="n">
        <x:f>'P4 Valuation'!E16</x:f>
        <x:v>51000</x:v>
      </x:c>
      <x:c r="F31" s="92" t="str">
        <x:v>Quarterly / annual</x:v>
      </x:c>
      <x:c r="G31" s="92" t="str">
        <x:v>Analyst</x:v>
      </x:c>
      <x:c r="H31" s="93" t="str">
        <x:v>Open</x:v>
      </x:c>
    </x:row>
    <x:row r="33" ht="26" customHeight="1">
      <x:c r="A33" s="572" t="str">
        <x:v>Bottom line: the model supports a BUY only because the Base blended target price clears the 15% hurdle by a modest margin. The Bear case is materially below market, so the recommendation depends on GMD retaining share, meeting 2026 guidance and executing Gemalink Phase 2 without prolonged cash-flow dilution.</x:v>
      </x:c>
      <x:c r="B33" s="573" t="str">
        <x:v>Bottom line: the model supports a BUY only because the Base blended target price clears the 15% hurdle by a modest margin. The Bear case is materially below market, so the recommendation depends on GMD retaining share, meeting 2026 guidance and executing Gemalink Phase 2 without prolonged cash-flow dilution.</x:v>
      </x:c>
      <x:c r="C33" s="573" t="str">
        <x:v>Bottom line: the model supports a BUY only because the Base blended target price clears the 15% hurdle by a modest margin. The Bear case is materially below market, so the recommendation depends on GMD retaining share, meeting 2026 guidance and executing Gemalink Phase 2 without prolonged cash-flow dilution.</x:v>
      </x:c>
      <x:c r="D33" s="573" t="str">
        <x:v>Bottom line: the model supports a BUY only because the Base blended target price clears the 15% hurdle by a modest margin. The Bear case is materially below market, so the recommendation depends on GMD retaining share, meeting 2026 guidance and executing Gemalink Phase 2 without prolonged cash-flow dilution.</x:v>
      </x:c>
      <x:c r="E33" s="573" t="str">
        <x:v>Bottom line: the model supports a BUY only because the Base blended target price clears the 15% hurdle by a modest margin. The Bear case is materially below market, so the recommendation depends on GMD retaining share, meeting 2026 guidance and executing Gemalink Phase 2 without prolonged cash-flow dilution.</x:v>
      </x:c>
      <x:c r="F33" s="573" t="str">
        <x:v>Bottom line: the model supports a BUY only because the Base blended target price clears the 15% hurdle by a modest margin. The Bear case is materially below market, so the recommendation depends on GMD retaining share, meeting 2026 guidance and executing Gemalink Phase 2 without prolonged cash-flow dilution.</x:v>
      </x:c>
      <x:c r="G33" s="573" t="str">
        <x:v>Bottom line: the model supports a BUY only because the Base blended target price clears the 15% hurdle by a modest margin. The Bear case is materially below market, so the recommendation depends on GMD retaining share, meeting 2026 guidance and executing Gemalink Phase 2 without prolonged cash-flow dilution.</x:v>
      </x:c>
      <x:c r="H33" s="574" t="str">
        <x:v>Bottom line: the model supports a BUY only because the Base blended target price clears the 15% hurdle by a modest margin. The Bear case is materially below market, so the recommendation depends on GMD retaining share, meeting 2026 guidance and executing Gemalink Phase 2 without prolonged cash-flow dilution.</x:v>
      </x:c>
    </x:row>
    <x:row r="34" ht="26" customHeight="1">
      <x:c r="A34" s="575" t="str">
        <x:v>Bottom line: the model supports a BUY only because the Base blended target price clears the 15% hurdle by a modest margin. The Bear case is materially below market, so the recommendation depends on GMD retaining share, meeting 2026 guidance and executing Gemalink Phase 2 without prolonged cash-flow dilution.</x:v>
      </x:c>
      <x:c r="B34" s="576" t="str">
        <x:v>Bottom line: the model supports a BUY only because the Base blended target price clears the 15% hurdle by a modest margin. The Bear case is materially below market, so the recommendation depends on GMD retaining share, meeting 2026 guidance and executing Gemalink Phase 2 without prolonged cash-flow dilution.</x:v>
      </x:c>
      <x:c r="C34" s="576" t="str">
        <x:v>Bottom line: the model supports a BUY only because the Base blended target price clears the 15% hurdle by a modest margin. The Bear case is materially below market, so the recommendation depends on GMD retaining share, meeting 2026 guidance and executing Gemalink Phase 2 without prolonged cash-flow dilution.</x:v>
      </x:c>
      <x:c r="D34" s="576" t="str">
        <x:v>Bottom line: the model supports a BUY only because the Base blended target price clears the 15% hurdle by a modest margin. The Bear case is materially below market, so the recommendation depends on GMD retaining share, meeting 2026 guidance and executing Gemalink Phase 2 without prolonged cash-flow dilution.</x:v>
      </x:c>
      <x:c r="E34" s="576" t="str">
        <x:v>Bottom line: the model supports a BUY only because the Base blended target price clears the 15% hurdle by a modest margin. The Bear case is materially below market, so the recommendation depends on GMD retaining share, meeting 2026 guidance and executing Gemalink Phase 2 without prolonged cash-flow dilution.</x:v>
      </x:c>
      <x:c r="F34" s="576" t="str">
        <x:v>Bottom line: the model supports a BUY only because the Base blended target price clears the 15% hurdle by a modest margin. The Bear case is materially below market, so the recommendation depends on GMD retaining share, meeting 2026 guidance and executing Gemalink Phase 2 without prolonged cash-flow dilution.</x:v>
      </x:c>
      <x:c r="G34" s="576" t="str">
        <x:v>Bottom line: the model supports a BUY only because the Base blended target price clears the 15% hurdle by a modest margin. The Bear case is materially below market, so the recommendation depends on GMD retaining share, meeting 2026 guidance and executing Gemalink Phase 2 without prolonged cash-flow dilution.</x:v>
      </x:c>
      <x:c r="H34" s="577" t="str">
        <x:v>Bottom line: the model supports a BUY only because the Base blended target price clears the 15% hurdle by a modest margin. The Bear case is materially below market, so the recommendation depends on GMD retaining share, meeting 2026 guidance and executing Gemalink Phase 2 without prolonged cash-flow dilution.</x:v>
      </x:c>
    </x:row>
    <x:row r="35" ht="26" customHeight="1">
      <x:c r="A35" s="578" t="str">
        <x:v>Bottom line: the model supports a BUY only because the Base blended target price clears the 15% hurdle by a modest margin. The Bear case is materially below market, so the recommendation depends on GMD retaining share, meeting 2026 guidance and executing Gemalink Phase 2 without prolonged cash-flow dilution.</x:v>
      </x:c>
      <x:c r="B35" s="579" t="str">
        <x:v>Bottom line: the model supports a BUY only because the Base blended target price clears the 15% hurdle by a modest margin. The Bear case is materially below market, so the recommendation depends on GMD retaining share, meeting 2026 guidance and executing Gemalink Phase 2 without prolonged cash-flow dilution.</x:v>
      </x:c>
      <x:c r="C35" s="579" t="str">
        <x:v>Bottom line: the model supports a BUY only because the Base blended target price clears the 15% hurdle by a modest margin. The Bear case is materially below market, so the recommendation depends on GMD retaining share, meeting 2026 guidance and executing Gemalink Phase 2 without prolonged cash-flow dilution.</x:v>
      </x:c>
      <x:c r="D35" s="579" t="str">
        <x:v>Bottom line: the model supports a BUY only because the Base blended target price clears the 15% hurdle by a modest margin. The Bear case is materially below market, so the recommendation depends on GMD retaining share, meeting 2026 guidance and executing Gemalink Phase 2 without prolonged cash-flow dilution.</x:v>
      </x:c>
      <x:c r="E35" s="579" t="str">
        <x:v>Bottom line: the model supports a BUY only because the Base blended target price clears the 15% hurdle by a modest margin. The Bear case is materially below market, so the recommendation depends on GMD retaining share, meeting 2026 guidance and executing Gemalink Phase 2 without prolonged cash-flow dilution.</x:v>
      </x:c>
      <x:c r="F35" s="579" t="str">
        <x:v>Bottom line: the model supports a BUY only because the Base blended target price clears the 15% hurdle by a modest margin. The Bear case is materially below market, so the recommendation depends on GMD retaining share, meeting 2026 guidance and executing Gemalink Phase 2 without prolonged cash-flow dilution.</x:v>
      </x:c>
      <x:c r="G35" s="579" t="str">
        <x:v>Bottom line: the model supports a BUY only because the Base blended target price clears the 15% hurdle by a modest margin. The Bear case is materially below market, so the recommendation depends on GMD retaining share, meeting 2026 guidance and executing Gemalink Phase 2 without prolonged cash-flow dilution.</x:v>
      </x:c>
      <x:c r="H35" s="580" t="str">
        <x:v>Bottom line: the model supports a BUY only because the Base blended target price clears the 15% hurdle by a modest margin. The Bear case is materially below market, so the recommendation depends on GMD retaining share, meeting 2026 guidance and executing Gemalink Phase 2 without prolonged cash-flow dilution.</x:v>
      </x:c>
    </x:row>
  </x:sheetData>
  <x:mergeCells>
    <x:mergeCell ref="A1:H1"/>
    <x:mergeCell ref="A2:H2"/>
    <x:mergeCell ref="A4:H4"/>
    <x:mergeCell ref="A6:B6"/>
    <x:mergeCell ref="C6:D6"/>
    <x:mergeCell ref="E6:F6"/>
    <x:mergeCell ref="G6:H6"/>
    <x:mergeCell ref="A8:B8"/>
    <x:mergeCell ref="C8:D8"/>
    <x:mergeCell ref="E8:F8"/>
    <x:mergeCell ref="G8:H8"/>
    <x:mergeCell ref="A10:B10"/>
    <x:mergeCell ref="C10:D10"/>
    <x:mergeCell ref="E10:F10"/>
    <x:mergeCell ref="G10:H10"/>
    <x:mergeCell ref="A12:H12"/>
    <x:mergeCell ref="A18:H18"/>
    <x:mergeCell ref="A25:H25"/>
    <x:mergeCell ref="A33:H35"/>
  </x:mergeCells>
  <x:conditionalFormatting sqref="A6:A6">
    <x:cfRule type="containsText" dxfId="9" priority="1" operator="containsText" text="BUY"/>
  </x:conditionalFormatting>
  <x:pageMargins left="0.7" right="0.7" top="0.75" bottom="0.75" header="0.3" footer="0.3"/>
</x:worksheet>
</file>

<file path=xl/worksheets/sheet33.xml><?xml version="1.0" encoding="utf-8"?>
<x:worksheet xmlns:x="http://schemas.openxmlformats.org/spreadsheetml/2006/main">
  <x:sheetViews>
    <x:sheetView showGridLines="0" workbookViewId="0"/>
  </x:sheetViews>
  <x:sheetFormatPr defaultRowHeight="15"/>
  <x:cols>
    <x:col min="1" max="1" width="24" hidden="0" customWidth="1"/>
    <x:col min="2" max="2" width="43" hidden="0" customWidth="1"/>
    <x:col min="3" max="3" width="18" hidden="0" customWidth="1"/>
    <x:col min="4" max="4" width="18" hidden="0" customWidth="1"/>
    <x:col min="5" max="5" width="18" hidden="0" customWidth="1"/>
    <x:col min="6" max="6" width="15" hidden="0" customWidth="1"/>
    <x:col min="7" max="7" width="15" hidden="0" customWidth="1"/>
    <x:col min="8" max="8" width="58" hidden="0" customWidth="1"/>
  </x:cols>
  <x:sheetData>
    <x:row r="1" ht="30" customHeight="1">
      <x:c r="A1" s="408" t="str">
        <x:v>Phase 4 — Forecast &amp; Valuation Checks</x:v>
      </x:c>
      <x:c r="B1" s="408" t="str">
        <x:v>Phase 4 — Forecast &amp; Valuation Checks</x:v>
      </x:c>
      <x:c r="C1" s="408" t="str">
        <x:v>Phase 4 — Forecast &amp; Valuation Checks</x:v>
      </x:c>
      <x:c r="D1" s="408" t="str">
        <x:v>Phase 4 — Forecast &amp; Valuation Checks</x:v>
      </x:c>
      <x:c r="E1" s="408" t="str">
        <x:v>Phase 4 — Forecast &amp; Valuation Checks</x:v>
      </x:c>
      <x:c r="F1" s="408" t="str">
        <x:v>Phase 4 — Forecast &amp; Valuation Checks</x:v>
      </x:c>
      <x:c r="G1" s="408" t="str">
        <x:v>Phase 4 — Forecast &amp; Valuation Checks</x:v>
      </x:c>
      <x:c r="H1" s="408" t="str">
        <x:v>Phase 4 — Forecast &amp; Valuation Checks</x:v>
      </x:c>
    </x:row>
    <x:row r="2" ht="34" customHeight="1">
      <x:c r="A2" s="412" t="str">
        <x:v>One assertion per row. Forecast identities, valuation bridges, scenario ordering and source coverage must all show OK before Phase 5.</x:v>
      </x:c>
      <x:c r="B2" s="412" t="str">
        <x:v>One assertion per row. Forecast identities, valuation bridges, scenario ordering and source coverage must all show OK before Phase 5.</x:v>
      </x:c>
      <x:c r="C2" s="412" t="str">
        <x:v>One assertion per row. Forecast identities, valuation bridges, scenario ordering and source coverage must all show OK before Phase 5.</x:v>
      </x:c>
      <x:c r="D2" s="412" t="str">
        <x:v>One assertion per row. Forecast identities, valuation bridges, scenario ordering and source coverage must all show OK before Phase 5.</x:v>
      </x:c>
      <x:c r="E2" s="412" t="str">
        <x:v>One assertion per row. Forecast identities, valuation bridges, scenario ordering and source coverage must all show OK before Phase 5.</x:v>
      </x:c>
      <x:c r="F2" s="412" t="str">
        <x:v>One assertion per row. Forecast identities, valuation bridges, scenario ordering and source coverage must all show OK before Phase 5.</x:v>
      </x:c>
      <x:c r="G2" s="412" t="str">
        <x:v>One assertion per row. Forecast identities, valuation bridges, scenario ordering and source coverage must all show OK before Phase 5.</x:v>
      </x:c>
      <x:c r="H2" s="412" t="str">
        <x:v>One assertion per row. Forecast identities, valuation bridges, scenario ordering and source coverage must all show OK before Phase 5.</x:v>
      </x:c>
    </x:row>
    <x:row r="4" ht="22" customHeight="1">
      <x:c r="A4" s="415" t="str">
        <x:v>Model-control register</x:v>
      </x:c>
      <x:c r="B4" s="415" t="str">
        <x:v>Model-control register</x:v>
      </x:c>
      <x:c r="C4" s="415" t="str">
        <x:v>Model-control register</x:v>
      </x:c>
      <x:c r="D4" s="415" t="str">
        <x:v>Model-control register</x:v>
      </x:c>
      <x:c r="E4" s="415" t="str">
        <x:v>Model-control register</x:v>
      </x:c>
      <x:c r="F4" s="415" t="str">
        <x:v>Model-control register</x:v>
      </x:c>
      <x:c r="G4" s="415" t="str">
        <x:v>Model-control register</x:v>
      </x:c>
      <x:c r="H4" s="415" t="str">
        <x:v>Model-control register</x:v>
      </x:c>
    </x:row>
    <x:row r="5" ht="32" customHeight="1">
      <x:c r="A5" s="421" t="str">
        <x:v>ID</x:v>
      </x:c>
      <x:c r="B5" s="421" t="str">
        <x:v>Check</x:v>
      </x:c>
      <x:c r="C5" s="421" t="str">
        <x:v>Actual</x:v>
      </x:c>
      <x:c r="D5" s="421" t="str">
        <x:v>Expected</x:v>
      </x:c>
      <x:c r="E5" s="421" t="str">
        <x:v>Difference</x:v>
      </x:c>
      <x:c r="F5" s="421" t="str">
        <x:v>Tolerance</x:v>
      </x:c>
      <x:c r="G5" s="421" t="str">
        <x:v>Status</x:v>
      </x:c>
      <x:c r="H5" s="421" t="str">
        <x:v>Fix hint / note</x:v>
      </x:c>
    </x:row>
    <x:row r="6" ht="25" customHeight="1">
      <x:c r="A6" s="85" t="str">
        <x:v>P4-SRC-01</x:v>
      </x:c>
      <x:c r="B6" s="86" t="str">
        <x:v>Registered source count</x:v>
      </x:c>
      <x:c r="C6" s="210" t="n">
        <x:f>COUNTA('Source Audit'!A7:A47)</x:f>
        <x:v>41</x:v>
      </x:c>
      <x:c r="D6" s="210" t="n">
        <x:v>41</x:v>
      </x:c>
      <x:c r="E6" s="210" t="n">
        <x:f>C6-D6</x:f>
        <x:v>0</x:v>
      </x:c>
      <x:c r="F6" s="210" t="n">
        <x:v>0</x:v>
      </x:c>
      <x:c r="G6" s="210" t="str">
        <x:f>IF(ABS(E6)&lt;=F6,"OK","REVIEW")</x:f>
        <x:v>OK</x:v>
      </x:c>
      <x:c r="H6" s="87" t="str">
        <x:v>Source Audit should include three new Phase 4 sources.</x:v>
      </x:c>
    </x:row>
    <x:row r="7" ht="25" customHeight="1">
      <x:c r="A7" s="88" t="str">
        <x:v>P4-MKT-01</x:v>
      </x:c>
      <x:c r="B7" s="89" t="str">
        <x:v>Latest close</x:v>
      </x:c>
      <x:c r="C7" s="211" t="n">
        <x:f>'Raw GMD Market'!C15</x:f>
        <x:v>73.2</x:v>
      </x:c>
      <x:c r="D7" s="211" t="n">
        <x:v>73.2</x:v>
      </x:c>
      <x:c r="E7" s="211" t="n">
        <x:f>C7-D7</x:f>
        <x:v>0</x:v>
      </x:c>
      <x:c r="F7" s="211" t="n">
        <x:v>0.001</x:v>
      </x:c>
      <x:c r="G7" s="211" t="str">
        <x:f>IF(ABS(E7)&lt;=F7,"OK","REVIEW")</x:f>
        <x:v>OK</x:v>
      </x:c>
      <x:c r="H7" s="90" t="str">
        <x:v>VND thousand per share at 24-Jul-2026.</x:v>
      </x:c>
    </x:row>
    <x:row r="8" ht="25" customHeight="1">
      <x:c r="A8" s="88" t="str">
        <x:v>P4-MKT-02</x:v>
      </x:c>
      <x:c r="B8" s="89" t="str">
        <x:v>Listed shares</x:v>
      </x:c>
      <x:c r="C8" s="211" t="n">
        <x:f>'Raw GMD Market'!C16</x:f>
        <x:v>426.495109</x:v>
      </x:c>
      <x:c r="D8" s="211" t="n">
        <x:v>426.495109</x:v>
      </x:c>
      <x:c r="E8" s="211" t="n">
        <x:f>C8-D8</x:f>
        <x:v>0</x:v>
      </x:c>
      <x:c r="F8" s="211" t="n">
        <x:v>0.000001</x:v>
      </x:c>
      <x:c r="G8" s="211" t="str">
        <x:f>IF(ABS(E8)&lt;=F8,"OK","REVIEW")</x:f>
        <x:v>OK</x:v>
      </x:c>
      <x:c r="H8" s="90" t="str">
        <x:v>Official issuer share count in millions.</x:v>
      </x:c>
    </x:row>
    <x:row r="9" ht="25" customHeight="1">
      <x:c r="A9" s="88" t="str">
        <x:v>P4-MKT-03</x:v>
      </x:c>
      <x:c r="B9" s="89" t="str">
        <x:v>Net-cash bridge</x:v>
      </x:c>
      <x:c r="C9" s="211" t="n">
        <x:f>'Raw GMD Market'!C21-(SUM('Raw GMD Market'!C17:C18)-SUM('Raw GMD Market'!C19:C20))</x:f>
        <x:v>0</x:v>
      </x:c>
      <x:c r="D9" s="211" t="n">
        <x:v>0</x:v>
      </x:c>
      <x:c r="E9" s="211" t="n">
        <x:f>C9-D9</x:f>
        <x:v>0</x:v>
      </x:c>
      <x:c r="F9" s="211" t="n">
        <x:v>0.01</x:v>
      </x:c>
      <x:c r="G9" s="211" t="str">
        <x:f>IF(ABS(E9)&lt;=F9,"OK","REVIEW")</x:f>
        <x:v>OK</x:v>
      </x:c>
      <x:c r="H9" s="90" t="str">
        <x:v>Cash + ST investments - gross debt.</x:v>
      </x:c>
    </x:row>
    <x:row r="10" ht="25" customHeight="1">
      <x:c r="A10" s="88" t="str">
        <x:v>P4-VAL-01</x:v>
      </x:c>
      <x:c r="B10" s="89" t="str">
        <x:v>Base valuation weights</x:v>
      </x:c>
      <x:c r="C10" s="211" t="n">
        <x:f>'P4 Valuation'!C13+'P4 Valuation'!C14</x:f>
        <x:v>1</x:v>
      </x:c>
      <x:c r="D10" s="211" t="n">
        <x:v>1</x:v>
      </x:c>
      <x:c r="E10" s="211" t="n">
        <x:f>C10-D10</x:f>
        <x:v>0</x:v>
      </x:c>
      <x:c r="F10" s="211" t="n">
        <x:v>0.0001</x:v>
      </x:c>
      <x:c r="G10" s="211" t="str">
        <x:f>IF(ABS(E10)&lt;=F10,"OK","REVIEW")</x:f>
        <x:v>OK</x:v>
      </x:c>
      <x:c r="H10" s="90" t="str">
        <x:v>P/E and DCF weights sum to 100%.</x:v>
      </x:c>
    </x:row>
    <x:row r="11" ht="25" customHeight="1">
      <x:c r="A11" s="88" t="str">
        <x:v>P4-VAL-02</x:v>
      </x:c>
      <x:c r="B11" s="89" t="str">
        <x:v>Bull valuation weights</x:v>
      </x:c>
      <x:c r="C11" s="211" t="n">
        <x:f>'P4 Valuation'!D13+'P4 Valuation'!D14</x:f>
        <x:v>1</x:v>
      </x:c>
      <x:c r="D11" s="211" t="n">
        <x:v>1</x:v>
      </x:c>
      <x:c r="E11" s="211" t="n">
        <x:f>C11-D11</x:f>
        <x:v>0</x:v>
      </x:c>
      <x:c r="F11" s="211" t="n">
        <x:v>0.0001</x:v>
      </x:c>
      <x:c r="G11" s="211" t="str">
        <x:f>IF(ABS(E11)&lt;=F11,"OK","REVIEW")</x:f>
        <x:v>OK</x:v>
      </x:c>
      <x:c r="H11" s="90" t="str">
        <x:v>P/E and DCF weights sum to 100%.</x:v>
      </x:c>
    </x:row>
    <x:row r="12" ht="25" customHeight="1">
      <x:c r="A12" s="88" t="str">
        <x:v>P4-VAL-03</x:v>
      </x:c>
      <x:c r="B12" s="89" t="str">
        <x:v>Bear valuation weights</x:v>
      </x:c>
      <x:c r="C12" s="211" t="n">
        <x:f>'P4 Valuation'!E13+'P4 Valuation'!E14</x:f>
        <x:v>1</x:v>
      </x:c>
      <x:c r="D12" s="211" t="n">
        <x:v>1</x:v>
      </x:c>
      <x:c r="E12" s="211" t="n">
        <x:f>C12-D12</x:f>
        <x:v>0</x:v>
      </x:c>
      <x:c r="F12" s="211" t="n">
        <x:v>0.0001</x:v>
      </x:c>
      <x:c r="G12" s="211" t="str">
        <x:f>IF(ABS(E12)&lt;=F12,"OK","REVIEW")</x:f>
        <x:v>OK</x:v>
      </x:c>
      <x:c r="H12" s="90" t="str">
        <x:v>P/E and DCF weights sum to 100%.</x:v>
      </x:c>
    </x:row>
    <x:row r="13" ht="25" customHeight="1">
      <x:c r="A13" s="88" t="str">
        <x:v>P4-VAL-04</x:v>
      </x:c>
      <x:c r="B13" s="89" t="str">
        <x:v>Scenario probabilities</x:v>
      </x:c>
      <x:c r="C13" s="211" t="n">
        <x:f>'P4 Valuation'!C19+'P4 Valuation'!D19+'P4 Valuation'!E19</x:f>
        <x:v>1</x:v>
      </x:c>
      <x:c r="D13" s="211" t="n">
        <x:v>1</x:v>
      </x:c>
      <x:c r="E13" s="211" t="n">
        <x:f>C13-D13</x:f>
        <x:v>0</x:v>
      </x:c>
      <x:c r="F13" s="211" t="n">
        <x:v>0.0001</x:v>
      </x:c>
      <x:c r="G13" s="211" t="str">
        <x:f>IF(ABS(E13)&lt;=F13,"OK","REVIEW")</x:f>
        <x:v>OK</x:v>
      </x:c>
      <x:c r="H13" s="90" t="str">
        <x:v>Base/Bull/Bear probabilities sum to 100%.</x:v>
      </x:c>
    </x:row>
    <x:row r="14" ht="25" customHeight="1">
      <x:c r="A14" s="88" t="str">
        <x:v>P4-VAL-05</x:v>
      </x:c>
      <x:c r="B14" s="89" t="str">
        <x:v>Target-price ordering</x:v>
      </x:c>
      <x:c r="C14" s="211" t="n">
        <x:f>IF('P4 Valuation'!D16&gt;'P4 Valuation'!C16,1,0)+IF('P4 Valuation'!C16&gt;'P4 Valuation'!E16,1,0)</x:f>
        <x:v>2</x:v>
      </x:c>
      <x:c r="D14" s="211" t="n">
        <x:v>2</x:v>
      </x:c>
      <x:c r="E14" s="211" t="n">
        <x:f>C14-D14</x:f>
        <x:v>0</x:v>
      </x:c>
      <x:c r="F14" s="211" t="n">
        <x:v>0</x:v>
      </x:c>
      <x:c r="G14" s="211" t="str">
        <x:f>IF(ABS(E14)&lt;=F14,"OK","REVIEW")</x:f>
        <x:v>OK</x:v>
      </x:c>
      <x:c r="H14" s="90" t="str">
        <x:v>Bull &gt; Base &gt; Bear.</x:v>
      </x:c>
    </x:row>
    <x:row r="15" ht="25" customHeight="1">
      <x:c r="A15" s="88" t="str">
        <x:v>P4-GUID-01</x:v>
      </x:c>
      <x:c r="B15" s="89" t="str">
        <x:v>Base 2026 revenue vs stretch</x:v>
      </x:c>
      <x:c r="C15" s="211" t="n">
        <x:f>'P4 Forecast'!D16</x:f>
        <x:v>6757.498469512975</x:v>
      </x:c>
      <x:c r="D15" s="211" t="n">
        <x:f>'P4 Assumptions'!C23</x:f>
        <x:v>6800</x:v>
      </x:c>
      <x:c r="E15" s="211" t="n">
        <x:f>C15-D15</x:f>
        <x:v>-42.501530487024866</x:v>
      </x:c>
      <x:c r="F15" s="211" t="n">
        <x:v>60</x:v>
      </x:c>
      <x:c r="G15" s="211" t="str">
        <x:f>IF(ABS(E15)&lt;=F15,"OK","REVIEW")</x:f>
        <x:v>OK</x:v>
      </x:c>
      <x:c r="H15" s="90" t="str">
        <x:v>Base case should be close to, but not hardcoded to, stretch revenue.</x:v>
      </x:c>
    </x:row>
    <x:row r="16" ht="25" customHeight="1">
      <x:c r="A16" s="88" t="str">
        <x:v>P4-GUID-02</x:v>
      </x:c>
      <x:c r="B16" s="89" t="str">
        <x:v>Base 2026 PBT vs stretch</x:v>
      </x:c>
      <x:c r="C16" s="211" t="n">
        <x:f>'P4 Forecast'!D28</x:f>
        <x:v>3009.3552045285132</x:v>
      </x:c>
      <x:c r="D16" s="211" t="n">
        <x:f>'P4 Assumptions'!C24</x:f>
        <x:v>3000</x:v>
      </x:c>
      <x:c r="E16" s="211" t="n">
        <x:f>C16-D16</x:f>
        <x:v>9.35520452851324</x:v>
      </x:c>
      <x:c r="F16" s="211" t="n">
        <x:v>60</x:v>
      </x:c>
      <x:c r="G16" s="211" t="str">
        <x:f>IF(ABS(E16)&lt;=F16,"OK","REVIEW")</x:f>
        <x:v>OK</x:v>
      </x:c>
      <x:c r="H16" s="90" t="str">
        <x:v>Base case should be close to, but not hardcoded to, stretch PBT.</x:v>
      </x:c>
    </x:row>
    <x:row r="17" ht="25" customHeight="1">
      <x:c r="A17" s="88" t="str">
        <x:v>P4-BASE-WACC</x:v>
      </x:c>
      <x:c r="B17" s="89" t="str">
        <x:v>Base WACC exceeds terminal growth</x:v>
      </x:c>
      <x:c r="C17" s="211" t="n">
        <x:f>IF('P4 DCF'!B11&gt;'P4 DCF'!B12,1,0)</x:f>
        <x:v>1</x:v>
      </x:c>
      <x:c r="D17" s="211" t="n">
        <x:v>1</x:v>
      </x:c>
      <x:c r="E17" s="211" t="n">
        <x:f>C17-D17</x:f>
        <x:v>0</x:v>
      </x:c>
      <x:c r="F17" s="211" t="n">
        <x:v>0</x:v>
      </x:c>
      <x:c r="G17" s="211" t="str">
        <x:f>IF(ABS(E17)&lt;=F17,"OK","REVIEW")</x:f>
        <x:v>OK</x:v>
      </x:c>
      <x:c r="H17" s="90" t="str">
        <x:v>Required for a valid Gordon-growth terminal value.</x:v>
      </x:c>
    </x:row>
    <x:row r="18" ht="25" customHeight="1">
      <x:c r="A18" s="88" t="str">
        <x:v>P4-BASE-DCF</x:v>
      </x:c>
      <x:c r="B18" s="89" t="str">
        <x:v>Base DCF equity bridge</x:v>
      </x:c>
      <x:c r="C18" s="211" t="n">
        <x:f>'P4 DCF'!B26-('P4 DCF'!B17+'P4 DCF'!B21+'P4 DCF'!B22-'P4 DCF'!B25)</x:f>
        <x:v>0</x:v>
      </x:c>
      <x:c r="D18" s="211" t="n">
        <x:v>0</x:v>
      </x:c>
      <x:c r="E18" s="211" t="n">
        <x:f>C18-D18</x:f>
        <x:v>0</x:v>
      </x:c>
      <x:c r="F18" s="211" t="n">
        <x:v>0.01</x:v>
      </x:c>
      <x:c r="G18" s="211" t="str">
        <x:f>IF(ABS(E18)&lt;=F18,"OK","REVIEW")</x:f>
        <x:v>OK</x:v>
      </x:c>
      <x:c r="H18" s="90" t="str">
        <x:v>Enterprise value + associates + net cash - NCI.</x:v>
      </x:c>
    </x:row>
    <x:row r="19" ht="25" customHeight="1">
      <x:c r="A19" s="88" t="str">
        <x:v>P4-BASE-2026-TEU</x:v>
      </x:c>
      <x:c r="B19" s="89" t="str">
        <x:v>Base 2026 national TEU roll-forward</x:v>
      </x:c>
      <x:c r="C19" s="211" t="n">
        <x:f>'P4 Forecast'!D6-'P4 Forecast'!C6*(1+'P4 Forecast'!D7)</x:f>
        <x:v>0</x:v>
      </x:c>
      <x:c r="D19" s="211" t="n">
        <x:v>0</x:v>
      </x:c>
      <x:c r="E19" s="211" t="n">
        <x:f>C19-D19</x:f>
        <x:v>0</x:v>
      </x:c>
      <x:c r="F19" s="211" t="n">
        <x:v>0.0001</x:v>
      </x:c>
      <x:c r="G19" s="211" t="str">
        <x:f>IF(ABS(E19)&lt;=F19,"OK","REVIEW")</x:f>
        <x:v>OK</x:v>
      </x:c>
      <x:c r="H19" s="90" t="str">
        <x:v>National TEU follows the visible growth assumption.</x:v>
      </x:c>
    </x:row>
    <x:row r="20" ht="25" customHeight="1">
      <x:c r="A20" s="88" t="str">
        <x:v>P4-BASE-2026-SHARE</x:v>
      </x:c>
      <x:c r="B20" s="89" t="str">
        <x:v>Base 2026 throughput identity</x:v>
      </x:c>
      <x:c r="C20" s="211" t="n">
        <x:f>'P4 Forecast'!D8-'P4 Forecast'!D6*'P4 Forecast'!D10</x:f>
        <x:v>0</x:v>
      </x:c>
      <x:c r="D20" s="211" t="n">
        <x:v>0</x:v>
      </x:c>
      <x:c r="E20" s="211" t="n">
        <x:f>C20-D20</x:f>
        <x:v>0</x:v>
      </x:c>
      <x:c r="F20" s="211" t="n">
        <x:v>0.0001</x:v>
      </x:c>
      <x:c r="G20" s="211" t="str">
        <x:f>IF(ABS(E20)&lt;=F20,"OK","REVIEW")</x:f>
        <x:v>OK</x:v>
      </x:c>
      <x:c r="H20" s="90" t="str">
        <x:v>GMD throughput = national TEU × share.</x:v>
      </x:c>
    </x:row>
    <x:row r="21" ht="25" customHeight="1">
      <x:c r="A21" s="88" t="str">
        <x:v>P4-BASE-2026-PORT</x:v>
      </x:c>
      <x:c r="B21" s="89" t="str">
        <x:v>Base 2026 port-revenue identity</x:v>
      </x:c>
      <x:c r="C21" s="211" t="n">
        <x:f>'P4 Forecast'!D13-'P4 Forecast'!D8*'P4 Forecast'!D11</x:f>
        <x:v>0</x:v>
      </x:c>
      <x:c r="D21" s="211" t="n">
        <x:v>0</x:v>
      </x:c>
      <x:c r="E21" s="211" t="n">
        <x:f>C21-D21</x:f>
        <x:v>0</x:v>
      </x:c>
      <x:c r="F21" s="211" t="n">
        <x:v>0.01</x:v>
      </x:c>
      <x:c r="G21" s="211" t="str">
        <x:f>IF(ABS(E21)&lt;=F21,"OK","REVIEW")</x:f>
        <x:v>OK</x:v>
      </x:c>
      <x:c r="H21" s="90" t="str">
        <x:v>Port revenue = throughput × unit/mix proxy.</x:v>
      </x:c>
    </x:row>
    <x:row r="22" ht="25" customHeight="1">
      <x:c r="A22" s="88" t="str">
        <x:v>P4-BASE-2026-REV</x:v>
      </x:c>
      <x:c r="B22" s="89" t="str">
        <x:v>Base 2026 revenue bridge</x:v>
      </x:c>
      <x:c r="C22" s="211" t="n">
        <x:f>'P4 Forecast'!D16-SUM('P4 Forecast'!D13:'P4 Forecast'!D15)</x:f>
        <x:v>0</x:v>
      </x:c>
      <x:c r="D22" s="211" t="n">
        <x:v>0</x:v>
      </x:c>
      <x:c r="E22" s="211" t="n">
        <x:f>C22-D22</x:f>
        <x:v>0</x:v>
      </x:c>
      <x:c r="F22" s="211" t="n">
        <x:v>0.01</x:v>
      </x:c>
      <x:c r="G22" s="211" t="str">
        <x:f>IF(ABS(E22)&lt;=F22,"OK","REVIEW")</x:f>
        <x:v>OK</x:v>
      </x:c>
      <x:c r="H22" s="90" t="str">
        <x:v>Port + logistics + other = consolidated revenue.</x:v>
      </x:c>
    </x:row>
    <x:row r="23" ht="25" customHeight="1">
      <x:c r="A23" s="88" t="str">
        <x:v>P4-BASE-2026-ASSOC</x:v>
      </x:c>
      <x:c r="B23" s="89" t="str">
        <x:v>Base 2026 associate bridge</x:v>
      </x:c>
      <x:c r="C23" s="211" t="n">
        <x:f>'P4 Forecast'!D26-SUM('P4 Forecast'!D22:'P4 Forecast'!D25)</x:f>
        <x:v>0</x:v>
      </x:c>
      <x:c r="D23" s="211" t="n">
        <x:v>0</x:v>
      </x:c>
      <x:c r="E23" s="211" t="n">
        <x:f>C23-D23</x:f>
        <x:v>0</x:v>
      </x:c>
      <x:c r="F23" s="211" t="n">
        <x:v>0.01</x:v>
      </x:c>
      <x:c r="G23" s="211" t="str">
        <x:f>IF(ABS(E23)&lt;=F23,"OK","REVIEW")</x:f>
        <x:v>OK</x:v>
      </x:c>
      <x:c r="H23" s="90" t="str">
        <x:v>Named associates + residual = total associates.</x:v>
      </x:c>
    </x:row>
    <x:row r="24" ht="25" customHeight="1">
      <x:c r="A24" s="88" t="str">
        <x:v>P4-BASE-2026-PBT</x:v>
      </x:c>
      <x:c r="B24" s="89" t="str">
        <x:v>Base 2026 PBT bridge</x:v>
      </x:c>
      <x:c r="C24" s="211" t="n">
        <x:f>'P4 Forecast'!D28-('P4 Forecast'!D19+'P4 Forecast'!D20-'P4 Forecast'!D21+'P4 Forecast'!D26+'P4 Forecast'!D27)</x:f>
        <x:v>0</x:v>
      </x:c>
      <x:c r="D24" s="211" t="n">
        <x:v>0</x:v>
      </x:c>
      <x:c r="E24" s="211" t="n">
        <x:f>C24-D24</x:f>
        <x:v>0</x:v>
      </x:c>
      <x:c r="F24" s="211" t="n">
        <x:v>0.01</x:v>
      </x:c>
      <x:c r="G24" s="211" t="str">
        <x:f>IF(ABS(E24)&lt;=F24,"OK","REVIEW")</x:f>
        <x:v>OK</x:v>
      </x:c>
      <x:c r="H24" s="90" t="str">
        <x:v>EBIT + net finance + associates + other.</x:v>
      </x:c>
    </x:row>
    <x:row r="25" ht="25" customHeight="1">
      <x:c r="A25" s="88" t="str">
        <x:v>P4-BASE-2026-PAT</x:v>
      </x:c>
      <x:c r="B25" s="89" t="str">
        <x:v>Base 2026 PAT attribution</x:v>
      </x:c>
      <x:c r="C25" s="211" t="n">
        <x:f>'P4 Forecast'!D31-SUM('P4 Forecast'!D33:'P4 Forecast'!D34)</x:f>
        <x:v>0</x:v>
      </x:c>
      <x:c r="D25" s="211" t="n">
        <x:v>0</x:v>
      </x:c>
      <x:c r="E25" s="211" t="n">
        <x:f>C25-D25</x:f>
        <x:v>0</x:v>
      </x:c>
      <x:c r="F25" s="211" t="n">
        <x:v>0.01</x:v>
      </x:c>
      <x:c r="G25" s="211" t="str">
        <x:f>IF(ABS(E25)&lt;=F25,"OK","REVIEW")</x:f>
        <x:v>OK</x:v>
      </x:c>
      <x:c r="H25" s="90" t="str">
        <x:v>Parent PAT + NCI PAT = consolidated PAT.</x:v>
      </x:c>
    </x:row>
    <x:row r="26" ht="25" customHeight="1">
      <x:c r="A26" s="88" t="str">
        <x:v>P4-BASE-2026-FCFF</x:v>
      </x:c>
      <x:c r="B26" s="89" t="str">
        <x:v>Base 2026 FCFF bridge</x:v>
      </x:c>
      <x:c r="C26" s="211" t="n">
        <x:f>'P4 Forecast'!D40-('P4 Forecast'!D19*(1-'P4 Forecast'!D39)+'P4 Forecast'!D36-'P4 Forecast'!D37-'P4 Forecast'!D38)</x:f>
        <x:v>0</x:v>
      </x:c>
      <x:c r="D26" s="211" t="n">
        <x:v>0</x:v>
      </x:c>
      <x:c r="E26" s="211" t="n">
        <x:f>C26-D26</x:f>
        <x:v>0</x:v>
      </x:c>
      <x:c r="F26" s="211" t="n">
        <x:v>0.01</x:v>
      </x:c>
      <x:c r="G26" s="211" t="str">
        <x:f>IF(ABS(E26)&lt;=F26,"OK","REVIEW")</x:f>
        <x:v>OK</x:v>
      </x:c>
      <x:c r="H26" s="90" t="str">
        <x:v>After-tax EBIT + D&amp;A - capex - NWC.</x:v>
      </x:c>
    </x:row>
    <x:row r="27" ht="25" customHeight="1">
      <x:c r="A27" s="88" t="str">
        <x:v>P4-BASE-2027-TEU</x:v>
      </x:c>
      <x:c r="B27" s="89" t="str">
        <x:v>Base 2027 national TEU roll-forward</x:v>
      </x:c>
      <x:c r="C27" s="211" t="n">
        <x:f>'P4 Forecast'!E6-'P4 Forecast'!D6*(1+'P4 Forecast'!E7)</x:f>
        <x:v>0</x:v>
      </x:c>
      <x:c r="D27" s="211" t="n">
        <x:v>0</x:v>
      </x:c>
      <x:c r="E27" s="211" t="n">
        <x:f>C27-D27</x:f>
        <x:v>0</x:v>
      </x:c>
      <x:c r="F27" s="211" t="n">
        <x:v>0.0001</x:v>
      </x:c>
      <x:c r="G27" s="211" t="str">
        <x:f>IF(ABS(E27)&lt;=F27,"OK","REVIEW")</x:f>
        <x:v>OK</x:v>
      </x:c>
      <x:c r="H27" s="90" t="str">
        <x:v>National TEU follows the visible growth assumption.</x:v>
      </x:c>
    </x:row>
    <x:row r="28" ht="25" customHeight="1">
      <x:c r="A28" s="88" t="str">
        <x:v>P4-BASE-2027-SHARE</x:v>
      </x:c>
      <x:c r="B28" s="89" t="str">
        <x:v>Base 2027 throughput identity</x:v>
      </x:c>
      <x:c r="C28" s="211" t="n">
        <x:f>'P4 Forecast'!E8-'P4 Forecast'!E6*'P4 Forecast'!E10</x:f>
        <x:v>0</x:v>
      </x:c>
      <x:c r="D28" s="211" t="n">
        <x:v>0</x:v>
      </x:c>
      <x:c r="E28" s="211" t="n">
        <x:f>C28-D28</x:f>
        <x:v>0</x:v>
      </x:c>
      <x:c r="F28" s="211" t="n">
        <x:v>0.0001</x:v>
      </x:c>
      <x:c r="G28" s="211" t="str">
        <x:f>IF(ABS(E28)&lt;=F28,"OK","REVIEW")</x:f>
        <x:v>OK</x:v>
      </x:c>
      <x:c r="H28" s="90" t="str">
        <x:v>GMD throughput = national TEU × share.</x:v>
      </x:c>
    </x:row>
    <x:row r="29" ht="25" customHeight="1">
      <x:c r="A29" s="88" t="str">
        <x:v>P4-BASE-2027-PORT</x:v>
      </x:c>
      <x:c r="B29" s="89" t="str">
        <x:v>Base 2027 port-revenue identity</x:v>
      </x:c>
      <x:c r="C29" s="211" t="n">
        <x:f>'P4 Forecast'!E13-'P4 Forecast'!E8*'P4 Forecast'!E11</x:f>
        <x:v>0</x:v>
      </x:c>
      <x:c r="D29" s="211" t="n">
        <x:v>0</x:v>
      </x:c>
      <x:c r="E29" s="211" t="n">
        <x:f>C29-D29</x:f>
        <x:v>0</x:v>
      </x:c>
      <x:c r="F29" s="211" t="n">
        <x:v>0.01</x:v>
      </x:c>
      <x:c r="G29" s="211" t="str">
        <x:f>IF(ABS(E29)&lt;=F29,"OK","REVIEW")</x:f>
        <x:v>OK</x:v>
      </x:c>
      <x:c r="H29" s="90" t="str">
        <x:v>Port revenue = throughput × unit/mix proxy.</x:v>
      </x:c>
    </x:row>
    <x:row r="30" ht="25" customHeight="1">
      <x:c r="A30" s="88" t="str">
        <x:v>P4-BASE-2027-REV</x:v>
      </x:c>
      <x:c r="B30" s="89" t="str">
        <x:v>Base 2027 revenue bridge</x:v>
      </x:c>
      <x:c r="C30" s="211" t="n">
        <x:f>'P4 Forecast'!E16-SUM('P4 Forecast'!E13:'P4 Forecast'!E15)</x:f>
        <x:v>0</x:v>
      </x:c>
      <x:c r="D30" s="211" t="n">
        <x:v>0</x:v>
      </x:c>
      <x:c r="E30" s="211" t="n">
        <x:f>C30-D30</x:f>
        <x:v>0</x:v>
      </x:c>
      <x:c r="F30" s="211" t="n">
        <x:v>0.01</x:v>
      </x:c>
      <x:c r="G30" s="211" t="str">
        <x:f>IF(ABS(E30)&lt;=F30,"OK","REVIEW")</x:f>
        <x:v>OK</x:v>
      </x:c>
      <x:c r="H30" s="90" t="str">
        <x:v>Port + logistics + other = consolidated revenue.</x:v>
      </x:c>
    </x:row>
    <x:row r="31" ht="25" customHeight="1">
      <x:c r="A31" s="88" t="str">
        <x:v>P4-BASE-2027-ASSOC</x:v>
      </x:c>
      <x:c r="B31" s="89" t="str">
        <x:v>Base 2027 associate bridge</x:v>
      </x:c>
      <x:c r="C31" s="211" t="n">
        <x:f>'P4 Forecast'!E26-SUM('P4 Forecast'!E22:'P4 Forecast'!E25)</x:f>
        <x:v>0</x:v>
      </x:c>
      <x:c r="D31" s="211" t="n">
        <x:v>0</x:v>
      </x:c>
      <x:c r="E31" s="211" t="n">
        <x:f>C31-D31</x:f>
        <x:v>0</x:v>
      </x:c>
      <x:c r="F31" s="211" t="n">
        <x:v>0.01</x:v>
      </x:c>
      <x:c r="G31" s="211" t="str">
        <x:f>IF(ABS(E31)&lt;=F31,"OK","REVIEW")</x:f>
        <x:v>OK</x:v>
      </x:c>
      <x:c r="H31" s="90" t="str">
        <x:v>Named associates + residual = total associates.</x:v>
      </x:c>
    </x:row>
    <x:row r="32" ht="25" customHeight="1">
      <x:c r="A32" s="88" t="str">
        <x:v>P4-BASE-2027-PBT</x:v>
      </x:c>
      <x:c r="B32" s="89" t="str">
        <x:v>Base 2027 PBT bridge</x:v>
      </x:c>
      <x:c r="C32" s="211" t="n">
        <x:f>'P4 Forecast'!E28-('P4 Forecast'!E19+'P4 Forecast'!E20-'P4 Forecast'!E21+'P4 Forecast'!E26+'P4 Forecast'!E27)</x:f>
        <x:v>0</x:v>
      </x:c>
      <x:c r="D32" s="211" t="n">
        <x:v>0</x:v>
      </x:c>
      <x:c r="E32" s="211" t="n">
        <x:f>C32-D32</x:f>
        <x:v>0</x:v>
      </x:c>
      <x:c r="F32" s="211" t="n">
        <x:v>0.01</x:v>
      </x:c>
      <x:c r="G32" s="211" t="str">
        <x:f>IF(ABS(E32)&lt;=F32,"OK","REVIEW")</x:f>
        <x:v>OK</x:v>
      </x:c>
      <x:c r="H32" s="90" t="str">
        <x:v>EBIT + net finance + associates + other.</x:v>
      </x:c>
    </x:row>
    <x:row r="33" ht="25" customHeight="1">
      <x:c r="A33" s="88" t="str">
        <x:v>P4-BASE-2027-PAT</x:v>
      </x:c>
      <x:c r="B33" s="89" t="str">
        <x:v>Base 2027 PAT attribution</x:v>
      </x:c>
      <x:c r="C33" s="211" t="n">
        <x:f>'P4 Forecast'!E31-SUM('P4 Forecast'!E33:'P4 Forecast'!E34)</x:f>
        <x:v>0</x:v>
      </x:c>
      <x:c r="D33" s="211" t="n">
        <x:v>0</x:v>
      </x:c>
      <x:c r="E33" s="211" t="n">
        <x:f>C33-D33</x:f>
        <x:v>0</x:v>
      </x:c>
      <x:c r="F33" s="211" t="n">
        <x:v>0.01</x:v>
      </x:c>
      <x:c r="G33" s="211" t="str">
        <x:f>IF(ABS(E33)&lt;=F33,"OK","REVIEW")</x:f>
        <x:v>OK</x:v>
      </x:c>
      <x:c r="H33" s="90" t="str">
        <x:v>Parent PAT + NCI PAT = consolidated PAT.</x:v>
      </x:c>
    </x:row>
    <x:row r="34" ht="25" customHeight="1">
      <x:c r="A34" s="88" t="str">
        <x:v>P4-BASE-2027-FCFF</x:v>
      </x:c>
      <x:c r="B34" s="89" t="str">
        <x:v>Base 2027 FCFF bridge</x:v>
      </x:c>
      <x:c r="C34" s="211" t="n">
        <x:f>'P4 Forecast'!E40-('P4 Forecast'!E19*(1-'P4 Forecast'!E39)+'P4 Forecast'!E36-'P4 Forecast'!E37-'P4 Forecast'!E38)</x:f>
        <x:v>0</x:v>
      </x:c>
      <x:c r="D34" s="211" t="n">
        <x:v>0</x:v>
      </x:c>
      <x:c r="E34" s="211" t="n">
        <x:f>C34-D34</x:f>
        <x:v>0</x:v>
      </x:c>
      <x:c r="F34" s="211" t="n">
        <x:v>0.01</x:v>
      </x:c>
      <x:c r="G34" s="211" t="str">
        <x:f>IF(ABS(E34)&lt;=F34,"OK","REVIEW")</x:f>
        <x:v>OK</x:v>
      </x:c>
      <x:c r="H34" s="90" t="str">
        <x:v>After-tax EBIT + D&amp;A - capex - NWC.</x:v>
      </x:c>
    </x:row>
    <x:row r="35" ht="25" customHeight="1">
      <x:c r="A35" s="88" t="str">
        <x:v>P4-BASE-2028-TEU</x:v>
      </x:c>
      <x:c r="B35" s="89" t="str">
        <x:v>Base 2028 national TEU roll-forward</x:v>
      </x:c>
      <x:c r="C35" s="211" t="n">
        <x:f>'P4 Forecast'!F6-'P4 Forecast'!E6*(1+'P4 Forecast'!F7)</x:f>
        <x:v>0</x:v>
      </x:c>
      <x:c r="D35" s="211" t="n">
        <x:v>0</x:v>
      </x:c>
      <x:c r="E35" s="211" t="n">
        <x:f>C35-D35</x:f>
        <x:v>0</x:v>
      </x:c>
      <x:c r="F35" s="211" t="n">
        <x:v>0.0001</x:v>
      </x:c>
      <x:c r="G35" s="211" t="str">
        <x:f>IF(ABS(E35)&lt;=F35,"OK","REVIEW")</x:f>
        <x:v>OK</x:v>
      </x:c>
      <x:c r="H35" s="90" t="str">
        <x:v>National TEU follows the visible growth assumption.</x:v>
      </x:c>
    </x:row>
    <x:row r="36" ht="25" customHeight="1">
      <x:c r="A36" s="88" t="str">
        <x:v>P4-BASE-2028-SHARE</x:v>
      </x:c>
      <x:c r="B36" s="89" t="str">
        <x:v>Base 2028 throughput identity</x:v>
      </x:c>
      <x:c r="C36" s="211" t="n">
        <x:f>'P4 Forecast'!F8-'P4 Forecast'!F6*'P4 Forecast'!F10</x:f>
        <x:v>0</x:v>
      </x:c>
      <x:c r="D36" s="211" t="n">
        <x:v>0</x:v>
      </x:c>
      <x:c r="E36" s="211" t="n">
        <x:f>C36-D36</x:f>
        <x:v>0</x:v>
      </x:c>
      <x:c r="F36" s="211" t="n">
        <x:v>0.0001</x:v>
      </x:c>
      <x:c r="G36" s="211" t="str">
        <x:f>IF(ABS(E36)&lt;=F36,"OK","REVIEW")</x:f>
        <x:v>OK</x:v>
      </x:c>
      <x:c r="H36" s="90" t="str">
        <x:v>GMD throughput = national TEU × share.</x:v>
      </x:c>
    </x:row>
    <x:row r="37" ht="25" customHeight="1">
      <x:c r="A37" s="88" t="str">
        <x:v>P4-BASE-2028-PORT</x:v>
      </x:c>
      <x:c r="B37" s="89" t="str">
        <x:v>Base 2028 port-revenue identity</x:v>
      </x:c>
      <x:c r="C37" s="211" t="n">
        <x:f>'P4 Forecast'!F13-'P4 Forecast'!F8*'P4 Forecast'!F11</x:f>
        <x:v>0</x:v>
      </x:c>
      <x:c r="D37" s="211" t="n">
        <x:v>0</x:v>
      </x:c>
      <x:c r="E37" s="211" t="n">
        <x:f>C37-D37</x:f>
        <x:v>0</x:v>
      </x:c>
      <x:c r="F37" s="211" t="n">
        <x:v>0.01</x:v>
      </x:c>
      <x:c r="G37" s="211" t="str">
        <x:f>IF(ABS(E37)&lt;=F37,"OK","REVIEW")</x:f>
        <x:v>OK</x:v>
      </x:c>
      <x:c r="H37" s="90" t="str">
        <x:v>Port revenue = throughput × unit/mix proxy.</x:v>
      </x:c>
    </x:row>
    <x:row r="38" ht="25" customHeight="1">
      <x:c r="A38" s="88" t="str">
        <x:v>P4-BASE-2028-REV</x:v>
      </x:c>
      <x:c r="B38" s="89" t="str">
        <x:v>Base 2028 revenue bridge</x:v>
      </x:c>
      <x:c r="C38" s="211" t="n">
        <x:f>'P4 Forecast'!F16-SUM('P4 Forecast'!F13:'P4 Forecast'!F15)</x:f>
        <x:v>0</x:v>
      </x:c>
      <x:c r="D38" s="211" t="n">
        <x:v>0</x:v>
      </x:c>
      <x:c r="E38" s="211" t="n">
        <x:f>C38-D38</x:f>
        <x:v>0</x:v>
      </x:c>
      <x:c r="F38" s="211" t="n">
        <x:v>0.01</x:v>
      </x:c>
      <x:c r="G38" s="211" t="str">
        <x:f>IF(ABS(E38)&lt;=F38,"OK","REVIEW")</x:f>
        <x:v>OK</x:v>
      </x:c>
      <x:c r="H38" s="90" t="str">
        <x:v>Port + logistics + other = consolidated revenue.</x:v>
      </x:c>
    </x:row>
    <x:row r="39" ht="25" customHeight="1">
      <x:c r="A39" s="88" t="str">
        <x:v>P4-BASE-2028-ASSOC</x:v>
      </x:c>
      <x:c r="B39" s="89" t="str">
        <x:v>Base 2028 associate bridge</x:v>
      </x:c>
      <x:c r="C39" s="211" t="n">
        <x:f>'P4 Forecast'!F26-SUM('P4 Forecast'!F22:'P4 Forecast'!F25)</x:f>
        <x:v>0</x:v>
      </x:c>
      <x:c r="D39" s="211" t="n">
        <x:v>0</x:v>
      </x:c>
      <x:c r="E39" s="211" t="n">
        <x:f>C39-D39</x:f>
        <x:v>0</x:v>
      </x:c>
      <x:c r="F39" s="211" t="n">
        <x:v>0.01</x:v>
      </x:c>
      <x:c r="G39" s="211" t="str">
        <x:f>IF(ABS(E39)&lt;=F39,"OK","REVIEW")</x:f>
        <x:v>OK</x:v>
      </x:c>
      <x:c r="H39" s="90" t="str">
        <x:v>Named associates + residual = total associates.</x:v>
      </x:c>
    </x:row>
    <x:row r="40" ht="25" customHeight="1">
      <x:c r="A40" s="88" t="str">
        <x:v>P4-BASE-2028-PBT</x:v>
      </x:c>
      <x:c r="B40" s="89" t="str">
        <x:v>Base 2028 PBT bridge</x:v>
      </x:c>
      <x:c r="C40" s="211" t="n">
        <x:f>'P4 Forecast'!F28-('P4 Forecast'!F19+'P4 Forecast'!F20-'P4 Forecast'!F21+'P4 Forecast'!F26+'P4 Forecast'!F27)</x:f>
        <x:v>0</x:v>
      </x:c>
      <x:c r="D40" s="211" t="n">
        <x:v>0</x:v>
      </x:c>
      <x:c r="E40" s="211" t="n">
        <x:f>C40-D40</x:f>
        <x:v>0</x:v>
      </x:c>
      <x:c r="F40" s="211" t="n">
        <x:v>0.01</x:v>
      </x:c>
      <x:c r="G40" s="211" t="str">
        <x:f>IF(ABS(E40)&lt;=F40,"OK","REVIEW")</x:f>
        <x:v>OK</x:v>
      </x:c>
      <x:c r="H40" s="90" t="str">
        <x:v>EBIT + net finance + associates + other.</x:v>
      </x:c>
    </x:row>
    <x:row r="41" ht="25" customHeight="1">
      <x:c r="A41" s="88" t="str">
        <x:v>P4-BASE-2028-PAT</x:v>
      </x:c>
      <x:c r="B41" s="89" t="str">
        <x:v>Base 2028 PAT attribution</x:v>
      </x:c>
      <x:c r="C41" s="211" t="n">
        <x:f>'P4 Forecast'!F31-SUM('P4 Forecast'!F33:'P4 Forecast'!F34)</x:f>
        <x:v>0</x:v>
      </x:c>
      <x:c r="D41" s="211" t="n">
        <x:v>0</x:v>
      </x:c>
      <x:c r="E41" s="211" t="n">
        <x:f>C41-D41</x:f>
        <x:v>0</x:v>
      </x:c>
      <x:c r="F41" s="211" t="n">
        <x:v>0.01</x:v>
      </x:c>
      <x:c r="G41" s="211" t="str">
        <x:f>IF(ABS(E41)&lt;=F41,"OK","REVIEW")</x:f>
        <x:v>OK</x:v>
      </x:c>
      <x:c r="H41" s="90" t="str">
        <x:v>Parent PAT + NCI PAT = consolidated PAT.</x:v>
      </x:c>
    </x:row>
    <x:row r="42" ht="25" customHeight="1">
      <x:c r="A42" s="88" t="str">
        <x:v>P4-BASE-2028-FCFF</x:v>
      </x:c>
      <x:c r="B42" s="89" t="str">
        <x:v>Base 2028 FCFF bridge</x:v>
      </x:c>
      <x:c r="C42" s="211" t="n">
        <x:f>'P4 Forecast'!F40-('P4 Forecast'!F19*(1-'P4 Forecast'!F39)+'P4 Forecast'!F36-'P4 Forecast'!F37-'P4 Forecast'!F38)</x:f>
        <x:v>0</x:v>
      </x:c>
      <x:c r="D42" s="211" t="n">
        <x:v>0</x:v>
      </x:c>
      <x:c r="E42" s="211" t="n">
        <x:f>C42-D42</x:f>
        <x:v>0</x:v>
      </x:c>
      <x:c r="F42" s="211" t="n">
        <x:v>0.01</x:v>
      </x:c>
      <x:c r="G42" s="211" t="str">
        <x:f>IF(ABS(E42)&lt;=F42,"OK","REVIEW")</x:f>
        <x:v>OK</x:v>
      </x:c>
      <x:c r="H42" s="90" t="str">
        <x:v>After-tax EBIT + D&amp;A - capex - NWC.</x:v>
      </x:c>
    </x:row>
    <x:row r="43" ht="25" customHeight="1">
      <x:c r="A43" s="88" t="str">
        <x:v>P4-BASE-2029-TEU</x:v>
      </x:c>
      <x:c r="B43" s="89" t="str">
        <x:v>Base 2029 national TEU roll-forward</x:v>
      </x:c>
      <x:c r="C43" s="211" t="n">
        <x:f>'P4 Forecast'!G6-'P4 Forecast'!F6*(1+'P4 Forecast'!G7)</x:f>
        <x:v>0</x:v>
      </x:c>
      <x:c r="D43" s="211" t="n">
        <x:v>0</x:v>
      </x:c>
      <x:c r="E43" s="211" t="n">
        <x:f>C43-D43</x:f>
        <x:v>0</x:v>
      </x:c>
      <x:c r="F43" s="211" t="n">
        <x:v>0.0001</x:v>
      </x:c>
      <x:c r="G43" s="211" t="str">
        <x:f>IF(ABS(E43)&lt;=F43,"OK","REVIEW")</x:f>
        <x:v>OK</x:v>
      </x:c>
      <x:c r="H43" s="90" t="str">
        <x:v>National TEU follows the visible growth assumption.</x:v>
      </x:c>
    </x:row>
    <x:row r="44" ht="25" customHeight="1">
      <x:c r="A44" s="88" t="str">
        <x:v>P4-BASE-2029-SHARE</x:v>
      </x:c>
      <x:c r="B44" s="89" t="str">
        <x:v>Base 2029 throughput identity</x:v>
      </x:c>
      <x:c r="C44" s="211" t="n">
        <x:f>'P4 Forecast'!G8-'P4 Forecast'!G6*'P4 Forecast'!G10</x:f>
        <x:v>0</x:v>
      </x:c>
      <x:c r="D44" s="211" t="n">
        <x:v>0</x:v>
      </x:c>
      <x:c r="E44" s="211" t="n">
        <x:f>C44-D44</x:f>
        <x:v>0</x:v>
      </x:c>
      <x:c r="F44" s="211" t="n">
        <x:v>0.0001</x:v>
      </x:c>
      <x:c r="G44" s="211" t="str">
        <x:f>IF(ABS(E44)&lt;=F44,"OK","REVIEW")</x:f>
        <x:v>OK</x:v>
      </x:c>
      <x:c r="H44" s="90" t="str">
        <x:v>GMD throughput = national TEU × share.</x:v>
      </x:c>
    </x:row>
    <x:row r="45" ht="25" customHeight="1">
      <x:c r="A45" s="88" t="str">
        <x:v>P4-BASE-2029-PORT</x:v>
      </x:c>
      <x:c r="B45" s="89" t="str">
        <x:v>Base 2029 port-revenue identity</x:v>
      </x:c>
      <x:c r="C45" s="211" t="n">
        <x:f>'P4 Forecast'!G13-'P4 Forecast'!G8*'P4 Forecast'!G11</x:f>
        <x:v>0</x:v>
      </x:c>
      <x:c r="D45" s="211" t="n">
        <x:v>0</x:v>
      </x:c>
      <x:c r="E45" s="211" t="n">
        <x:f>C45-D45</x:f>
        <x:v>0</x:v>
      </x:c>
      <x:c r="F45" s="211" t="n">
        <x:v>0.01</x:v>
      </x:c>
      <x:c r="G45" s="211" t="str">
        <x:f>IF(ABS(E45)&lt;=F45,"OK","REVIEW")</x:f>
        <x:v>OK</x:v>
      </x:c>
      <x:c r="H45" s="90" t="str">
        <x:v>Port revenue = throughput × unit/mix proxy.</x:v>
      </x:c>
    </x:row>
    <x:row r="46" ht="25" customHeight="1">
      <x:c r="A46" s="88" t="str">
        <x:v>P4-BASE-2029-REV</x:v>
      </x:c>
      <x:c r="B46" s="89" t="str">
        <x:v>Base 2029 revenue bridge</x:v>
      </x:c>
      <x:c r="C46" s="211" t="n">
        <x:f>'P4 Forecast'!G16-SUM('P4 Forecast'!G13:'P4 Forecast'!G15)</x:f>
        <x:v>0</x:v>
      </x:c>
      <x:c r="D46" s="211" t="n">
        <x:v>0</x:v>
      </x:c>
      <x:c r="E46" s="211" t="n">
        <x:f>C46-D46</x:f>
        <x:v>0</x:v>
      </x:c>
      <x:c r="F46" s="211" t="n">
        <x:v>0.01</x:v>
      </x:c>
      <x:c r="G46" s="211" t="str">
        <x:f>IF(ABS(E46)&lt;=F46,"OK","REVIEW")</x:f>
        <x:v>OK</x:v>
      </x:c>
      <x:c r="H46" s="90" t="str">
        <x:v>Port + logistics + other = consolidated revenue.</x:v>
      </x:c>
    </x:row>
    <x:row r="47" ht="25" customHeight="1">
      <x:c r="A47" s="88" t="str">
        <x:v>P4-BASE-2029-ASSOC</x:v>
      </x:c>
      <x:c r="B47" s="89" t="str">
        <x:v>Base 2029 associate bridge</x:v>
      </x:c>
      <x:c r="C47" s="211" t="n">
        <x:f>'P4 Forecast'!G26-SUM('P4 Forecast'!G22:'P4 Forecast'!G25)</x:f>
        <x:v>0</x:v>
      </x:c>
      <x:c r="D47" s="211" t="n">
        <x:v>0</x:v>
      </x:c>
      <x:c r="E47" s="211" t="n">
        <x:f>C47-D47</x:f>
        <x:v>0</x:v>
      </x:c>
      <x:c r="F47" s="211" t="n">
        <x:v>0.01</x:v>
      </x:c>
      <x:c r="G47" s="211" t="str">
        <x:f>IF(ABS(E47)&lt;=F47,"OK","REVIEW")</x:f>
        <x:v>OK</x:v>
      </x:c>
      <x:c r="H47" s="90" t="str">
        <x:v>Named associates + residual = total associates.</x:v>
      </x:c>
    </x:row>
    <x:row r="48" ht="25" customHeight="1">
      <x:c r="A48" s="88" t="str">
        <x:v>P4-BASE-2029-PBT</x:v>
      </x:c>
      <x:c r="B48" s="89" t="str">
        <x:v>Base 2029 PBT bridge</x:v>
      </x:c>
      <x:c r="C48" s="211" t="n">
        <x:f>'P4 Forecast'!G28-('P4 Forecast'!G19+'P4 Forecast'!G20-'P4 Forecast'!G21+'P4 Forecast'!G26+'P4 Forecast'!G27)</x:f>
        <x:v>0</x:v>
      </x:c>
      <x:c r="D48" s="211" t="n">
        <x:v>0</x:v>
      </x:c>
      <x:c r="E48" s="211" t="n">
        <x:f>C48-D48</x:f>
        <x:v>0</x:v>
      </x:c>
      <x:c r="F48" s="211" t="n">
        <x:v>0.01</x:v>
      </x:c>
      <x:c r="G48" s="211" t="str">
        <x:f>IF(ABS(E48)&lt;=F48,"OK","REVIEW")</x:f>
        <x:v>OK</x:v>
      </x:c>
      <x:c r="H48" s="90" t="str">
        <x:v>EBIT + net finance + associates + other.</x:v>
      </x:c>
    </x:row>
    <x:row r="49" ht="25" customHeight="1">
      <x:c r="A49" s="88" t="str">
        <x:v>P4-BASE-2029-PAT</x:v>
      </x:c>
      <x:c r="B49" s="89" t="str">
        <x:v>Base 2029 PAT attribution</x:v>
      </x:c>
      <x:c r="C49" s="211" t="n">
        <x:f>'P4 Forecast'!G31-SUM('P4 Forecast'!G33:'P4 Forecast'!G34)</x:f>
        <x:v>0</x:v>
      </x:c>
      <x:c r="D49" s="211" t="n">
        <x:v>0</x:v>
      </x:c>
      <x:c r="E49" s="211" t="n">
        <x:f>C49-D49</x:f>
        <x:v>0</x:v>
      </x:c>
      <x:c r="F49" s="211" t="n">
        <x:v>0.01</x:v>
      </x:c>
      <x:c r="G49" s="211" t="str">
        <x:f>IF(ABS(E49)&lt;=F49,"OK","REVIEW")</x:f>
        <x:v>OK</x:v>
      </x:c>
      <x:c r="H49" s="90" t="str">
        <x:v>Parent PAT + NCI PAT = consolidated PAT.</x:v>
      </x:c>
    </x:row>
    <x:row r="50" ht="25" customHeight="1">
      <x:c r="A50" s="88" t="str">
        <x:v>P4-BASE-2029-FCFF</x:v>
      </x:c>
      <x:c r="B50" s="89" t="str">
        <x:v>Base 2029 FCFF bridge</x:v>
      </x:c>
      <x:c r="C50" s="211" t="n">
        <x:f>'P4 Forecast'!G40-('P4 Forecast'!G19*(1-'P4 Forecast'!G39)+'P4 Forecast'!G36-'P4 Forecast'!G37-'P4 Forecast'!G38)</x:f>
        <x:v>0</x:v>
      </x:c>
      <x:c r="D50" s="211" t="n">
        <x:v>0</x:v>
      </x:c>
      <x:c r="E50" s="211" t="n">
        <x:f>C50-D50</x:f>
        <x:v>0</x:v>
      </x:c>
      <x:c r="F50" s="211" t="n">
        <x:v>0.01</x:v>
      </x:c>
      <x:c r="G50" s="211" t="str">
        <x:f>IF(ABS(E50)&lt;=F50,"OK","REVIEW")</x:f>
        <x:v>OK</x:v>
      </x:c>
      <x:c r="H50" s="90" t="str">
        <x:v>After-tax EBIT + D&amp;A - capex - NWC.</x:v>
      </x:c>
    </x:row>
    <x:row r="51" ht="25" customHeight="1">
      <x:c r="A51" s="88" t="str">
        <x:v>P4-BASE-2030-TEU</x:v>
      </x:c>
      <x:c r="B51" s="89" t="str">
        <x:v>Base 2030 national TEU roll-forward</x:v>
      </x:c>
      <x:c r="C51" s="211" t="n">
        <x:f>'P4 Forecast'!H6-'P4 Forecast'!G6*(1+'P4 Forecast'!H7)</x:f>
        <x:v>0</x:v>
      </x:c>
      <x:c r="D51" s="211" t="n">
        <x:v>0</x:v>
      </x:c>
      <x:c r="E51" s="211" t="n">
        <x:f>C51-D51</x:f>
        <x:v>0</x:v>
      </x:c>
      <x:c r="F51" s="211" t="n">
        <x:v>0.0001</x:v>
      </x:c>
      <x:c r="G51" s="211" t="str">
        <x:f>IF(ABS(E51)&lt;=F51,"OK","REVIEW")</x:f>
        <x:v>OK</x:v>
      </x:c>
      <x:c r="H51" s="90" t="str">
        <x:v>National TEU follows the visible growth assumption.</x:v>
      </x:c>
    </x:row>
    <x:row r="52" ht="25" customHeight="1">
      <x:c r="A52" s="88" t="str">
        <x:v>P4-BASE-2030-SHARE</x:v>
      </x:c>
      <x:c r="B52" s="89" t="str">
        <x:v>Base 2030 throughput identity</x:v>
      </x:c>
      <x:c r="C52" s="211" t="n">
        <x:f>'P4 Forecast'!H8-'P4 Forecast'!H6*'P4 Forecast'!H10</x:f>
        <x:v>0</x:v>
      </x:c>
      <x:c r="D52" s="211" t="n">
        <x:v>0</x:v>
      </x:c>
      <x:c r="E52" s="211" t="n">
        <x:f>C52-D52</x:f>
        <x:v>0</x:v>
      </x:c>
      <x:c r="F52" s="211" t="n">
        <x:v>0.0001</x:v>
      </x:c>
      <x:c r="G52" s="211" t="str">
        <x:f>IF(ABS(E52)&lt;=F52,"OK","REVIEW")</x:f>
        <x:v>OK</x:v>
      </x:c>
      <x:c r="H52" s="90" t="str">
        <x:v>GMD throughput = national TEU × share.</x:v>
      </x:c>
    </x:row>
    <x:row r="53" ht="25" customHeight="1">
      <x:c r="A53" s="88" t="str">
        <x:v>P4-BASE-2030-PORT</x:v>
      </x:c>
      <x:c r="B53" s="89" t="str">
        <x:v>Base 2030 port-revenue identity</x:v>
      </x:c>
      <x:c r="C53" s="211" t="n">
        <x:f>'P4 Forecast'!H13-'P4 Forecast'!H8*'P4 Forecast'!H11</x:f>
        <x:v>0</x:v>
      </x:c>
      <x:c r="D53" s="211" t="n">
        <x:v>0</x:v>
      </x:c>
      <x:c r="E53" s="211" t="n">
        <x:f>C53-D53</x:f>
        <x:v>0</x:v>
      </x:c>
      <x:c r="F53" s="211" t="n">
        <x:v>0.01</x:v>
      </x:c>
      <x:c r="G53" s="211" t="str">
        <x:f>IF(ABS(E53)&lt;=F53,"OK","REVIEW")</x:f>
        <x:v>OK</x:v>
      </x:c>
      <x:c r="H53" s="90" t="str">
        <x:v>Port revenue = throughput × unit/mix proxy.</x:v>
      </x:c>
    </x:row>
    <x:row r="54" ht="25" customHeight="1">
      <x:c r="A54" s="88" t="str">
        <x:v>P4-BASE-2030-REV</x:v>
      </x:c>
      <x:c r="B54" s="89" t="str">
        <x:v>Base 2030 revenue bridge</x:v>
      </x:c>
      <x:c r="C54" s="211" t="n">
        <x:f>'P4 Forecast'!H16-SUM('P4 Forecast'!H13:'P4 Forecast'!H15)</x:f>
        <x:v>0</x:v>
      </x:c>
      <x:c r="D54" s="211" t="n">
        <x:v>0</x:v>
      </x:c>
      <x:c r="E54" s="211" t="n">
        <x:f>C54-D54</x:f>
        <x:v>0</x:v>
      </x:c>
      <x:c r="F54" s="211" t="n">
        <x:v>0.01</x:v>
      </x:c>
      <x:c r="G54" s="211" t="str">
        <x:f>IF(ABS(E54)&lt;=F54,"OK","REVIEW")</x:f>
        <x:v>OK</x:v>
      </x:c>
      <x:c r="H54" s="90" t="str">
        <x:v>Port + logistics + other = consolidated revenue.</x:v>
      </x:c>
    </x:row>
    <x:row r="55" ht="25" customHeight="1">
      <x:c r="A55" s="88" t="str">
        <x:v>P4-BASE-2030-ASSOC</x:v>
      </x:c>
      <x:c r="B55" s="89" t="str">
        <x:v>Base 2030 associate bridge</x:v>
      </x:c>
      <x:c r="C55" s="211" t="n">
        <x:f>'P4 Forecast'!H26-SUM('P4 Forecast'!H22:'P4 Forecast'!H25)</x:f>
        <x:v>0</x:v>
      </x:c>
      <x:c r="D55" s="211" t="n">
        <x:v>0</x:v>
      </x:c>
      <x:c r="E55" s="211" t="n">
        <x:f>C55-D55</x:f>
        <x:v>0</x:v>
      </x:c>
      <x:c r="F55" s="211" t="n">
        <x:v>0.01</x:v>
      </x:c>
      <x:c r="G55" s="211" t="str">
        <x:f>IF(ABS(E55)&lt;=F55,"OK","REVIEW")</x:f>
        <x:v>OK</x:v>
      </x:c>
      <x:c r="H55" s="90" t="str">
        <x:v>Named associates + residual = total associates.</x:v>
      </x:c>
    </x:row>
    <x:row r="56" ht="25" customHeight="1">
      <x:c r="A56" s="88" t="str">
        <x:v>P4-BASE-2030-PBT</x:v>
      </x:c>
      <x:c r="B56" s="89" t="str">
        <x:v>Base 2030 PBT bridge</x:v>
      </x:c>
      <x:c r="C56" s="211" t="n">
        <x:f>'P4 Forecast'!H28-('P4 Forecast'!H19+'P4 Forecast'!H20-'P4 Forecast'!H21+'P4 Forecast'!H26+'P4 Forecast'!H27)</x:f>
        <x:v>0</x:v>
      </x:c>
      <x:c r="D56" s="211" t="n">
        <x:v>0</x:v>
      </x:c>
      <x:c r="E56" s="211" t="n">
        <x:f>C56-D56</x:f>
        <x:v>0</x:v>
      </x:c>
      <x:c r="F56" s="211" t="n">
        <x:v>0.01</x:v>
      </x:c>
      <x:c r="G56" s="211" t="str">
        <x:f>IF(ABS(E56)&lt;=F56,"OK","REVIEW")</x:f>
        <x:v>OK</x:v>
      </x:c>
      <x:c r="H56" s="90" t="str">
        <x:v>EBIT + net finance + associates + other.</x:v>
      </x:c>
    </x:row>
    <x:row r="57" ht="25" customHeight="1">
      <x:c r="A57" s="88" t="str">
        <x:v>P4-BASE-2030-PAT</x:v>
      </x:c>
      <x:c r="B57" s="89" t="str">
        <x:v>Base 2030 PAT attribution</x:v>
      </x:c>
      <x:c r="C57" s="211" t="n">
        <x:f>'P4 Forecast'!H31-SUM('P4 Forecast'!H33:'P4 Forecast'!H34)</x:f>
        <x:v>0</x:v>
      </x:c>
      <x:c r="D57" s="211" t="n">
        <x:v>0</x:v>
      </x:c>
      <x:c r="E57" s="211" t="n">
        <x:f>C57-D57</x:f>
        <x:v>0</x:v>
      </x:c>
      <x:c r="F57" s="211" t="n">
        <x:v>0.01</x:v>
      </x:c>
      <x:c r="G57" s="211" t="str">
        <x:f>IF(ABS(E57)&lt;=F57,"OK","REVIEW")</x:f>
        <x:v>OK</x:v>
      </x:c>
      <x:c r="H57" s="90" t="str">
        <x:v>Parent PAT + NCI PAT = consolidated PAT.</x:v>
      </x:c>
    </x:row>
    <x:row r="58" ht="25" customHeight="1">
      <x:c r="A58" s="88" t="str">
        <x:v>P4-BASE-2030-FCFF</x:v>
      </x:c>
      <x:c r="B58" s="89" t="str">
        <x:v>Base 2030 FCFF bridge</x:v>
      </x:c>
      <x:c r="C58" s="211" t="n">
        <x:f>'P4 Forecast'!H40-('P4 Forecast'!H19*(1-'P4 Forecast'!H39)+'P4 Forecast'!H36-'P4 Forecast'!H37-'P4 Forecast'!H38)</x:f>
        <x:v>0</x:v>
      </x:c>
      <x:c r="D58" s="211" t="n">
        <x:v>0</x:v>
      </x:c>
      <x:c r="E58" s="211" t="n">
        <x:f>C58-D58</x:f>
        <x:v>0</x:v>
      </x:c>
      <x:c r="F58" s="211" t="n">
        <x:v>0.01</x:v>
      </x:c>
      <x:c r="G58" s="211" t="str">
        <x:f>IF(ABS(E58)&lt;=F58,"OK","REVIEW")</x:f>
        <x:v>OK</x:v>
      </x:c>
      <x:c r="H58" s="90" t="str">
        <x:v>After-tax EBIT + D&amp;A - capex - NWC.</x:v>
      </x:c>
    </x:row>
    <x:row r="59" ht="25" customHeight="1">
      <x:c r="A59" s="88" t="str">
        <x:v>P4-BULL-WACC</x:v>
      </x:c>
      <x:c r="B59" s="89" t="str">
        <x:v>Bull WACC exceeds terminal growth</x:v>
      </x:c>
      <x:c r="C59" s="211" t="n">
        <x:f>IF('P4 DCF'!B41&gt;'P4 DCF'!B42,1,0)</x:f>
        <x:v>1</x:v>
      </x:c>
      <x:c r="D59" s="211" t="n">
        <x:v>1</x:v>
      </x:c>
      <x:c r="E59" s="211" t="n">
        <x:f>C59-D59</x:f>
        <x:v>0</x:v>
      </x:c>
      <x:c r="F59" s="211" t="n">
        <x:v>0</x:v>
      </x:c>
      <x:c r="G59" s="211" t="str">
        <x:f>IF(ABS(E59)&lt;=F59,"OK","REVIEW")</x:f>
        <x:v>OK</x:v>
      </x:c>
      <x:c r="H59" s="90" t="str">
        <x:v>Required for a valid Gordon-growth terminal value.</x:v>
      </x:c>
    </x:row>
    <x:row r="60" ht="25" customHeight="1">
      <x:c r="A60" s="88" t="str">
        <x:v>P4-BULL-DCF</x:v>
      </x:c>
      <x:c r="B60" s="89" t="str">
        <x:v>Bull DCF equity bridge</x:v>
      </x:c>
      <x:c r="C60" s="211" t="n">
        <x:f>'P4 DCF'!B56-('P4 DCF'!B47+'P4 DCF'!B51+'P4 DCF'!B52-'P4 DCF'!B55)</x:f>
        <x:v>0</x:v>
      </x:c>
      <x:c r="D60" s="211" t="n">
        <x:v>0</x:v>
      </x:c>
      <x:c r="E60" s="211" t="n">
        <x:f>C60-D60</x:f>
        <x:v>0</x:v>
      </x:c>
      <x:c r="F60" s="211" t="n">
        <x:v>0.01</x:v>
      </x:c>
      <x:c r="G60" s="211" t="str">
        <x:f>IF(ABS(E60)&lt;=F60,"OK","REVIEW")</x:f>
        <x:v>OK</x:v>
      </x:c>
      <x:c r="H60" s="90" t="str">
        <x:v>Enterprise value + associates + net cash - NCI.</x:v>
      </x:c>
    </x:row>
    <x:row r="61" ht="25" customHeight="1">
      <x:c r="A61" s="88" t="str">
        <x:v>P4-BULL-2026-TEU</x:v>
      </x:c>
      <x:c r="B61" s="89" t="str">
        <x:v>Bull 2026 national TEU roll-forward</x:v>
      </x:c>
      <x:c r="C61" s="211" t="n">
        <x:f>'P4 Forecast'!D46-'P4 Forecast'!C46*(1+'P4 Forecast'!D47)</x:f>
        <x:v>0</x:v>
      </x:c>
      <x:c r="D61" s="211" t="n">
        <x:v>0</x:v>
      </x:c>
      <x:c r="E61" s="211" t="n">
        <x:f>C61-D61</x:f>
        <x:v>0</x:v>
      </x:c>
      <x:c r="F61" s="211" t="n">
        <x:v>0.0001</x:v>
      </x:c>
      <x:c r="G61" s="211" t="str">
        <x:f>IF(ABS(E61)&lt;=F61,"OK","REVIEW")</x:f>
        <x:v>OK</x:v>
      </x:c>
      <x:c r="H61" s="90" t="str">
        <x:v>National TEU follows the visible growth assumption.</x:v>
      </x:c>
    </x:row>
    <x:row r="62" ht="25" customHeight="1">
      <x:c r="A62" s="88" t="str">
        <x:v>P4-BULL-2026-SHARE</x:v>
      </x:c>
      <x:c r="B62" s="89" t="str">
        <x:v>Bull 2026 throughput identity</x:v>
      </x:c>
      <x:c r="C62" s="211" t="n">
        <x:f>'P4 Forecast'!D48-'P4 Forecast'!D46*'P4 Forecast'!D50</x:f>
        <x:v>0</x:v>
      </x:c>
      <x:c r="D62" s="211" t="n">
        <x:v>0</x:v>
      </x:c>
      <x:c r="E62" s="211" t="n">
        <x:f>C62-D62</x:f>
        <x:v>0</x:v>
      </x:c>
      <x:c r="F62" s="211" t="n">
        <x:v>0.0001</x:v>
      </x:c>
      <x:c r="G62" s="211" t="str">
        <x:f>IF(ABS(E62)&lt;=F62,"OK","REVIEW")</x:f>
        <x:v>OK</x:v>
      </x:c>
      <x:c r="H62" s="90" t="str">
        <x:v>GMD throughput = national TEU × share.</x:v>
      </x:c>
    </x:row>
    <x:row r="63" ht="25" customHeight="1">
      <x:c r="A63" s="88" t="str">
        <x:v>P4-BULL-2026-PORT</x:v>
      </x:c>
      <x:c r="B63" s="89" t="str">
        <x:v>Bull 2026 port-revenue identity</x:v>
      </x:c>
      <x:c r="C63" s="211" t="n">
        <x:f>'P4 Forecast'!D53-'P4 Forecast'!D48*'P4 Forecast'!D51</x:f>
        <x:v>0</x:v>
      </x:c>
      <x:c r="D63" s="211" t="n">
        <x:v>0</x:v>
      </x:c>
      <x:c r="E63" s="211" t="n">
        <x:f>C63-D63</x:f>
        <x:v>0</x:v>
      </x:c>
      <x:c r="F63" s="211" t="n">
        <x:v>0.01</x:v>
      </x:c>
      <x:c r="G63" s="211" t="str">
        <x:f>IF(ABS(E63)&lt;=F63,"OK","REVIEW")</x:f>
        <x:v>OK</x:v>
      </x:c>
      <x:c r="H63" s="90" t="str">
        <x:v>Port revenue = throughput × unit/mix proxy.</x:v>
      </x:c>
    </x:row>
    <x:row r="64" ht="25" customHeight="1">
      <x:c r="A64" s="88" t="str">
        <x:v>P4-BULL-2026-REV</x:v>
      </x:c>
      <x:c r="B64" s="89" t="str">
        <x:v>Bull 2026 revenue bridge</x:v>
      </x:c>
      <x:c r="C64" s="211" t="n">
        <x:f>'P4 Forecast'!D56-SUM('P4 Forecast'!D53:'P4 Forecast'!D55)</x:f>
        <x:v>0</x:v>
      </x:c>
      <x:c r="D64" s="211" t="n">
        <x:v>0</x:v>
      </x:c>
      <x:c r="E64" s="211" t="n">
        <x:f>C64-D64</x:f>
        <x:v>0</x:v>
      </x:c>
      <x:c r="F64" s="211" t="n">
        <x:v>0.01</x:v>
      </x:c>
      <x:c r="G64" s="211" t="str">
        <x:f>IF(ABS(E64)&lt;=F64,"OK","REVIEW")</x:f>
        <x:v>OK</x:v>
      </x:c>
      <x:c r="H64" s="90" t="str">
        <x:v>Port + logistics + other = consolidated revenue.</x:v>
      </x:c>
    </x:row>
    <x:row r="65" ht="25" customHeight="1">
      <x:c r="A65" s="88" t="str">
        <x:v>P4-BULL-2026-ASSOC</x:v>
      </x:c>
      <x:c r="B65" s="89" t="str">
        <x:v>Bull 2026 associate bridge</x:v>
      </x:c>
      <x:c r="C65" s="211" t="n">
        <x:f>'P4 Forecast'!D66-SUM('P4 Forecast'!D62:'P4 Forecast'!D65)</x:f>
        <x:v>0</x:v>
      </x:c>
      <x:c r="D65" s="211" t="n">
        <x:v>0</x:v>
      </x:c>
      <x:c r="E65" s="211" t="n">
        <x:f>C65-D65</x:f>
        <x:v>0</x:v>
      </x:c>
      <x:c r="F65" s="211" t="n">
        <x:v>0.01</x:v>
      </x:c>
      <x:c r="G65" s="211" t="str">
        <x:f>IF(ABS(E65)&lt;=F65,"OK","REVIEW")</x:f>
        <x:v>OK</x:v>
      </x:c>
      <x:c r="H65" s="90" t="str">
        <x:v>Named associates + residual = total associates.</x:v>
      </x:c>
    </x:row>
    <x:row r="66" ht="25" customHeight="1">
      <x:c r="A66" s="88" t="str">
        <x:v>P4-BULL-2026-PBT</x:v>
      </x:c>
      <x:c r="B66" s="89" t="str">
        <x:v>Bull 2026 PBT bridge</x:v>
      </x:c>
      <x:c r="C66" s="211" t="n">
        <x:f>'P4 Forecast'!D68-('P4 Forecast'!D59+'P4 Forecast'!D60-'P4 Forecast'!D61+'P4 Forecast'!D66+'P4 Forecast'!D67)</x:f>
        <x:v>0</x:v>
      </x:c>
      <x:c r="D66" s="211" t="n">
        <x:v>0</x:v>
      </x:c>
      <x:c r="E66" s="211" t="n">
        <x:f>C66-D66</x:f>
        <x:v>0</x:v>
      </x:c>
      <x:c r="F66" s="211" t="n">
        <x:v>0.01</x:v>
      </x:c>
      <x:c r="G66" s="211" t="str">
        <x:f>IF(ABS(E66)&lt;=F66,"OK","REVIEW")</x:f>
        <x:v>OK</x:v>
      </x:c>
      <x:c r="H66" s="90" t="str">
        <x:v>EBIT + net finance + associates + other.</x:v>
      </x:c>
    </x:row>
    <x:row r="67" ht="25" customHeight="1">
      <x:c r="A67" s="88" t="str">
        <x:v>P4-BULL-2026-PAT</x:v>
      </x:c>
      <x:c r="B67" s="89" t="str">
        <x:v>Bull 2026 PAT attribution</x:v>
      </x:c>
      <x:c r="C67" s="211" t="n">
        <x:f>'P4 Forecast'!D71-SUM('P4 Forecast'!D73:'P4 Forecast'!D74)</x:f>
        <x:v>0</x:v>
      </x:c>
      <x:c r="D67" s="211" t="n">
        <x:v>0</x:v>
      </x:c>
      <x:c r="E67" s="211" t="n">
        <x:f>C67-D67</x:f>
        <x:v>0</x:v>
      </x:c>
      <x:c r="F67" s="211" t="n">
        <x:v>0.01</x:v>
      </x:c>
      <x:c r="G67" s="211" t="str">
        <x:f>IF(ABS(E67)&lt;=F67,"OK","REVIEW")</x:f>
        <x:v>OK</x:v>
      </x:c>
      <x:c r="H67" s="90" t="str">
        <x:v>Parent PAT + NCI PAT = consolidated PAT.</x:v>
      </x:c>
    </x:row>
    <x:row r="68" ht="25" customHeight="1">
      <x:c r="A68" s="88" t="str">
        <x:v>P4-BULL-2026-FCFF</x:v>
      </x:c>
      <x:c r="B68" s="89" t="str">
        <x:v>Bull 2026 FCFF bridge</x:v>
      </x:c>
      <x:c r="C68" s="211" t="n">
        <x:f>'P4 Forecast'!D80-('P4 Forecast'!D59*(1-'P4 Forecast'!D79)+'P4 Forecast'!D76-'P4 Forecast'!D77-'P4 Forecast'!D78)</x:f>
        <x:v>0</x:v>
      </x:c>
      <x:c r="D68" s="211" t="n">
        <x:v>0</x:v>
      </x:c>
      <x:c r="E68" s="211" t="n">
        <x:f>C68-D68</x:f>
        <x:v>0</x:v>
      </x:c>
      <x:c r="F68" s="211" t="n">
        <x:v>0.01</x:v>
      </x:c>
      <x:c r="G68" s="211" t="str">
        <x:f>IF(ABS(E68)&lt;=F68,"OK","REVIEW")</x:f>
        <x:v>OK</x:v>
      </x:c>
      <x:c r="H68" s="90" t="str">
        <x:v>After-tax EBIT + D&amp;A - capex - NWC.</x:v>
      </x:c>
    </x:row>
    <x:row r="69" ht="25" customHeight="1">
      <x:c r="A69" s="88" t="str">
        <x:v>P4-BULL-2027-TEU</x:v>
      </x:c>
      <x:c r="B69" s="89" t="str">
        <x:v>Bull 2027 national TEU roll-forward</x:v>
      </x:c>
      <x:c r="C69" s="211" t="n">
        <x:f>'P4 Forecast'!E46-'P4 Forecast'!D46*(1+'P4 Forecast'!E47)</x:f>
        <x:v>0</x:v>
      </x:c>
      <x:c r="D69" s="211" t="n">
        <x:v>0</x:v>
      </x:c>
      <x:c r="E69" s="211" t="n">
        <x:f>C69-D69</x:f>
        <x:v>0</x:v>
      </x:c>
      <x:c r="F69" s="211" t="n">
        <x:v>0.0001</x:v>
      </x:c>
      <x:c r="G69" s="211" t="str">
        <x:f>IF(ABS(E69)&lt;=F69,"OK","REVIEW")</x:f>
        <x:v>OK</x:v>
      </x:c>
      <x:c r="H69" s="90" t="str">
        <x:v>National TEU follows the visible growth assumption.</x:v>
      </x:c>
    </x:row>
    <x:row r="70" ht="25" customHeight="1">
      <x:c r="A70" s="88" t="str">
        <x:v>P4-BULL-2027-SHARE</x:v>
      </x:c>
      <x:c r="B70" s="89" t="str">
        <x:v>Bull 2027 throughput identity</x:v>
      </x:c>
      <x:c r="C70" s="211" t="n">
        <x:f>'P4 Forecast'!E48-'P4 Forecast'!E46*'P4 Forecast'!E50</x:f>
        <x:v>0</x:v>
      </x:c>
      <x:c r="D70" s="211" t="n">
        <x:v>0</x:v>
      </x:c>
      <x:c r="E70" s="211" t="n">
        <x:f>C70-D70</x:f>
        <x:v>0</x:v>
      </x:c>
      <x:c r="F70" s="211" t="n">
        <x:v>0.0001</x:v>
      </x:c>
      <x:c r="G70" s="211" t="str">
        <x:f>IF(ABS(E70)&lt;=F70,"OK","REVIEW")</x:f>
        <x:v>OK</x:v>
      </x:c>
      <x:c r="H70" s="90" t="str">
        <x:v>GMD throughput = national TEU × share.</x:v>
      </x:c>
    </x:row>
    <x:row r="71" ht="25" customHeight="1">
      <x:c r="A71" s="88" t="str">
        <x:v>P4-BULL-2027-PORT</x:v>
      </x:c>
      <x:c r="B71" s="89" t="str">
        <x:v>Bull 2027 port-revenue identity</x:v>
      </x:c>
      <x:c r="C71" s="211" t="n">
        <x:f>'P4 Forecast'!E53-'P4 Forecast'!E48*'P4 Forecast'!E51</x:f>
        <x:v>0</x:v>
      </x:c>
      <x:c r="D71" s="211" t="n">
        <x:v>0</x:v>
      </x:c>
      <x:c r="E71" s="211" t="n">
        <x:f>C71-D71</x:f>
        <x:v>0</x:v>
      </x:c>
      <x:c r="F71" s="211" t="n">
        <x:v>0.01</x:v>
      </x:c>
      <x:c r="G71" s="211" t="str">
        <x:f>IF(ABS(E71)&lt;=F71,"OK","REVIEW")</x:f>
        <x:v>OK</x:v>
      </x:c>
      <x:c r="H71" s="90" t="str">
        <x:v>Port revenue = throughput × unit/mix proxy.</x:v>
      </x:c>
    </x:row>
    <x:row r="72" ht="25" customHeight="1">
      <x:c r="A72" s="88" t="str">
        <x:v>P4-BULL-2027-REV</x:v>
      </x:c>
      <x:c r="B72" s="89" t="str">
        <x:v>Bull 2027 revenue bridge</x:v>
      </x:c>
      <x:c r="C72" s="211" t="n">
        <x:f>'P4 Forecast'!E56-SUM('P4 Forecast'!E53:'P4 Forecast'!E55)</x:f>
        <x:v>0</x:v>
      </x:c>
      <x:c r="D72" s="211" t="n">
        <x:v>0</x:v>
      </x:c>
      <x:c r="E72" s="211" t="n">
        <x:f>C72-D72</x:f>
        <x:v>0</x:v>
      </x:c>
      <x:c r="F72" s="211" t="n">
        <x:v>0.01</x:v>
      </x:c>
      <x:c r="G72" s="211" t="str">
        <x:f>IF(ABS(E72)&lt;=F72,"OK","REVIEW")</x:f>
        <x:v>OK</x:v>
      </x:c>
      <x:c r="H72" s="90" t="str">
        <x:v>Port + logistics + other = consolidated revenue.</x:v>
      </x:c>
    </x:row>
    <x:row r="73" ht="25" customHeight="1">
      <x:c r="A73" s="88" t="str">
        <x:v>P4-BULL-2027-ASSOC</x:v>
      </x:c>
      <x:c r="B73" s="89" t="str">
        <x:v>Bull 2027 associate bridge</x:v>
      </x:c>
      <x:c r="C73" s="211" t="n">
        <x:f>'P4 Forecast'!E66-SUM('P4 Forecast'!E62:'P4 Forecast'!E65)</x:f>
        <x:v>0</x:v>
      </x:c>
      <x:c r="D73" s="211" t="n">
        <x:v>0</x:v>
      </x:c>
      <x:c r="E73" s="211" t="n">
        <x:f>C73-D73</x:f>
        <x:v>0</x:v>
      </x:c>
      <x:c r="F73" s="211" t="n">
        <x:v>0.01</x:v>
      </x:c>
      <x:c r="G73" s="211" t="str">
        <x:f>IF(ABS(E73)&lt;=F73,"OK","REVIEW")</x:f>
        <x:v>OK</x:v>
      </x:c>
      <x:c r="H73" s="90" t="str">
        <x:v>Named associates + residual = total associates.</x:v>
      </x:c>
    </x:row>
    <x:row r="74" ht="25" customHeight="1">
      <x:c r="A74" s="88" t="str">
        <x:v>P4-BULL-2027-PBT</x:v>
      </x:c>
      <x:c r="B74" s="89" t="str">
        <x:v>Bull 2027 PBT bridge</x:v>
      </x:c>
      <x:c r="C74" s="211" t="n">
        <x:f>'P4 Forecast'!E68-('P4 Forecast'!E59+'P4 Forecast'!E60-'P4 Forecast'!E61+'P4 Forecast'!E66+'P4 Forecast'!E67)</x:f>
        <x:v>0</x:v>
      </x:c>
      <x:c r="D74" s="211" t="n">
        <x:v>0</x:v>
      </x:c>
      <x:c r="E74" s="211" t="n">
        <x:f>C74-D74</x:f>
        <x:v>0</x:v>
      </x:c>
      <x:c r="F74" s="211" t="n">
        <x:v>0.01</x:v>
      </x:c>
      <x:c r="G74" s="211" t="str">
        <x:f>IF(ABS(E74)&lt;=F74,"OK","REVIEW")</x:f>
        <x:v>OK</x:v>
      </x:c>
      <x:c r="H74" s="90" t="str">
        <x:v>EBIT + net finance + associates + other.</x:v>
      </x:c>
    </x:row>
    <x:row r="75" ht="25" customHeight="1">
      <x:c r="A75" s="88" t="str">
        <x:v>P4-BULL-2027-PAT</x:v>
      </x:c>
      <x:c r="B75" s="89" t="str">
        <x:v>Bull 2027 PAT attribution</x:v>
      </x:c>
      <x:c r="C75" s="211" t="n">
        <x:f>'P4 Forecast'!E71-SUM('P4 Forecast'!E73:'P4 Forecast'!E74)</x:f>
        <x:v>0</x:v>
      </x:c>
      <x:c r="D75" s="211" t="n">
        <x:v>0</x:v>
      </x:c>
      <x:c r="E75" s="211" t="n">
        <x:f>C75-D75</x:f>
        <x:v>0</x:v>
      </x:c>
      <x:c r="F75" s="211" t="n">
        <x:v>0.01</x:v>
      </x:c>
      <x:c r="G75" s="211" t="str">
        <x:f>IF(ABS(E75)&lt;=F75,"OK","REVIEW")</x:f>
        <x:v>OK</x:v>
      </x:c>
      <x:c r="H75" s="90" t="str">
        <x:v>Parent PAT + NCI PAT = consolidated PAT.</x:v>
      </x:c>
    </x:row>
    <x:row r="76" ht="25" customHeight="1">
      <x:c r="A76" s="88" t="str">
        <x:v>P4-BULL-2027-FCFF</x:v>
      </x:c>
      <x:c r="B76" s="89" t="str">
        <x:v>Bull 2027 FCFF bridge</x:v>
      </x:c>
      <x:c r="C76" s="211" t="n">
        <x:f>'P4 Forecast'!E80-('P4 Forecast'!E59*(1-'P4 Forecast'!E79)+'P4 Forecast'!E76-'P4 Forecast'!E77-'P4 Forecast'!E78)</x:f>
        <x:v>0</x:v>
      </x:c>
      <x:c r="D76" s="211" t="n">
        <x:v>0</x:v>
      </x:c>
      <x:c r="E76" s="211" t="n">
        <x:f>C76-D76</x:f>
        <x:v>0</x:v>
      </x:c>
      <x:c r="F76" s="211" t="n">
        <x:v>0.01</x:v>
      </x:c>
      <x:c r="G76" s="211" t="str">
        <x:f>IF(ABS(E76)&lt;=F76,"OK","REVIEW")</x:f>
        <x:v>OK</x:v>
      </x:c>
      <x:c r="H76" s="90" t="str">
        <x:v>After-tax EBIT + D&amp;A - capex - NWC.</x:v>
      </x:c>
    </x:row>
    <x:row r="77" ht="25" customHeight="1">
      <x:c r="A77" s="88" t="str">
        <x:v>P4-BULL-2028-TEU</x:v>
      </x:c>
      <x:c r="B77" s="89" t="str">
        <x:v>Bull 2028 national TEU roll-forward</x:v>
      </x:c>
      <x:c r="C77" s="211" t="n">
        <x:f>'P4 Forecast'!F46-'P4 Forecast'!E46*(1+'P4 Forecast'!F47)</x:f>
        <x:v>0</x:v>
      </x:c>
      <x:c r="D77" s="211" t="n">
        <x:v>0</x:v>
      </x:c>
      <x:c r="E77" s="211" t="n">
        <x:f>C77-D77</x:f>
        <x:v>0</x:v>
      </x:c>
      <x:c r="F77" s="211" t="n">
        <x:v>0.0001</x:v>
      </x:c>
      <x:c r="G77" s="211" t="str">
        <x:f>IF(ABS(E77)&lt;=F77,"OK","REVIEW")</x:f>
        <x:v>OK</x:v>
      </x:c>
      <x:c r="H77" s="90" t="str">
        <x:v>National TEU follows the visible growth assumption.</x:v>
      </x:c>
    </x:row>
    <x:row r="78" ht="25" customHeight="1">
      <x:c r="A78" s="88" t="str">
        <x:v>P4-BULL-2028-SHARE</x:v>
      </x:c>
      <x:c r="B78" s="89" t="str">
        <x:v>Bull 2028 throughput identity</x:v>
      </x:c>
      <x:c r="C78" s="211" t="n">
        <x:f>'P4 Forecast'!F48-'P4 Forecast'!F46*'P4 Forecast'!F50</x:f>
        <x:v>0</x:v>
      </x:c>
      <x:c r="D78" s="211" t="n">
        <x:v>0</x:v>
      </x:c>
      <x:c r="E78" s="211" t="n">
        <x:f>C78-D78</x:f>
        <x:v>0</x:v>
      </x:c>
      <x:c r="F78" s="211" t="n">
        <x:v>0.0001</x:v>
      </x:c>
      <x:c r="G78" s="211" t="str">
        <x:f>IF(ABS(E78)&lt;=F78,"OK","REVIEW")</x:f>
        <x:v>OK</x:v>
      </x:c>
      <x:c r="H78" s="90" t="str">
        <x:v>GMD throughput = national TEU × share.</x:v>
      </x:c>
    </x:row>
    <x:row r="79" ht="25" customHeight="1">
      <x:c r="A79" s="88" t="str">
        <x:v>P4-BULL-2028-PORT</x:v>
      </x:c>
      <x:c r="B79" s="89" t="str">
        <x:v>Bull 2028 port-revenue identity</x:v>
      </x:c>
      <x:c r="C79" s="211" t="n">
        <x:f>'P4 Forecast'!F53-'P4 Forecast'!F48*'P4 Forecast'!F51</x:f>
        <x:v>0</x:v>
      </x:c>
      <x:c r="D79" s="211" t="n">
        <x:v>0</x:v>
      </x:c>
      <x:c r="E79" s="211" t="n">
        <x:f>C79-D79</x:f>
        <x:v>0</x:v>
      </x:c>
      <x:c r="F79" s="211" t="n">
        <x:v>0.01</x:v>
      </x:c>
      <x:c r="G79" s="211" t="str">
        <x:f>IF(ABS(E79)&lt;=F79,"OK","REVIEW")</x:f>
        <x:v>OK</x:v>
      </x:c>
      <x:c r="H79" s="90" t="str">
        <x:v>Port revenue = throughput × unit/mix proxy.</x:v>
      </x:c>
    </x:row>
    <x:row r="80" ht="25" customHeight="1">
      <x:c r="A80" s="88" t="str">
        <x:v>P4-BULL-2028-REV</x:v>
      </x:c>
      <x:c r="B80" s="89" t="str">
        <x:v>Bull 2028 revenue bridge</x:v>
      </x:c>
      <x:c r="C80" s="211" t="n">
        <x:f>'P4 Forecast'!F56-SUM('P4 Forecast'!F53:'P4 Forecast'!F55)</x:f>
        <x:v>0</x:v>
      </x:c>
      <x:c r="D80" s="211" t="n">
        <x:v>0</x:v>
      </x:c>
      <x:c r="E80" s="211" t="n">
        <x:f>C80-D80</x:f>
        <x:v>0</x:v>
      </x:c>
      <x:c r="F80" s="211" t="n">
        <x:v>0.01</x:v>
      </x:c>
      <x:c r="G80" s="211" t="str">
        <x:f>IF(ABS(E80)&lt;=F80,"OK","REVIEW")</x:f>
        <x:v>OK</x:v>
      </x:c>
      <x:c r="H80" s="90" t="str">
        <x:v>Port + logistics + other = consolidated revenue.</x:v>
      </x:c>
    </x:row>
    <x:row r="81" ht="25" customHeight="1">
      <x:c r="A81" s="88" t="str">
        <x:v>P4-BULL-2028-ASSOC</x:v>
      </x:c>
      <x:c r="B81" s="89" t="str">
        <x:v>Bull 2028 associate bridge</x:v>
      </x:c>
      <x:c r="C81" s="211" t="n">
        <x:f>'P4 Forecast'!F66-SUM('P4 Forecast'!F62:'P4 Forecast'!F65)</x:f>
        <x:v>0</x:v>
      </x:c>
      <x:c r="D81" s="211" t="n">
        <x:v>0</x:v>
      </x:c>
      <x:c r="E81" s="211" t="n">
        <x:f>C81-D81</x:f>
        <x:v>0</x:v>
      </x:c>
      <x:c r="F81" s="211" t="n">
        <x:v>0.01</x:v>
      </x:c>
      <x:c r="G81" s="211" t="str">
        <x:f>IF(ABS(E81)&lt;=F81,"OK","REVIEW")</x:f>
        <x:v>OK</x:v>
      </x:c>
      <x:c r="H81" s="90" t="str">
        <x:v>Named associates + residual = total associates.</x:v>
      </x:c>
    </x:row>
    <x:row r="82" ht="25" customHeight="1">
      <x:c r="A82" s="88" t="str">
        <x:v>P4-BULL-2028-PBT</x:v>
      </x:c>
      <x:c r="B82" s="89" t="str">
        <x:v>Bull 2028 PBT bridge</x:v>
      </x:c>
      <x:c r="C82" s="211" t="n">
        <x:f>'P4 Forecast'!F68-('P4 Forecast'!F59+'P4 Forecast'!F60-'P4 Forecast'!F61+'P4 Forecast'!F66+'P4 Forecast'!F67)</x:f>
        <x:v>0</x:v>
      </x:c>
      <x:c r="D82" s="211" t="n">
        <x:v>0</x:v>
      </x:c>
      <x:c r="E82" s="211" t="n">
        <x:f>C82-D82</x:f>
        <x:v>0</x:v>
      </x:c>
      <x:c r="F82" s="211" t="n">
        <x:v>0.01</x:v>
      </x:c>
      <x:c r="G82" s="211" t="str">
        <x:f>IF(ABS(E82)&lt;=F82,"OK","REVIEW")</x:f>
        <x:v>OK</x:v>
      </x:c>
      <x:c r="H82" s="90" t="str">
        <x:v>EBIT + net finance + associates + other.</x:v>
      </x:c>
    </x:row>
    <x:row r="83" ht="25" customHeight="1">
      <x:c r="A83" s="88" t="str">
        <x:v>P4-BULL-2028-PAT</x:v>
      </x:c>
      <x:c r="B83" s="89" t="str">
        <x:v>Bull 2028 PAT attribution</x:v>
      </x:c>
      <x:c r="C83" s="211" t="n">
        <x:f>'P4 Forecast'!F71-SUM('P4 Forecast'!F73:'P4 Forecast'!F74)</x:f>
        <x:v>0</x:v>
      </x:c>
      <x:c r="D83" s="211" t="n">
        <x:v>0</x:v>
      </x:c>
      <x:c r="E83" s="211" t="n">
        <x:f>C83-D83</x:f>
        <x:v>0</x:v>
      </x:c>
      <x:c r="F83" s="211" t="n">
        <x:v>0.01</x:v>
      </x:c>
      <x:c r="G83" s="211" t="str">
        <x:f>IF(ABS(E83)&lt;=F83,"OK","REVIEW")</x:f>
        <x:v>OK</x:v>
      </x:c>
      <x:c r="H83" s="90" t="str">
        <x:v>Parent PAT + NCI PAT = consolidated PAT.</x:v>
      </x:c>
    </x:row>
    <x:row r="84" ht="25" customHeight="1">
      <x:c r="A84" s="88" t="str">
        <x:v>P4-BULL-2028-FCFF</x:v>
      </x:c>
      <x:c r="B84" s="89" t="str">
        <x:v>Bull 2028 FCFF bridge</x:v>
      </x:c>
      <x:c r="C84" s="211" t="n">
        <x:f>'P4 Forecast'!F80-('P4 Forecast'!F59*(1-'P4 Forecast'!F79)+'P4 Forecast'!F76-'P4 Forecast'!F77-'P4 Forecast'!F78)</x:f>
        <x:v>0</x:v>
      </x:c>
      <x:c r="D84" s="211" t="n">
        <x:v>0</x:v>
      </x:c>
      <x:c r="E84" s="211" t="n">
        <x:f>C84-D84</x:f>
        <x:v>0</x:v>
      </x:c>
      <x:c r="F84" s="211" t="n">
        <x:v>0.01</x:v>
      </x:c>
      <x:c r="G84" s="211" t="str">
        <x:f>IF(ABS(E84)&lt;=F84,"OK","REVIEW")</x:f>
        <x:v>OK</x:v>
      </x:c>
      <x:c r="H84" s="90" t="str">
        <x:v>After-tax EBIT + D&amp;A - capex - NWC.</x:v>
      </x:c>
    </x:row>
    <x:row r="85" ht="25" customHeight="1">
      <x:c r="A85" s="88" t="str">
        <x:v>P4-BULL-2029-TEU</x:v>
      </x:c>
      <x:c r="B85" s="89" t="str">
        <x:v>Bull 2029 national TEU roll-forward</x:v>
      </x:c>
      <x:c r="C85" s="211" t="n">
        <x:f>'P4 Forecast'!G46-'P4 Forecast'!F46*(1+'P4 Forecast'!G47)</x:f>
        <x:v>0</x:v>
      </x:c>
      <x:c r="D85" s="211" t="n">
        <x:v>0</x:v>
      </x:c>
      <x:c r="E85" s="211" t="n">
        <x:f>C85-D85</x:f>
        <x:v>0</x:v>
      </x:c>
      <x:c r="F85" s="211" t="n">
        <x:v>0.0001</x:v>
      </x:c>
      <x:c r="G85" s="211" t="str">
        <x:f>IF(ABS(E85)&lt;=F85,"OK","REVIEW")</x:f>
        <x:v>OK</x:v>
      </x:c>
      <x:c r="H85" s="90" t="str">
        <x:v>National TEU follows the visible growth assumption.</x:v>
      </x:c>
    </x:row>
    <x:row r="86" ht="25" customHeight="1">
      <x:c r="A86" s="88" t="str">
        <x:v>P4-BULL-2029-SHARE</x:v>
      </x:c>
      <x:c r="B86" s="89" t="str">
        <x:v>Bull 2029 throughput identity</x:v>
      </x:c>
      <x:c r="C86" s="211" t="n">
        <x:f>'P4 Forecast'!G48-'P4 Forecast'!G46*'P4 Forecast'!G50</x:f>
        <x:v>0</x:v>
      </x:c>
      <x:c r="D86" s="211" t="n">
        <x:v>0</x:v>
      </x:c>
      <x:c r="E86" s="211" t="n">
        <x:f>C86-D86</x:f>
        <x:v>0</x:v>
      </x:c>
      <x:c r="F86" s="211" t="n">
        <x:v>0.0001</x:v>
      </x:c>
      <x:c r="G86" s="211" t="str">
        <x:f>IF(ABS(E86)&lt;=F86,"OK","REVIEW")</x:f>
        <x:v>OK</x:v>
      </x:c>
      <x:c r="H86" s="90" t="str">
        <x:v>GMD throughput = national TEU × share.</x:v>
      </x:c>
    </x:row>
    <x:row r="87" ht="25" customHeight="1">
      <x:c r="A87" s="88" t="str">
        <x:v>P4-BULL-2029-PORT</x:v>
      </x:c>
      <x:c r="B87" s="89" t="str">
        <x:v>Bull 2029 port-revenue identity</x:v>
      </x:c>
      <x:c r="C87" s="211" t="n">
        <x:f>'P4 Forecast'!G53-'P4 Forecast'!G48*'P4 Forecast'!G51</x:f>
        <x:v>0</x:v>
      </x:c>
      <x:c r="D87" s="211" t="n">
        <x:v>0</x:v>
      </x:c>
      <x:c r="E87" s="211" t="n">
        <x:f>C87-D87</x:f>
        <x:v>0</x:v>
      </x:c>
      <x:c r="F87" s="211" t="n">
        <x:v>0.01</x:v>
      </x:c>
      <x:c r="G87" s="211" t="str">
        <x:f>IF(ABS(E87)&lt;=F87,"OK","REVIEW")</x:f>
        <x:v>OK</x:v>
      </x:c>
      <x:c r="H87" s="90" t="str">
        <x:v>Port revenue = throughput × unit/mix proxy.</x:v>
      </x:c>
    </x:row>
    <x:row r="88" ht="25" customHeight="1">
      <x:c r="A88" s="88" t="str">
        <x:v>P4-BULL-2029-REV</x:v>
      </x:c>
      <x:c r="B88" s="89" t="str">
        <x:v>Bull 2029 revenue bridge</x:v>
      </x:c>
      <x:c r="C88" s="211" t="n">
        <x:f>'P4 Forecast'!G56-SUM('P4 Forecast'!G53:'P4 Forecast'!G55)</x:f>
        <x:v>0</x:v>
      </x:c>
      <x:c r="D88" s="211" t="n">
        <x:v>0</x:v>
      </x:c>
      <x:c r="E88" s="211" t="n">
        <x:f>C88-D88</x:f>
        <x:v>0</x:v>
      </x:c>
      <x:c r="F88" s="211" t="n">
        <x:v>0.01</x:v>
      </x:c>
      <x:c r="G88" s="211" t="str">
        <x:f>IF(ABS(E88)&lt;=F88,"OK","REVIEW")</x:f>
        <x:v>OK</x:v>
      </x:c>
      <x:c r="H88" s="90" t="str">
        <x:v>Port + logistics + other = consolidated revenue.</x:v>
      </x:c>
    </x:row>
    <x:row r="89" ht="25" customHeight="1">
      <x:c r="A89" s="88" t="str">
        <x:v>P4-BULL-2029-ASSOC</x:v>
      </x:c>
      <x:c r="B89" s="89" t="str">
        <x:v>Bull 2029 associate bridge</x:v>
      </x:c>
      <x:c r="C89" s="211" t="n">
        <x:f>'P4 Forecast'!G66-SUM('P4 Forecast'!G62:'P4 Forecast'!G65)</x:f>
        <x:v>0</x:v>
      </x:c>
      <x:c r="D89" s="211" t="n">
        <x:v>0</x:v>
      </x:c>
      <x:c r="E89" s="211" t="n">
        <x:f>C89-D89</x:f>
        <x:v>0</x:v>
      </x:c>
      <x:c r="F89" s="211" t="n">
        <x:v>0.01</x:v>
      </x:c>
      <x:c r="G89" s="211" t="str">
        <x:f>IF(ABS(E89)&lt;=F89,"OK","REVIEW")</x:f>
        <x:v>OK</x:v>
      </x:c>
      <x:c r="H89" s="90" t="str">
        <x:v>Named associates + residual = total associates.</x:v>
      </x:c>
    </x:row>
    <x:row r="90" ht="25" customHeight="1">
      <x:c r="A90" s="88" t="str">
        <x:v>P4-BULL-2029-PBT</x:v>
      </x:c>
      <x:c r="B90" s="89" t="str">
        <x:v>Bull 2029 PBT bridge</x:v>
      </x:c>
      <x:c r="C90" s="211" t="n">
        <x:f>'P4 Forecast'!G68-('P4 Forecast'!G59+'P4 Forecast'!G60-'P4 Forecast'!G61+'P4 Forecast'!G66+'P4 Forecast'!G67)</x:f>
        <x:v>0</x:v>
      </x:c>
      <x:c r="D90" s="211" t="n">
        <x:v>0</x:v>
      </x:c>
      <x:c r="E90" s="211" t="n">
        <x:f>C90-D90</x:f>
        <x:v>0</x:v>
      </x:c>
      <x:c r="F90" s="211" t="n">
        <x:v>0.01</x:v>
      </x:c>
      <x:c r="G90" s="211" t="str">
        <x:f>IF(ABS(E90)&lt;=F90,"OK","REVIEW")</x:f>
        <x:v>OK</x:v>
      </x:c>
      <x:c r="H90" s="90" t="str">
        <x:v>EBIT + net finance + associates + other.</x:v>
      </x:c>
    </x:row>
    <x:row r="91" ht="25" customHeight="1">
      <x:c r="A91" s="88" t="str">
        <x:v>P4-BULL-2029-PAT</x:v>
      </x:c>
      <x:c r="B91" s="89" t="str">
        <x:v>Bull 2029 PAT attribution</x:v>
      </x:c>
      <x:c r="C91" s="211" t="n">
        <x:f>'P4 Forecast'!G71-SUM('P4 Forecast'!G73:'P4 Forecast'!G74)</x:f>
        <x:v>-9.094947017729282e-13</x:v>
      </x:c>
      <x:c r="D91" s="211" t="n">
        <x:v>0</x:v>
      </x:c>
      <x:c r="E91" s="211" t="n">
        <x:f>C91-D91</x:f>
        <x:v>-9.094947017729282e-13</x:v>
      </x:c>
      <x:c r="F91" s="211" t="n">
        <x:v>0.01</x:v>
      </x:c>
      <x:c r="G91" s="211" t="str">
        <x:f>IF(ABS(E91)&lt;=F91,"OK","REVIEW")</x:f>
        <x:v>OK</x:v>
      </x:c>
      <x:c r="H91" s="90" t="str">
        <x:v>Parent PAT + NCI PAT = consolidated PAT.</x:v>
      </x:c>
    </x:row>
    <x:row r="92" ht="25" customHeight="1">
      <x:c r="A92" s="88" t="str">
        <x:v>P4-BULL-2029-FCFF</x:v>
      </x:c>
      <x:c r="B92" s="89" t="str">
        <x:v>Bull 2029 FCFF bridge</x:v>
      </x:c>
      <x:c r="C92" s="211" t="n">
        <x:f>'P4 Forecast'!G80-('P4 Forecast'!G59*(1-'P4 Forecast'!G79)+'P4 Forecast'!G76-'P4 Forecast'!G77-'P4 Forecast'!G78)</x:f>
        <x:v>0</x:v>
      </x:c>
      <x:c r="D92" s="211" t="n">
        <x:v>0</x:v>
      </x:c>
      <x:c r="E92" s="211" t="n">
        <x:f>C92-D92</x:f>
        <x:v>0</x:v>
      </x:c>
      <x:c r="F92" s="211" t="n">
        <x:v>0.01</x:v>
      </x:c>
      <x:c r="G92" s="211" t="str">
        <x:f>IF(ABS(E92)&lt;=F92,"OK","REVIEW")</x:f>
        <x:v>OK</x:v>
      </x:c>
      <x:c r="H92" s="90" t="str">
        <x:v>After-tax EBIT + D&amp;A - capex - NWC.</x:v>
      </x:c>
    </x:row>
    <x:row r="93" ht="25" customHeight="1">
      <x:c r="A93" s="88" t="str">
        <x:v>P4-BULL-2030-TEU</x:v>
      </x:c>
      <x:c r="B93" s="89" t="str">
        <x:v>Bull 2030 national TEU roll-forward</x:v>
      </x:c>
      <x:c r="C93" s="211" t="n">
        <x:f>'P4 Forecast'!H46-'P4 Forecast'!G46*(1+'P4 Forecast'!H47)</x:f>
        <x:v>0</x:v>
      </x:c>
      <x:c r="D93" s="211" t="n">
        <x:v>0</x:v>
      </x:c>
      <x:c r="E93" s="211" t="n">
        <x:f>C93-D93</x:f>
        <x:v>0</x:v>
      </x:c>
      <x:c r="F93" s="211" t="n">
        <x:v>0.0001</x:v>
      </x:c>
      <x:c r="G93" s="211" t="str">
        <x:f>IF(ABS(E93)&lt;=F93,"OK","REVIEW")</x:f>
        <x:v>OK</x:v>
      </x:c>
      <x:c r="H93" s="90" t="str">
        <x:v>National TEU follows the visible growth assumption.</x:v>
      </x:c>
    </x:row>
    <x:row r="94" ht="25" customHeight="1">
      <x:c r="A94" s="88" t="str">
        <x:v>P4-BULL-2030-SHARE</x:v>
      </x:c>
      <x:c r="B94" s="89" t="str">
        <x:v>Bull 2030 throughput identity</x:v>
      </x:c>
      <x:c r="C94" s="211" t="n">
        <x:f>'P4 Forecast'!H48-'P4 Forecast'!H46*'P4 Forecast'!H50</x:f>
        <x:v>0</x:v>
      </x:c>
      <x:c r="D94" s="211" t="n">
        <x:v>0</x:v>
      </x:c>
      <x:c r="E94" s="211" t="n">
        <x:f>C94-D94</x:f>
        <x:v>0</x:v>
      </x:c>
      <x:c r="F94" s="211" t="n">
        <x:v>0.0001</x:v>
      </x:c>
      <x:c r="G94" s="211" t="str">
        <x:f>IF(ABS(E94)&lt;=F94,"OK","REVIEW")</x:f>
        <x:v>OK</x:v>
      </x:c>
      <x:c r="H94" s="90" t="str">
        <x:v>GMD throughput = national TEU × share.</x:v>
      </x:c>
    </x:row>
    <x:row r="95" ht="25" customHeight="1">
      <x:c r="A95" s="88" t="str">
        <x:v>P4-BULL-2030-PORT</x:v>
      </x:c>
      <x:c r="B95" s="89" t="str">
        <x:v>Bull 2030 port-revenue identity</x:v>
      </x:c>
      <x:c r="C95" s="211" t="n">
        <x:f>'P4 Forecast'!H53-'P4 Forecast'!H48*'P4 Forecast'!H51</x:f>
        <x:v>0</x:v>
      </x:c>
      <x:c r="D95" s="211" t="n">
        <x:v>0</x:v>
      </x:c>
      <x:c r="E95" s="211" t="n">
        <x:f>C95-D95</x:f>
        <x:v>0</x:v>
      </x:c>
      <x:c r="F95" s="211" t="n">
        <x:v>0.01</x:v>
      </x:c>
      <x:c r="G95" s="211" t="str">
        <x:f>IF(ABS(E95)&lt;=F95,"OK","REVIEW")</x:f>
        <x:v>OK</x:v>
      </x:c>
      <x:c r="H95" s="90" t="str">
        <x:v>Port revenue = throughput × unit/mix proxy.</x:v>
      </x:c>
    </x:row>
    <x:row r="96" ht="25" customHeight="1">
      <x:c r="A96" s="88" t="str">
        <x:v>P4-BULL-2030-REV</x:v>
      </x:c>
      <x:c r="B96" s="89" t="str">
        <x:v>Bull 2030 revenue bridge</x:v>
      </x:c>
      <x:c r="C96" s="211" t="n">
        <x:f>'P4 Forecast'!H56-SUM('P4 Forecast'!H53:'P4 Forecast'!H55)</x:f>
        <x:v>0</x:v>
      </x:c>
      <x:c r="D96" s="211" t="n">
        <x:v>0</x:v>
      </x:c>
      <x:c r="E96" s="211" t="n">
        <x:f>C96-D96</x:f>
        <x:v>0</x:v>
      </x:c>
      <x:c r="F96" s="211" t="n">
        <x:v>0.01</x:v>
      </x:c>
      <x:c r="G96" s="211" t="str">
        <x:f>IF(ABS(E96)&lt;=F96,"OK","REVIEW")</x:f>
        <x:v>OK</x:v>
      </x:c>
      <x:c r="H96" s="90" t="str">
        <x:v>Port + logistics + other = consolidated revenue.</x:v>
      </x:c>
    </x:row>
    <x:row r="97" ht="25" customHeight="1">
      <x:c r="A97" s="88" t="str">
        <x:v>P4-BULL-2030-ASSOC</x:v>
      </x:c>
      <x:c r="B97" s="89" t="str">
        <x:v>Bull 2030 associate bridge</x:v>
      </x:c>
      <x:c r="C97" s="211" t="n">
        <x:f>'P4 Forecast'!H66-SUM('P4 Forecast'!H62:'P4 Forecast'!H65)</x:f>
        <x:v>0</x:v>
      </x:c>
      <x:c r="D97" s="211" t="n">
        <x:v>0</x:v>
      </x:c>
      <x:c r="E97" s="211" t="n">
        <x:f>C97-D97</x:f>
        <x:v>0</x:v>
      </x:c>
      <x:c r="F97" s="211" t="n">
        <x:v>0.01</x:v>
      </x:c>
      <x:c r="G97" s="211" t="str">
        <x:f>IF(ABS(E97)&lt;=F97,"OK","REVIEW")</x:f>
        <x:v>OK</x:v>
      </x:c>
      <x:c r="H97" s="90" t="str">
        <x:v>Named associates + residual = total associates.</x:v>
      </x:c>
    </x:row>
    <x:row r="98" ht="25" customHeight="1">
      <x:c r="A98" s="88" t="str">
        <x:v>P4-BULL-2030-PBT</x:v>
      </x:c>
      <x:c r="B98" s="89" t="str">
        <x:v>Bull 2030 PBT bridge</x:v>
      </x:c>
      <x:c r="C98" s="211" t="n">
        <x:f>'P4 Forecast'!H68-('P4 Forecast'!H59+'P4 Forecast'!H60-'P4 Forecast'!H61+'P4 Forecast'!H66+'P4 Forecast'!H67)</x:f>
        <x:v>0</x:v>
      </x:c>
      <x:c r="D98" s="211" t="n">
        <x:v>0</x:v>
      </x:c>
      <x:c r="E98" s="211" t="n">
        <x:f>C98-D98</x:f>
        <x:v>0</x:v>
      </x:c>
      <x:c r="F98" s="211" t="n">
        <x:v>0.01</x:v>
      </x:c>
      <x:c r="G98" s="211" t="str">
        <x:f>IF(ABS(E98)&lt;=F98,"OK","REVIEW")</x:f>
        <x:v>OK</x:v>
      </x:c>
      <x:c r="H98" s="90" t="str">
        <x:v>EBIT + net finance + associates + other.</x:v>
      </x:c>
    </x:row>
    <x:row r="99" ht="25" customHeight="1">
      <x:c r="A99" s="88" t="str">
        <x:v>P4-BULL-2030-PAT</x:v>
      </x:c>
      <x:c r="B99" s="89" t="str">
        <x:v>Bull 2030 PAT attribution</x:v>
      </x:c>
      <x:c r="C99" s="211" t="n">
        <x:f>'P4 Forecast'!H71-SUM('P4 Forecast'!H73:'P4 Forecast'!H74)</x:f>
        <x:v>0</x:v>
      </x:c>
      <x:c r="D99" s="211" t="n">
        <x:v>0</x:v>
      </x:c>
      <x:c r="E99" s="211" t="n">
        <x:f>C99-D99</x:f>
        <x:v>0</x:v>
      </x:c>
      <x:c r="F99" s="211" t="n">
        <x:v>0.01</x:v>
      </x:c>
      <x:c r="G99" s="211" t="str">
        <x:f>IF(ABS(E99)&lt;=F99,"OK","REVIEW")</x:f>
        <x:v>OK</x:v>
      </x:c>
      <x:c r="H99" s="90" t="str">
        <x:v>Parent PAT + NCI PAT = consolidated PAT.</x:v>
      </x:c>
    </x:row>
    <x:row r="100" ht="25" customHeight="1">
      <x:c r="A100" s="88" t="str">
        <x:v>P4-BULL-2030-FCFF</x:v>
      </x:c>
      <x:c r="B100" s="89" t="str">
        <x:v>Bull 2030 FCFF bridge</x:v>
      </x:c>
      <x:c r="C100" s="211" t="n">
        <x:f>'P4 Forecast'!H80-('P4 Forecast'!H59*(1-'P4 Forecast'!H79)+'P4 Forecast'!H76-'P4 Forecast'!H77-'P4 Forecast'!H78)</x:f>
        <x:v>0</x:v>
      </x:c>
      <x:c r="D100" s="211" t="n">
        <x:v>0</x:v>
      </x:c>
      <x:c r="E100" s="211" t="n">
        <x:f>C100-D100</x:f>
        <x:v>0</x:v>
      </x:c>
      <x:c r="F100" s="211" t="n">
        <x:v>0.01</x:v>
      </x:c>
      <x:c r="G100" s="211" t="str">
        <x:f>IF(ABS(E100)&lt;=F100,"OK","REVIEW")</x:f>
        <x:v>OK</x:v>
      </x:c>
      <x:c r="H100" s="90" t="str">
        <x:v>After-tax EBIT + D&amp;A - capex - NWC.</x:v>
      </x:c>
    </x:row>
    <x:row r="101" ht="25" customHeight="1">
      <x:c r="A101" s="88" t="str">
        <x:v>P4-BEAR-WACC</x:v>
      </x:c>
      <x:c r="B101" s="89" t="str">
        <x:v>Bear WACC exceeds terminal growth</x:v>
      </x:c>
      <x:c r="C101" s="211" t="n">
        <x:f>IF('P4 DCF'!B71&gt;'P4 DCF'!B72,1,0)</x:f>
        <x:v>1</x:v>
      </x:c>
      <x:c r="D101" s="211" t="n">
        <x:v>1</x:v>
      </x:c>
      <x:c r="E101" s="211" t="n">
        <x:f>C101-D101</x:f>
        <x:v>0</x:v>
      </x:c>
      <x:c r="F101" s="211" t="n">
        <x:v>0</x:v>
      </x:c>
      <x:c r="G101" s="211" t="str">
        <x:f>IF(ABS(E101)&lt;=F101,"OK","REVIEW")</x:f>
        <x:v>OK</x:v>
      </x:c>
      <x:c r="H101" s="90" t="str">
        <x:v>Required for a valid Gordon-growth terminal value.</x:v>
      </x:c>
    </x:row>
    <x:row r="102" ht="25" customHeight="1">
      <x:c r="A102" s="88" t="str">
        <x:v>P4-BEAR-DCF</x:v>
      </x:c>
      <x:c r="B102" s="89" t="str">
        <x:v>Bear DCF equity bridge</x:v>
      </x:c>
      <x:c r="C102" s="211" t="n">
        <x:f>'P4 DCF'!B86-('P4 DCF'!B77+'P4 DCF'!B81+'P4 DCF'!B82-'P4 DCF'!B85)</x:f>
        <x:v>0</x:v>
      </x:c>
      <x:c r="D102" s="211" t="n">
        <x:v>0</x:v>
      </x:c>
      <x:c r="E102" s="211" t="n">
        <x:f>C102-D102</x:f>
        <x:v>0</x:v>
      </x:c>
      <x:c r="F102" s="211" t="n">
        <x:v>0.01</x:v>
      </x:c>
      <x:c r="G102" s="211" t="str">
        <x:f>IF(ABS(E102)&lt;=F102,"OK","REVIEW")</x:f>
        <x:v>OK</x:v>
      </x:c>
      <x:c r="H102" s="90" t="str">
        <x:v>Enterprise value + associates + net cash - NCI.</x:v>
      </x:c>
    </x:row>
    <x:row r="103" ht="25" customHeight="1">
      <x:c r="A103" s="88" t="str">
        <x:v>P4-BEAR-2026-TEU</x:v>
      </x:c>
      <x:c r="B103" s="89" t="str">
        <x:v>Bear 2026 national TEU roll-forward</x:v>
      </x:c>
      <x:c r="C103" s="211" t="n">
        <x:f>'P4 Forecast'!D86-'P4 Forecast'!C86*(1+'P4 Forecast'!D87)</x:f>
        <x:v>0</x:v>
      </x:c>
      <x:c r="D103" s="211" t="n">
        <x:v>0</x:v>
      </x:c>
      <x:c r="E103" s="211" t="n">
        <x:f>C103-D103</x:f>
        <x:v>0</x:v>
      </x:c>
      <x:c r="F103" s="211" t="n">
        <x:v>0.0001</x:v>
      </x:c>
      <x:c r="G103" s="211" t="str">
        <x:f>IF(ABS(E103)&lt;=F103,"OK","REVIEW")</x:f>
        <x:v>OK</x:v>
      </x:c>
      <x:c r="H103" s="90" t="str">
        <x:v>National TEU follows the visible growth assumption.</x:v>
      </x:c>
    </x:row>
    <x:row r="104" ht="25" customHeight="1">
      <x:c r="A104" s="88" t="str">
        <x:v>P4-BEAR-2026-SHARE</x:v>
      </x:c>
      <x:c r="B104" s="89" t="str">
        <x:v>Bear 2026 throughput identity</x:v>
      </x:c>
      <x:c r="C104" s="211" t="n">
        <x:f>'P4 Forecast'!D88-'P4 Forecast'!D86*'P4 Forecast'!D90</x:f>
        <x:v>0</x:v>
      </x:c>
      <x:c r="D104" s="211" t="n">
        <x:v>0</x:v>
      </x:c>
      <x:c r="E104" s="211" t="n">
        <x:f>C104-D104</x:f>
        <x:v>0</x:v>
      </x:c>
      <x:c r="F104" s="211" t="n">
        <x:v>0.0001</x:v>
      </x:c>
      <x:c r="G104" s="211" t="str">
        <x:f>IF(ABS(E104)&lt;=F104,"OK","REVIEW")</x:f>
        <x:v>OK</x:v>
      </x:c>
      <x:c r="H104" s="90" t="str">
        <x:v>GMD throughput = national TEU × share.</x:v>
      </x:c>
    </x:row>
    <x:row r="105" ht="25" customHeight="1">
      <x:c r="A105" s="88" t="str">
        <x:v>P4-BEAR-2026-PORT</x:v>
      </x:c>
      <x:c r="B105" s="89" t="str">
        <x:v>Bear 2026 port-revenue identity</x:v>
      </x:c>
      <x:c r="C105" s="211" t="n">
        <x:f>'P4 Forecast'!D93-'P4 Forecast'!D88*'P4 Forecast'!D91</x:f>
        <x:v>0</x:v>
      </x:c>
      <x:c r="D105" s="211" t="n">
        <x:v>0</x:v>
      </x:c>
      <x:c r="E105" s="211" t="n">
        <x:f>C105-D105</x:f>
        <x:v>0</x:v>
      </x:c>
      <x:c r="F105" s="211" t="n">
        <x:v>0.01</x:v>
      </x:c>
      <x:c r="G105" s="211" t="str">
        <x:f>IF(ABS(E105)&lt;=F105,"OK","REVIEW")</x:f>
        <x:v>OK</x:v>
      </x:c>
      <x:c r="H105" s="90" t="str">
        <x:v>Port revenue = throughput × unit/mix proxy.</x:v>
      </x:c>
    </x:row>
    <x:row r="106" ht="25" customHeight="1">
      <x:c r="A106" s="88" t="str">
        <x:v>P4-BEAR-2026-REV</x:v>
      </x:c>
      <x:c r="B106" s="89" t="str">
        <x:v>Bear 2026 revenue bridge</x:v>
      </x:c>
      <x:c r="C106" s="211" t="n">
        <x:f>'P4 Forecast'!D96-SUM('P4 Forecast'!D93:'P4 Forecast'!D95)</x:f>
        <x:v>0</x:v>
      </x:c>
      <x:c r="D106" s="211" t="n">
        <x:v>0</x:v>
      </x:c>
      <x:c r="E106" s="211" t="n">
        <x:f>C106-D106</x:f>
        <x:v>0</x:v>
      </x:c>
      <x:c r="F106" s="211" t="n">
        <x:v>0.01</x:v>
      </x:c>
      <x:c r="G106" s="211" t="str">
        <x:f>IF(ABS(E106)&lt;=F106,"OK","REVIEW")</x:f>
        <x:v>OK</x:v>
      </x:c>
      <x:c r="H106" s="90" t="str">
        <x:v>Port + logistics + other = consolidated revenue.</x:v>
      </x:c>
    </x:row>
    <x:row r="107" ht="25" customHeight="1">
      <x:c r="A107" s="88" t="str">
        <x:v>P4-BEAR-2026-ASSOC</x:v>
      </x:c>
      <x:c r="B107" s="89" t="str">
        <x:v>Bear 2026 associate bridge</x:v>
      </x:c>
      <x:c r="C107" s="211" t="n">
        <x:f>'P4 Forecast'!D106-SUM('P4 Forecast'!D102:'P4 Forecast'!D105)</x:f>
        <x:v>0</x:v>
      </x:c>
      <x:c r="D107" s="211" t="n">
        <x:v>0</x:v>
      </x:c>
      <x:c r="E107" s="211" t="n">
        <x:f>C107-D107</x:f>
        <x:v>0</x:v>
      </x:c>
      <x:c r="F107" s="211" t="n">
        <x:v>0.01</x:v>
      </x:c>
      <x:c r="G107" s="211" t="str">
        <x:f>IF(ABS(E107)&lt;=F107,"OK","REVIEW")</x:f>
        <x:v>OK</x:v>
      </x:c>
      <x:c r="H107" s="90" t="str">
        <x:v>Named associates + residual = total associates.</x:v>
      </x:c>
    </x:row>
    <x:row r="108" ht="25" customHeight="1">
      <x:c r="A108" s="88" t="str">
        <x:v>P4-BEAR-2026-PBT</x:v>
      </x:c>
      <x:c r="B108" s="89" t="str">
        <x:v>Bear 2026 PBT bridge</x:v>
      </x:c>
      <x:c r="C108" s="211" t="n">
        <x:f>'P4 Forecast'!D108-('P4 Forecast'!D99+'P4 Forecast'!D100-'P4 Forecast'!D101+'P4 Forecast'!D106+'P4 Forecast'!D107)</x:f>
        <x:v>0</x:v>
      </x:c>
      <x:c r="D108" s="211" t="n">
        <x:v>0</x:v>
      </x:c>
      <x:c r="E108" s="211" t="n">
        <x:f>C108-D108</x:f>
        <x:v>0</x:v>
      </x:c>
      <x:c r="F108" s="211" t="n">
        <x:v>0.01</x:v>
      </x:c>
      <x:c r="G108" s="211" t="str">
        <x:f>IF(ABS(E108)&lt;=F108,"OK","REVIEW")</x:f>
        <x:v>OK</x:v>
      </x:c>
      <x:c r="H108" s="90" t="str">
        <x:v>EBIT + net finance + associates + other.</x:v>
      </x:c>
    </x:row>
    <x:row r="109" ht="25" customHeight="1">
      <x:c r="A109" s="88" t="str">
        <x:v>P4-BEAR-2026-PAT</x:v>
      </x:c>
      <x:c r="B109" s="89" t="str">
        <x:v>Bear 2026 PAT attribution</x:v>
      </x:c>
      <x:c r="C109" s="211" t="n">
        <x:f>'P4 Forecast'!D111-SUM('P4 Forecast'!D113:'P4 Forecast'!D114)</x:f>
        <x:v>0</x:v>
      </x:c>
      <x:c r="D109" s="211" t="n">
        <x:v>0</x:v>
      </x:c>
      <x:c r="E109" s="211" t="n">
        <x:f>C109-D109</x:f>
        <x:v>0</x:v>
      </x:c>
      <x:c r="F109" s="211" t="n">
        <x:v>0.01</x:v>
      </x:c>
      <x:c r="G109" s="211" t="str">
        <x:f>IF(ABS(E109)&lt;=F109,"OK","REVIEW")</x:f>
        <x:v>OK</x:v>
      </x:c>
      <x:c r="H109" s="90" t="str">
        <x:v>Parent PAT + NCI PAT = consolidated PAT.</x:v>
      </x:c>
    </x:row>
    <x:row r="110" ht="25" customHeight="1">
      <x:c r="A110" s="88" t="str">
        <x:v>P4-BEAR-2026-FCFF</x:v>
      </x:c>
      <x:c r="B110" s="89" t="str">
        <x:v>Bear 2026 FCFF bridge</x:v>
      </x:c>
      <x:c r="C110" s="211" t="n">
        <x:f>'P4 Forecast'!D120-('P4 Forecast'!D99*(1-'P4 Forecast'!D119)+'P4 Forecast'!D116-'P4 Forecast'!D117-'P4 Forecast'!D118)</x:f>
        <x:v>0</x:v>
      </x:c>
      <x:c r="D110" s="211" t="n">
        <x:v>0</x:v>
      </x:c>
      <x:c r="E110" s="211" t="n">
        <x:f>C110-D110</x:f>
        <x:v>0</x:v>
      </x:c>
      <x:c r="F110" s="211" t="n">
        <x:v>0.01</x:v>
      </x:c>
      <x:c r="G110" s="211" t="str">
        <x:f>IF(ABS(E110)&lt;=F110,"OK","REVIEW")</x:f>
        <x:v>OK</x:v>
      </x:c>
      <x:c r="H110" s="90" t="str">
        <x:v>After-tax EBIT + D&amp;A - capex - NWC.</x:v>
      </x:c>
    </x:row>
    <x:row r="111" ht="25" customHeight="1">
      <x:c r="A111" s="88" t="str">
        <x:v>P4-BEAR-2027-TEU</x:v>
      </x:c>
      <x:c r="B111" s="89" t="str">
        <x:v>Bear 2027 national TEU roll-forward</x:v>
      </x:c>
      <x:c r="C111" s="211" t="n">
        <x:f>'P4 Forecast'!E86-'P4 Forecast'!D86*(1+'P4 Forecast'!E87)</x:f>
        <x:v>0</x:v>
      </x:c>
      <x:c r="D111" s="211" t="n">
        <x:v>0</x:v>
      </x:c>
      <x:c r="E111" s="211" t="n">
        <x:f>C111-D111</x:f>
        <x:v>0</x:v>
      </x:c>
      <x:c r="F111" s="211" t="n">
        <x:v>0.0001</x:v>
      </x:c>
      <x:c r="G111" s="211" t="str">
        <x:f>IF(ABS(E111)&lt;=F111,"OK","REVIEW")</x:f>
        <x:v>OK</x:v>
      </x:c>
      <x:c r="H111" s="90" t="str">
        <x:v>National TEU follows the visible growth assumption.</x:v>
      </x:c>
    </x:row>
    <x:row r="112" ht="25" customHeight="1">
      <x:c r="A112" s="88" t="str">
        <x:v>P4-BEAR-2027-SHARE</x:v>
      </x:c>
      <x:c r="B112" s="89" t="str">
        <x:v>Bear 2027 throughput identity</x:v>
      </x:c>
      <x:c r="C112" s="211" t="n">
        <x:f>'P4 Forecast'!E88-'P4 Forecast'!E86*'P4 Forecast'!E90</x:f>
        <x:v>0</x:v>
      </x:c>
      <x:c r="D112" s="211" t="n">
        <x:v>0</x:v>
      </x:c>
      <x:c r="E112" s="211" t="n">
        <x:f>C112-D112</x:f>
        <x:v>0</x:v>
      </x:c>
      <x:c r="F112" s="211" t="n">
        <x:v>0.0001</x:v>
      </x:c>
      <x:c r="G112" s="211" t="str">
        <x:f>IF(ABS(E112)&lt;=F112,"OK","REVIEW")</x:f>
        <x:v>OK</x:v>
      </x:c>
      <x:c r="H112" s="90" t="str">
        <x:v>GMD throughput = national TEU × share.</x:v>
      </x:c>
    </x:row>
    <x:row r="113" ht="25" customHeight="1">
      <x:c r="A113" s="88" t="str">
        <x:v>P4-BEAR-2027-PORT</x:v>
      </x:c>
      <x:c r="B113" s="89" t="str">
        <x:v>Bear 2027 port-revenue identity</x:v>
      </x:c>
      <x:c r="C113" s="211" t="n">
        <x:f>'P4 Forecast'!E93-'P4 Forecast'!E88*'P4 Forecast'!E91</x:f>
        <x:v>0</x:v>
      </x:c>
      <x:c r="D113" s="211" t="n">
        <x:v>0</x:v>
      </x:c>
      <x:c r="E113" s="211" t="n">
        <x:f>C113-D113</x:f>
        <x:v>0</x:v>
      </x:c>
      <x:c r="F113" s="211" t="n">
        <x:v>0.01</x:v>
      </x:c>
      <x:c r="G113" s="211" t="str">
        <x:f>IF(ABS(E113)&lt;=F113,"OK","REVIEW")</x:f>
        <x:v>OK</x:v>
      </x:c>
      <x:c r="H113" s="90" t="str">
        <x:v>Port revenue = throughput × unit/mix proxy.</x:v>
      </x:c>
    </x:row>
    <x:row r="114" ht="25" customHeight="1">
      <x:c r="A114" s="88" t="str">
        <x:v>P4-BEAR-2027-REV</x:v>
      </x:c>
      <x:c r="B114" s="89" t="str">
        <x:v>Bear 2027 revenue bridge</x:v>
      </x:c>
      <x:c r="C114" s="211" t="n">
        <x:f>'P4 Forecast'!E96-SUM('P4 Forecast'!E93:'P4 Forecast'!E95)</x:f>
        <x:v>0</x:v>
      </x:c>
      <x:c r="D114" s="211" t="n">
        <x:v>0</x:v>
      </x:c>
      <x:c r="E114" s="211" t="n">
        <x:f>C114-D114</x:f>
        <x:v>0</x:v>
      </x:c>
      <x:c r="F114" s="211" t="n">
        <x:v>0.01</x:v>
      </x:c>
      <x:c r="G114" s="211" t="str">
        <x:f>IF(ABS(E114)&lt;=F114,"OK","REVIEW")</x:f>
        <x:v>OK</x:v>
      </x:c>
      <x:c r="H114" s="90" t="str">
        <x:v>Port + logistics + other = consolidated revenue.</x:v>
      </x:c>
    </x:row>
    <x:row r="115" ht="25" customHeight="1">
      <x:c r="A115" s="88" t="str">
        <x:v>P4-BEAR-2027-ASSOC</x:v>
      </x:c>
      <x:c r="B115" s="89" t="str">
        <x:v>Bear 2027 associate bridge</x:v>
      </x:c>
      <x:c r="C115" s="211" t="n">
        <x:f>'P4 Forecast'!E106-SUM('P4 Forecast'!E102:'P4 Forecast'!E105)</x:f>
        <x:v>0</x:v>
      </x:c>
      <x:c r="D115" s="211" t="n">
        <x:v>0</x:v>
      </x:c>
      <x:c r="E115" s="211" t="n">
        <x:f>C115-D115</x:f>
        <x:v>0</x:v>
      </x:c>
      <x:c r="F115" s="211" t="n">
        <x:v>0.01</x:v>
      </x:c>
      <x:c r="G115" s="211" t="str">
        <x:f>IF(ABS(E115)&lt;=F115,"OK","REVIEW")</x:f>
        <x:v>OK</x:v>
      </x:c>
      <x:c r="H115" s="90" t="str">
        <x:v>Named associates + residual = total associates.</x:v>
      </x:c>
    </x:row>
    <x:row r="116" ht="25" customHeight="1">
      <x:c r="A116" s="88" t="str">
        <x:v>P4-BEAR-2027-PBT</x:v>
      </x:c>
      <x:c r="B116" s="89" t="str">
        <x:v>Bear 2027 PBT bridge</x:v>
      </x:c>
      <x:c r="C116" s="211" t="n">
        <x:f>'P4 Forecast'!E108-('P4 Forecast'!E99+'P4 Forecast'!E100-'P4 Forecast'!E101+'P4 Forecast'!E106+'P4 Forecast'!E107)</x:f>
        <x:v>0</x:v>
      </x:c>
      <x:c r="D116" s="211" t="n">
        <x:v>0</x:v>
      </x:c>
      <x:c r="E116" s="211" t="n">
        <x:f>C116-D116</x:f>
        <x:v>0</x:v>
      </x:c>
      <x:c r="F116" s="211" t="n">
        <x:v>0.01</x:v>
      </x:c>
      <x:c r="G116" s="211" t="str">
        <x:f>IF(ABS(E116)&lt;=F116,"OK","REVIEW")</x:f>
        <x:v>OK</x:v>
      </x:c>
      <x:c r="H116" s="90" t="str">
        <x:v>EBIT + net finance + associates + other.</x:v>
      </x:c>
    </x:row>
    <x:row r="117" ht="25" customHeight="1">
      <x:c r="A117" s="88" t="str">
        <x:v>P4-BEAR-2027-PAT</x:v>
      </x:c>
      <x:c r="B117" s="89" t="str">
        <x:v>Bear 2027 PAT attribution</x:v>
      </x:c>
      <x:c r="C117" s="211" t="n">
        <x:f>'P4 Forecast'!E111-SUM('P4 Forecast'!E113:'P4 Forecast'!E114)</x:f>
        <x:v>0</x:v>
      </x:c>
      <x:c r="D117" s="211" t="n">
        <x:v>0</x:v>
      </x:c>
      <x:c r="E117" s="211" t="n">
        <x:f>C117-D117</x:f>
        <x:v>0</x:v>
      </x:c>
      <x:c r="F117" s="211" t="n">
        <x:v>0.01</x:v>
      </x:c>
      <x:c r="G117" s="211" t="str">
        <x:f>IF(ABS(E117)&lt;=F117,"OK","REVIEW")</x:f>
        <x:v>OK</x:v>
      </x:c>
      <x:c r="H117" s="90" t="str">
        <x:v>Parent PAT + NCI PAT = consolidated PAT.</x:v>
      </x:c>
    </x:row>
    <x:row r="118" ht="25" customHeight="1">
      <x:c r="A118" s="88" t="str">
        <x:v>P4-BEAR-2027-FCFF</x:v>
      </x:c>
      <x:c r="B118" s="89" t="str">
        <x:v>Bear 2027 FCFF bridge</x:v>
      </x:c>
      <x:c r="C118" s="211" t="n">
        <x:f>'P4 Forecast'!E120-('P4 Forecast'!E99*(1-'P4 Forecast'!E119)+'P4 Forecast'!E116-'P4 Forecast'!E117-'P4 Forecast'!E118)</x:f>
        <x:v>0</x:v>
      </x:c>
      <x:c r="D118" s="211" t="n">
        <x:v>0</x:v>
      </x:c>
      <x:c r="E118" s="211" t="n">
        <x:f>C118-D118</x:f>
        <x:v>0</x:v>
      </x:c>
      <x:c r="F118" s="211" t="n">
        <x:v>0.01</x:v>
      </x:c>
      <x:c r="G118" s="211" t="str">
        <x:f>IF(ABS(E118)&lt;=F118,"OK","REVIEW")</x:f>
        <x:v>OK</x:v>
      </x:c>
      <x:c r="H118" s="90" t="str">
        <x:v>After-tax EBIT + D&amp;A - capex - NWC.</x:v>
      </x:c>
    </x:row>
    <x:row r="119" ht="25" customHeight="1">
      <x:c r="A119" s="88" t="str">
        <x:v>P4-BEAR-2028-TEU</x:v>
      </x:c>
      <x:c r="B119" s="89" t="str">
        <x:v>Bear 2028 national TEU roll-forward</x:v>
      </x:c>
      <x:c r="C119" s="211" t="n">
        <x:f>'P4 Forecast'!F86-'P4 Forecast'!E86*(1+'P4 Forecast'!F87)</x:f>
        <x:v>0</x:v>
      </x:c>
      <x:c r="D119" s="211" t="n">
        <x:v>0</x:v>
      </x:c>
      <x:c r="E119" s="211" t="n">
        <x:f>C119-D119</x:f>
        <x:v>0</x:v>
      </x:c>
      <x:c r="F119" s="211" t="n">
        <x:v>0.0001</x:v>
      </x:c>
      <x:c r="G119" s="211" t="str">
        <x:f>IF(ABS(E119)&lt;=F119,"OK","REVIEW")</x:f>
        <x:v>OK</x:v>
      </x:c>
      <x:c r="H119" s="90" t="str">
        <x:v>National TEU follows the visible growth assumption.</x:v>
      </x:c>
    </x:row>
    <x:row r="120" ht="25" customHeight="1">
      <x:c r="A120" s="88" t="str">
        <x:v>P4-BEAR-2028-SHARE</x:v>
      </x:c>
      <x:c r="B120" s="89" t="str">
        <x:v>Bear 2028 throughput identity</x:v>
      </x:c>
      <x:c r="C120" s="211" t="n">
        <x:f>'P4 Forecast'!F88-'P4 Forecast'!F86*'P4 Forecast'!F90</x:f>
        <x:v>0</x:v>
      </x:c>
      <x:c r="D120" s="211" t="n">
        <x:v>0</x:v>
      </x:c>
      <x:c r="E120" s="211" t="n">
        <x:f>C120-D120</x:f>
        <x:v>0</x:v>
      </x:c>
      <x:c r="F120" s="211" t="n">
        <x:v>0.0001</x:v>
      </x:c>
      <x:c r="G120" s="211" t="str">
        <x:f>IF(ABS(E120)&lt;=F120,"OK","REVIEW")</x:f>
        <x:v>OK</x:v>
      </x:c>
      <x:c r="H120" s="90" t="str">
        <x:v>GMD throughput = national TEU × share.</x:v>
      </x:c>
    </x:row>
    <x:row r="121" ht="25" customHeight="1">
      <x:c r="A121" s="88" t="str">
        <x:v>P4-BEAR-2028-PORT</x:v>
      </x:c>
      <x:c r="B121" s="89" t="str">
        <x:v>Bear 2028 port-revenue identity</x:v>
      </x:c>
      <x:c r="C121" s="211" t="n">
        <x:f>'P4 Forecast'!F93-'P4 Forecast'!F88*'P4 Forecast'!F91</x:f>
        <x:v>0</x:v>
      </x:c>
      <x:c r="D121" s="211" t="n">
        <x:v>0</x:v>
      </x:c>
      <x:c r="E121" s="211" t="n">
        <x:f>C121-D121</x:f>
        <x:v>0</x:v>
      </x:c>
      <x:c r="F121" s="211" t="n">
        <x:v>0.01</x:v>
      </x:c>
      <x:c r="G121" s="211" t="str">
        <x:f>IF(ABS(E121)&lt;=F121,"OK","REVIEW")</x:f>
        <x:v>OK</x:v>
      </x:c>
      <x:c r="H121" s="90" t="str">
        <x:v>Port revenue = throughput × unit/mix proxy.</x:v>
      </x:c>
    </x:row>
    <x:row r="122" ht="25" customHeight="1">
      <x:c r="A122" s="88" t="str">
        <x:v>P4-BEAR-2028-REV</x:v>
      </x:c>
      <x:c r="B122" s="89" t="str">
        <x:v>Bear 2028 revenue bridge</x:v>
      </x:c>
      <x:c r="C122" s="211" t="n">
        <x:f>'P4 Forecast'!F96-SUM('P4 Forecast'!F93:'P4 Forecast'!F95)</x:f>
        <x:v>0</x:v>
      </x:c>
      <x:c r="D122" s="211" t="n">
        <x:v>0</x:v>
      </x:c>
      <x:c r="E122" s="211" t="n">
        <x:f>C122-D122</x:f>
        <x:v>0</x:v>
      </x:c>
      <x:c r="F122" s="211" t="n">
        <x:v>0.01</x:v>
      </x:c>
      <x:c r="G122" s="211" t="str">
        <x:f>IF(ABS(E122)&lt;=F122,"OK","REVIEW")</x:f>
        <x:v>OK</x:v>
      </x:c>
      <x:c r="H122" s="90" t="str">
        <x:v>Port + logistics + other = consolidated revenue.</x:v>
      </x:c>
    </x:row>
    <x:row r="123" ht="25" customHeight="1">
      <x:c r="A123" s="88" t="str">
        <x:v>P4-BEAR-2028-ASSOC</x:v>
      </x:c>
      <x:c r="B123" s="89" t="str">
        <x:v>Bear 2028 associate bridge</x:v>
      </x:c>
      <x:c r="C123" s="211" t="n">
        <x:f>'P4 Forecast'!F106-SUM('P4 Forecast'!F102:'P4 Forecast'!F105)</x:f>
        <x:v>0</x:v>
      </x:c>
      <x:c r="D123" s="211" t="n">
        <x:v>0</x:v>
      </x:c>
      <x:c r="E123" s="211" t="n">
        <x:f>C123-D123</x:f>
        <x:v>0</x:v>
      </x:c>
      <x:c r="F123" s="211" t="n">
        <x:v>0.01</x:v>
      </x:c>
      <x:c r="G123" s="211" t="str">
        <x:f>IF(ABS(E123)&lt;=F123,"OK","REVIEW")</x:f>
        <x:v>OK</x:v>
      </x:c>
      <x:c r="H123" s="90" t="str">
        <x:v>Named associates + residual = total associates.</x:v>
      </x:c>
    </x:row>
    <x:row r="124" ht="25" customHeight="1">
      <x:c r="A124" s="88" t="str">
        <x:v>P4-BEAR-2028-PBT</x:v>
      </x:c>
      <x:c r="B124" s="89" t="str">
        <x:v>Bear 2028 PBT bridge</x:v>
      </x:c>
      <x:c r="C124" s="211" t="n">
        <x:f>'P4 Forecast'!F108-('P4 Forecast'!F99+'P4 Forecast'!F100-'P4 Forecast'!F101+'P4 Forecast'!F106+'P4 Forecast'!F107)</x:f>
        <x:v>0</x:v>
      </x:c>
      <x:c r="D124" s="211" t="n">
        <x:v>0</x:v>
      </x:c>
      <x:c r="E124" s="211" t="n">
        <x:f>C124-D124</x:f>
        <x:v>0</x:v>
      </x:c>
      <x:c r="F124" s="211" t="n">
        <x:v>0.01</x:v>
      </x:c>
      <x:c r="G124" s="211" t="str">
        <x:f>IF(ABS(E124)&lt;=F124,"OK","REVIEW")</x:f>
        <x:v>OK</x:v>
      </x:c>
      <x:c r="H124" s="90" t="str">
        <x:v>EBIT + net finance + associates + other.</x:v>
      </x:c>
    </x:row>
    <x:row r="125" ht="25" customHeight="1">
      <x:c r="A125" s="88" t="str">
        <x:v>P4-BEAR-2028-PAT</x:v>
      </x:c>
      <x:c r="B125" s="89" t="str">
        <x:v>Bear 2028 PAT attribution</x:v>
      </x:c>
      <x:c r="C125" s="211" t="n">
        <x:f>'P4 Forecast'!F111-SUM('P4 Forecast'!F113:'P4 Forecast'!F114)</x:f>
        <x:v>0</x:v>
      </x:c>
      <x:c r="D125" s="211" t="n">
        <x:v>0</x:v>
      </x:c>
      <x:c r="E125" s="211" t="n">
        <x:f>C125-D125</x:f>
        <x:v>0</x:v>
      </x:c>
      <x:c r="F125" s="211" t="n">
        <x:v>0.01</x:v>
      </x:c>
      <x:c r="G125" s="211" t="str">
        <x:f>IF(ABS(E125)&lt;=F125,"OK","REVIEW")</x:f>
        <x:v>OK</x:v>
      </x:c>
      <x:c r="H125" s="90" t="str">
        <x:v>Parent PAT + NCI PAT = consolidated PAT.</x:v>
      </x:c>
    </x:row>
    <x:row r="126" ht="25" customHeight="1">
      <x:c r="A126" s="88" t="str">
        <x:v>P4-BEAR-2028-FCFF</x:v>
      </x:c>
      <x:c r="B126" s="89" t="str">
        <x:v>Bear 2028 FCFF bridge</x:v>
      </x:c>
      <x:c r="C126" s="211" t="n">
        <x:f>'P4 Forecast'!F120-('P4 Forecast'!F99*(1-'P4 Forecast'!F119)+'P4 Forecast'!F116-'P4 Forecast'!F117-'P4 Forecast'!F118)</x:f>
        <x:v>0</x:v>
      </x:c>
      <x:c r="D126" s="211" t="n">
        <x:v>0</x:v>
      </x:c>
      <x:c r="E126" s="211" t="n">
        <x:f>C126-D126</x:f>
        <x:v>0</x:v>
      </x:c>
      <x:c r="F126" s="211" t="n">
        <x:v>0.01</x:v>
      </x:c>
      <x:c r="G126" s="211" t="str">
        <x:f>IF(ABS(E126)&lt;=F126,"OK","REVIEW")</x:f>
        <x:v>OK</x:v>
      </x:c>
      <x:c r="H126" s="90" t="str">
        <x:v>After-tax EBIT + D&amp;A - capex - NWC.</x:v>
      </x:c>
    </x:row>
    <x:row r="127" ht="25" customHeight="1">
      <x:c r="A127" s="88" t="str">
        <x:v>P4-BEAR-2029-TEU</x:v>
      </x:c>
      <x:c r="B127" s="89" t="str">
        <x:v>Bear 2029 national TEU roll-forward</x:v>
      </x:c>
      <x:c r="C127" s="211" t="n">
        <x:f>'P4 Forecast'!G86-'P4 Forecast'!F86*(1+'P4 Forecast'!G87)</x:f>
        <x:v>0</x:v>
      </x:c>
      <x:c r="D127" s="211" t="n">
        <x:v>0</x:v>
      </x:c>
      <x:c r="E127" s="211" t="n">
        <x:f>C127-D127</x:f>
        <x:v>0</x:v>
      </x:c>
      <x:c r="F127" s="211" t="n">
        <x:v>0.0001</x:v>
      </x:c>
      <x:c r="G127" s="211" t="str">
        <x:f>IF(ABS(E127)&lt;=F127,"OK","REVIEW")</x:f>
        <x:v>OK</x:v>
      </x:c>
      <x:c r="H127" s="90" t="str">
        <x:v>National TEU follows the visible growth assumption.</x:v>
      </x:c>
    </x:row>
    <x:row r="128" ht="25" customHeight="1">
      <x:c r="A128" s="88" t="str">
        <x:v>P4-BEAR-2029-SHARE</x:v>
      </x:c>
      <x:c r="B128" s="89" t="str">
        <x:v>Bear 2029 throughput identity</x:v>
      </x:c>
      <x:c r="C128" s="211" t="n">
        <x:f>'P4 Forecast'!G88-'P4 Forecast'!G86*'P4 Forecast'!G90</x:f>
        <x:v>0</x:v>
      </x:c>
      <x:c r="D128" s="211" t="n">
        <x:v>0</x:v>
      </x:c>
      <x:c r="E128" s="211" t="n">
        <x:f>C128-D128</x:f>
        <x:v>0</x:v>
      </x:c>
      <x:c r="F128" s="211" t="n">
        <x:v>0.0001</x:v>
      </x:c>
      <x:c r="G128" s="211" t="str">
        <x:f>IF(ABS(E128)&lt;=F128,"OK","REVIEW")</x:f>
        <x:v>OK</x:v>
      </x:c>
      <x:c r="H128" s="90" t="str">
        <x:v>GMD throughput = national TEU × share.</x:v>
      </x:c>
    </x:row>
    <x:row r="129" ht="25" customHeight="1">
      <x:c r="A129" s="88" t="str">
        <x:v>P4-BEAR-2029-PORT</x:v>
      </x:c>
      <x:c r="B129" s="89" t="str">
        <x:v>Bear 2029 port-revenue identity</x:v>
      </x:c>
      <x:c r="C129" s="211" t="n">
        <x:f>'P4 Forecast'!G93-'P4 Forecast'!G88*'P4 Forecast'!G91</x:f>
        <x:v>0</x:v>
      </x:c>
      <x:c r="D129" s="211" t="n">
        <x:v>0</x:v>
      </x:c>
      <x:c r="E129" s="211" t="n">
        <x:f>C129-D129</x:f>
        <x:v>0</x:v>
      </x:c>
      <x:c r="F129" s="211" t="n">
        <x:v>0.01</x:v>
      </x:c>
      <x:c r="G129" s="211" t="str">
        <x:f>IF(ABS(E129)&lt;=F129,"OK","REVIEW")</x:f>
        <x:v>OK</x:v>
      </x:c>
      <x:c r="H129" s="90" t="str">
        <x:v>Port revenue = throughput × unit/mix proxy.</x:v>
      </x:c>
    </x:row>
    <x:row r="130" ht="25" customHeight="1">
      <x:c r="A130" s="88" t="str">
        <x:v>P4-BEAR-2029-REV</x:v>
      </x:c>
      <x:c r="B130" s="89" t="str">
        <x:v>Bear 2029 revenue bridge</x:v>
      </x:c>
      <x:c r="C130" s="211" t="n">
        <x:f>'P4 Forecast'!G96-SUM('P4 Forecast'!G93:'P4 Forecast'!G95)</x:f>
        <x:v>0</x:v>
      </x:c>
      <x:c r="D130" s="211" t="n">
        <x:v>0</x:v>
      </x:c>
      <x:c r="E130" s="211" t="n">
        <x:f>C130-D130</x:f>
        <x:v>0</x:v>
      </x:c>
      <x:c r="F130" s="211" t="n">
        <x:v>0.01</x:v>
      </x:c>
      <x:c r="G130" s="211" t="str">
        <x:f>IF(ABS(E130)&lt;=F130,"OK","REVIEW")</x:f>
        <x:v>OK</x:v>
      </x:c>
      <x:c r="H130" s="90" t="str">
        <x:v>Port + logistics + other = consolidated revenue.</x:v>
      </x:c>
    </x:row>
    <x:row r="131" ht="25" customHeight="1">
      <x:c r="A131" s="88" t="str">
        <x:v>P4-BEAR-2029-ASSOC</x:v>
      </x:c>
      <x:c r="B131" s="89" t="str">
        <x:v>Bear 2029 associate bridge</x:v>
      </x:c>
      <x:c r="C131" s="211" t="n">
        <x:f>'P4 Forecast'!G106-SUM('P4 Forecast'!G102:'P4 Forecast'!G105)</x:f>
        <x:v>0</x:v>
      </x:c>
      <x:c r="D131" s="211" t="n">
        <x:v>0</x:v>
      </x:c>
      <x:c r="E131" s="211" t="n">
        <x:f>C131-D131</x:f>
        <x:v>0</x:v>
      </x:c>
      <x:c r="F131" s="211" t="n">
        <x:v>0.01</x:v>
      </x:c>
      <x:c r="G131" s="211" t="str">
        <x:f>IF(ABS(E131)&lt;=F131,"OK","REVIEW")</x:f>
        <x:v>OK</x:v>
      </x:c>
      <x:c r="H131" s="90" t="str">
        <x:v>Named associates + residual = total associates.</x:v>
      </x:c>
    </x:row>
    <x:row r="132" ht="25" customHeight="1">
      <x:c r="A132" s="88" t="str">
        <x:v>P4-BEAR-2029-PBT</x:v>
      </x:c>
      <x:c r="B132" s="89" t="str">
        <x:v>Bear 2029 PBT bridge</x:v>
      </x:c>
      <x:c r="C132" s="211" t="n">
        <x:f>'P4 Forecast'!G108-('P4 Forecast'!G99+'P4 Forecast'!G100-'P4 Forecast'!G101+'P4 Forecast'!G106+'P4 Forecast'!G107)</x:f>
        <x:v>0</x:v>
      </x:c>
      <x:c r="D132" s="211" t="n">
        <x:v>0</x:v>
      </x:c>
      <x:c r="E132" s="211" t="n">
        <x:f>C132-D132</x:f>
        <x:v>0</x:v>
      </x:c>
      <x:c r="F132" s="211" t="n">
        <x:v>0.01</x:v>
      </x:c>
      <x:c r="G132" s="211" t="str">
        <x:f>IF(ABS(E132)&lt;=F132,"OK","REVIEW")</x:f>
        <x:v>OK</x:v>
      </x:c>
      <x:c r="H132" s="90" t="str">
        <x:v>EBIT + net finance + associates + other.</x:v>
      </x:c>
    </x:row>
    <x:row r="133" ht="25" customHeight="1">
      <x:c r="A133" s="88" t="str">
        <x:v>P4-BEAR-2029-PAT</x:v>
      </x:c>
      <x:c r="B133" s="89" t="str">
        <x:v>Bear 2029 PAT attribution</x:v>
      </x:c>
      <x:c r="C133" s="211" t="n">
        <x:f>'P4 Forecast'!G111-SUM('P4 Forecast'!G113:'P4 Forecast'!G114)</x:f>
        <x:v>0</x:v>
      </x:c>
      <x:c r="D133" s="211" t="n">
        <x:v>0</x:v>
      </x:c>
      <x:c r="E133" s="211" t="n">
        <x:f>C133-D133</x:f>
        <x:v>0</x:v>
      </x:c>
      <x:c r="F133" s="211" t="n">
        <x:v>0.01</x:v>
      </x:c>
      <x:c r="G133" s="211" t="str">
        <x:f>IF(ABS(E133)&lt;=F133,"OK","REVIEW")</x:f>
        <x:v>OK</x:v>
      </x:c>
      <x:c r="H133" s="90" t="str">
        <x:v>Parent PAT + NCI PAT = consolidated PAT.</x:v>
      </x:c>
    </x:row>
    <x:row r="134" ht="25" customHeight="1">
      <x:c r="A134" s="88" t="str">
        <x:v>P4-BEAR-2029-FCFF</x:v>
      </x:c>
      <x:c r="B134" s="89" t="str">
        <x:v>Bear 2029 FCFF bridge</x:v>
      </x:c>
      <x:c r="C134" s="211" t="n">
        <x:f>'P4 Forecast'!G120-('P4 Forecast'!G99*(1-'P4 Forecast'!G119)+'P4 Forecast'!G116-'P4 Forecast'!G117-'P4 Forecast'!G118)</x:f>
        <x:v>0</x:v>
      </x:c>
      <x:c r="D134" s="211" t="n">
        <x:v>0</x:v>
      </x:c>
      <x:c r="E134" s="211" t="n">
        <x:f>C134-D134</x:f>
        <x:v>0</x:v>
      </x:c>
      <x:c r="F134" s="211" t="n">
        <x:v>0.01</x:v>
      </x:c>
      <x:c r="G134" s="211" t="str">
        <x:f>IF(ABS(E134)&lt;=F134,"OK","REVIEW")</x:f>
        <x:v>OK</x:v>
      </x:c>
      <x:c r="H134" s="90" t="str">
        <x:v>After-tax EBIT + D&amp;A - capex - NWC.</x:v>
      </x:c>
    </x:row>
    <x:row r="135" ht="25" customHeight="1">
      <x:c r="A135" s="88" t="str">
        <x:v>P4-BEAR-2030-TEU</x:v>
      </x:c>
      <x:c r="B135" s="89" t="str">
        <x:v>Bear 2030 national TEU roll-forward</x:v>
      </x:c>
      <x:c r="C135" s="211" t="n">
        <x:f>'P4 Forecast'!H86-'P4 Forecast'!G86*(1+'P4 Forecast'!H87)</x:f>
        <x:v>0</x:v>
      </x:c>
      <x:c r="D135" s="211" t="n">
        <x:v>0</x:v>
      </x:c>
      <x:c r="E135" s="211" t="n">
        <x:f>C135-D135</x:f>
        <x:v>0</x:v>
      </x:c>
      <x:c r="F135" s="211" t="n">
        <x:v>0.0001</x:v>
      </x:c>
      <x:c r="G135" s="211" t="str">
        <x:f>IF(ABS(E135)&lt;=F135,"OK","REVIEW")</x:f>
        <x:v>OK</x:v>
      </x:c>
      <x:c r="H135" s="90" t="str">
        <x:v>National TEU follows the visible growth assumption.</x:v>
      </x:c>
    </x:row>
    <x:row r="136" ht="25" customHeight="1">
      <x:c r="A136" s="88" t="str">
        <x:v>P4-BEAR-2030-SHARE</x:v>
      </x:c>
      <x:c r="B136" s="89" t="str">
        <x:v>Bear 2030 throughput identity</x:v>
      </x:c>
      <x:c r="C136" s="211" t="n">
        <x:f>'P4 Forecast'!H88-'P4 Forecast'!H86*'P4 Forecast'!H90</x:f>
        <x:v>0</x:v>
      </x:c>
      <x:c r="D136" s="211" t="n">
        <x:v>0</x:v>
      </x:c>
      <x:c r="E136" s="211" t="n">
        <x:f>C136-D136</x:f>
        <x:v>0</x:v>
      </x:c>
      <x:c r="F136" s="211" t="n">
        <x:v>0.0001</x:v>
      </x:c>
      <x:c r="G136" s="211" t="str">
        <x:f>IF(ABS(E136)&lt;=F136,"OK","REVIEW")</x:f>
        <x:v>OK</x:v>
      </x:c>
      <x:c r="H136" s="90" t="str">
        <x:v>GMD throughput = national TEU × share.</x:v>
      </x:c>
    </x:row>
    <x:row r="137" ht="25" customHeight="1">
      <x:c r="A137" s="88" t="str">
        <x:v>P4-BEAR-2030-PORT</x:v>
      </x:c>
      <x:c r="B137" s="89" t="str">
        <x:v>Bear 2030 port-revenue identity</x:v>
      </x:c>
      <x:c r="C137" s="211" t="n">
        <x:f>'P4 Forecast'!H93-'P4 Forecast'!H88*'P4 Forecast'!H91</x:f>
        <x:v>0</x:v>
      </x:c>
      <x:c r="D137" s="211" t="n">
        <x:v>0</x:v>
      </x:c>
      <x:c r="E137" s="211" t="n">
        <x:f>C137-D137</x:f>
        <x:v>0</x:v>
      </x:c>
      <x:c r="F137" s="211" t="n">
        <x:v>0.01</x:v>
      </x:c>
      <x:c r="G137" s="211" t="str">
        <x:f>IF(ABS(E137)&lt;=F137,"OK","REVIEW")</x:f>
        <x:v>OK</x:v>
      </x:c>
      <x:c r="H137" s="90" t="str">
        <x:v>Port revenue = throughput × unit/mix proxy.</x:v>
      </x:c>
    </x:row>
    <x:row r="138" ht="25" customHeight="1">
      <x:c r="A138" s="88" t="str">
        <x:v>P4-BEAR-2030-REV</x:v>
      </x:c>
      <x:c r="B138" s="89" t="str">
        <x:v>Bear 2030 revenue bridge</x:v>
      </x:c>
      <x:c r="C138" s="211" t="n">
        <x:f>'P4 Forecast'!H96-SUM('P4 Forecast'!H93:'P4 Forecast'!H95)</x:f>
        <x:v>0</x:v>
      </x:c>
      <x:c r="D138" s="211" t="n">
        <x:v>0</x:v>
      </x:c>
      <x:c r="E138" s="211" t="n">
        <x:f>C138-D138</x:f>
        <x:v>0</x:v>
      </x:c>
      <x:c r="F138" s="211" t="n">
        <x:v>0.01</x:v>
      </x:c>
      <x:c r="G138" s="211" t="str">
        <x:f>IF(ABS(E138)&lt;=F138,"OK","REVIEW")</x:f>
        <x:v>OK</x:v>
      </x:c>
      <x:c r="H138" s="90" t="str">
        <x:v>Port + logistics + other = consolidated revenue.</x:v>
      </x:c>
    </x:row>
    <x:row r="139" ht="25" customHeight="1">
      <x:c r="A139" s="88" t="str">
        <x:v>P4-BEAR-2030-ASSOC</x:v>
      </x:c>
      <x:c r="B139" s="89" t="str">
        <x:v>Bear 2030 associate bridge</x:v>
      </x:c>
      <x:c r="C139" s="211" t="n">
        <x:f>'P4 Forecast'!H106-SUM('P4 Forecast'!H102:'P4 Forecast'!H105)</x:f>
        <x:v>0</x:v>
      </x:c>
      <x:c r="D139" s="211" t="n">
        <x:v>0</x:v>
      </x:c>
      <x:c r="E139" s="211" t="n">
        <x:f>C139-D139</x:f>
        <x:v>0</x:v>
      </x:c>
      <x:c r="F139" s="211" t="n">
        <x:v>0.01</x:v>
      </x:c>
      <x:c r="G139" s="211" t="str">
        <x:f>IF(ABS(E139)&lt;=F139,"OK","REVIEW")</x:f>
        <x:v>OK</x:v>
      </x:c>
      <x:c r="H139" s="90" t="str">
        <x:v>Named associates + residual = total associates.</x:v>
      </x:c>
    </x:row>
    <x:row r="140" ht="25" customHeight="1">
      <x:c r="A140" s="88" t="str">
        <x:v>P4-BEAR-2030-PBT</x:v>
      </x:c>
      <x:c r="B140" s="89" t="str">
        <x:v>Bear 2030 PBT bridge</x:v>
      </x:c>
      <x:c r="C140" s="211" t="n">
        <x:f>'P4 Forecast'!H108-('P4 Forecast'!H99+'P4 Forecast'!H100-'P4 Forecast'!H101+'P4 Forecast'!H106+'P4 Forecast'!H107)</x:f>
        <x:v>0</x:v>
      </x:c>
      <x:c r="D140" s="211" t="n">
        <x:v>0</x:v>
      </x:c>
      <x:c r="E140" s="211" t="n">
        <x:f>C140-D140</x:f>
        <x:v>0</x:v>
      </x:c>
      <x:c r="F140" s="211" t="n">
        <x:v>0.01</x:v>
      </x:c>
      <x:c r="G140" s="211" t="str">
        <x:f>IF(ABS(E140)&lt;=F140,"OK","REVIEW")</x:f>
        <x:v>OK</x:v>
      </x:c>
      <x:c r="H140" s="90" t="str">
        <x:v>EBIT + net finance + associates + other.</x:v>
      </x:c>
    </x:row>
    <x:row r="141" ht="25" customHeight="1">
      <x:c r="A141" s="88" t="str">
        <x:v>P4-BEAR-2030-PAT</x:v>
      </x:c>
      <x:c r="B141" s="89" t="str">
        <x:v>Bear 2030 PAT attribution</x:v>
      </x:c>
      <x:c r="C141" s="211" t="n">
        <x:f>'P4 Forecast'!H111-SUM('P4 Forecast'!H113:'P4 Forecast'!H114)</x:f>
        <x:v>0</x:v>
      </x:c>
      <x:c r="D141" s="211" t="n">
        <x:v>0</x:v>
      </x:c>
      <x:c r="E141" s="211" t="n">
        <x:f>C141-D141</x:f>
        <x:v>0</x:v>
      </x:c>
      <x:c r="F141" s="211" t="n">
        <x:v>0.01</x:v>
      </x:c>
      <x:c r="G141" s="211" t="str">
        <x:f>IF(ABS(E141)&lt;=F141,"OK","REVIEW")</x:f>
        <x:v>OK</x:v>
      </x:c>
      <x:c r="H141" s="90" t="str">
        <x:v>Parent PAT + NCI PAT = consolidated PAT.</x:v>
      </x:c>
    </x:row>
    <x:row r="142" ht="25" customHeight="1">
      <x:c r="A142" s="91" t="str">
        <x:v>P4-BEAR-2030-FCFF</x:v>
      </x:c>
      <x:c r="B142" s="92" t="str">
        <x:v>Bear 2030 FCFF bridge</x:v>
      </x:c>
      <x:c r="C142" s="212" t="n">
        <x:f>'P4 Forecast'!H120-('P4 Forecast'!H99*(1-'P4 Forecast'!H119)+'P4 Forecast'!H116-'P4 Forecast'!H117-'P4 Forecast'!H118)</x:f>
        <x:v>0</x:v>
      </x:c>
      <x:c r="D142" s="212" t="n">
        <x:v>0</x:v>
      </x:c>
      <x:c r="E142" s="212" t="n">
        <x:f>C142-D142</x:f>
        <x:v>0</x:v>
      </x:c>
      <x:c r="F142" s="212" t="n">
        <x:v>0.01</x:v>
      </x:c>
      <x:c r="G142" s="212" t="str">
        <x:f>IF(ABS(E142)&lt;=F142,"OK","REVIEW")</x:f>
        <x:v>OK</x:v>
      </x:c>
      <x:c r="H142" s="93" t="str">
        <x:v>After-tax EBIT + D&amp;A - capex - NWC.</x:v>
      </x:c>
    </x:row>
    <x:row r="145" ht="22" customHeight="1">
      <x:c r="A145" s="415" t="str">
        <x:v>Phase 4 model status</x:v>
      </x:c>
      <x:c r="B145" s="415" t="str">
        <x:v>Phase 4 model status</x:v>
      </x:c>
      <x:c r="C145" s="415" t="str">
        <x:v>Phase 4 model status</x:v>
      </x:c>
      <x:c r="D145" s="415" t="str">
        <x:v>Phase 4 model status</x:v>
      </x:c>
      <x:c r="E145" s="415" t="str">
        <x:v>Phase 4 model status</x:v>
      </x:c>
      <x:c r="F145" s="415" t="str">
        <x:v>Phase 4 model status</x:v>
      </x:c>
      <x:c r="G145" s="415" t="str">
        <x:v>Phase 4 model status</x:v>
      </x:c>
      <x:c r="H145" s="415" t="str">
        <x:v>Phase 4 model status</x:v>
      </x:c>
    </x:row>
    <x:row r="146" ht="34" customHeight="1">
      <x:c r="A146" s="600" t="str">
        <x:f>IF(COUNTIF(G6:G142,"REVIEW")=0,"OK — Phase 4 forecast and valuation reconciled; ready for Phase 5","REVIEW — resolve failed Phase 4 controls before packaging")</x:f>
        <x:v>OK — Phase 4 forecast and valuation reconciled; ready for Phase 5</x:v>
      </x:c>
      <x:c r="B146" s="601"/>
      <x:c r="C146" s="601"/>
      <x:c r="D146" s="601"/>
      <x:c r="E146" s="601"/>
      <x:c r="F146" s="601"/>
      <x:c r="G146" s="601"/>
      <x:c r="H146" s="602"/>
    </x:row>
    <x:row r="147" ht="34" customHeight="1">
      <x:c r="A147" s="603"/>
      <x:c r="B147" s="604"/>
      <x:c r="C147" s="604"/>
      <x:c r="D147" s="604"/>
      <x:c r="E147" s="604"/>
      <x:c r="F147" s="604"/>
      <x:c r="G147" s="604"/>
      <x:c r="H147" s="605"/>
    </x:row>
  </x:sheetData>
  <x:mergeCells>
    <x:mergeCell ref="A1:H1"/>
    <x:mergeCell ref="A2:H2"/>
    <x:mergeCell ref="A4:H4"/>
    <x:mergeCell ref="A145:H145"/>
    <x:mergeCell ref="A146:H147"/>
  </x:mergeCells>
  <x:conditionalFormatting sqref="G6:G142">
    <x:cfRule type="containsText" dxfId="10" priority="1" operator="containsText" text="OK"/>
    <x:cfRule type="containsText" dxfId="11" priority="2" operator="containsText" text="REVIEW"/>
  </x:conditionalFormatting>
  <x:pageMargins left="0.7" right="0.7" top="0.75" bottom="0.75" header="0.3" footer="0.3"/>
</x:worksheet>
</file>

<file path=xl/worksheets/sheet34.xml><?xml version="1.0" encoding="utf-8"?>
<x:worksheet xmlns:x="http://schemas.openxmlformats.org/spreadsheetml/2006/main">
  <x:sheetViews>
    <x:sheetView showGridLines="0" workbookViewId="0"/>
  </x:sheetViews>
  <x:sheetFormatPr defaultRowHeight="15"/>
  <x:cols>
    <x:col min="1" max="1" width="16" hidden="0" customWidth="1"/>
    <x:col min="2" max="2" width="17" hidden="0" customWidth="1"/>
    <x:col min="3" max="3" width="16" hidden="0" customWidth="1"/>
    <x:col min="4" max="4" width="18" hidden="0" customWidth="1"/>
    <x:col min="5" max="5" width="17" hidden="0" customWidth="1"/>
    <x:col min="6" max="6" width="17" hidden="0" customWidth="1"/>
    <x:col min="7" max="7" width="17" hidden="0" customWidth="1"/>
    <x:col min="8" max="8" width="17" hidden="0" customWidth="1"/>
    <x:col min="9" max="9" width="17" hidden="0" customWidth="1"/>
    <x:col min="10" max="10" width="15" hidden="0" customWidth="1"/>
    <x:col min="11" max="11" width="15" hidden="0" customWidth="1"/>
    <x:col min="12" max="12" width="15" hidden="0" customWidth="1"/>
    <x:col min="13" max="13" width="23" hidden="0" customWidth="1"/>
    <x:col min="14" max="14" width="23" hidden="0" customWidth="1"/>
  </x:cols>
  <x:sheetData>
    <x:row r="1" ht="30" customHeight="1">
      <x:c r="A1" s="408" t="str">
        <x:v>Phase 4 — GMD Forecast, Valuation &amp; Investment Dashboard</x:v>
      </x:c>
      <x:c r="B1" s="408" t="str">
        <x:v>Phase 4 — GMD Forecast, Valuation &amp; Investment Dashboard</x:v>
      </x:c>
      <x:c r="C1" s="408" t="str">
        <x:v>Phase 4 — GMD Forecast, Valuation &amp; Investment Dashboard</x:v>
      </x:c>
      <x:c r="D1" s="408" t="str">
        <x:v>Phase 4 — GMD Forecast, Valuation &amp; Investment Dashboard</x:v>
      </x:c>
      <x:c r="E1" s="408" t="str">
        <x:v>Phase 4 — GMD Forecast, Valuation &amp; Investment Dashboard</x:v>
      </x:c>
      <x:c r="F1" s="408" t="str">
        <x:v>Phase 4 — GMD Forecast, Valuation &amp; Investment Dashboard</x:v>
      </x:c>
      <x:c r="G1" s="408" t="str">
        <x:v>Phase 4 — GMD Forecast, Valuation &amp; Investment Dashboard</x:v>
      </x:c>
      <x:c r="H1" s="408" t="str">
        <x:v>Phase 4 — GMD Forecast, Valuation &amp; Investment Dashboard</x:v>
      </x:c>
      <x:c r="I1" s="408" t="str">
        <x:v>Phase 4 — GMD Forecast, Valuation &amp; Investment Dashboard</x:v>
      </x:c>
      <x:c r="J1" s="408" t="str">
        <x:v>Phase 4 — GMD Forecast, Valuation &amp; Investment Dashboard</x:v>
      </x:c>
      <x:c r="K1" s="408" t="str">
        <x:v>Phase 4 — GMD Forecast, Valuation &amp; Investment Dashboard</x:v>
      </x:c>
      <x:c r="L1" s="408" t="str">
        <x:v>Phase 4 — GMD Forecast, Valuation &amp; Investment Dashboard</x:v>
      </x:c>
      <x:c r="M1" s="408" t="str">
        <x:v>Phase 4 — GMD Forecast, Valuation &amp; Investment Dashboard</x:v>
      </x:c>
      <x:c r="N1" s="408" t="str">
        <x:v>Phase 4 — GMD Forecast, Valuation &amp; Investment Dashboard</x:v>
      </x:c>
    </x:row>
    <x:row r="2" ht="34" customHeight="1">
      <x:c r="A2" s="412" t="str">
        <x:v>Recruiter-facing summary. Green formulas trace to the underlying forecast/valuation sheets; full scenario assumptions, DCF sensitivity and checks remain visible in the model.</x:v>
      </x:c>
      <x:c r="B2" s="412" t="str">
        <x:v>Recruiter-facing summary. Green formulas trace to the underlying forecast/valuation sheets; full scenario assumptions, DCF sensitivity and checks remain visible in the model.</x:v>
      </x:c>
      <x:c r="C2" s="412" t="str">
        <x:v>Recruiter-facing summary. Green formulas trace to the underlying forecast/valuation sheets; full scenario assumptions, DCF sensitivity and checks remain visible in the model.</x:v>
      </x:c>
      <x:c r="D2" s="412" t="str">
        <x:v>Recruiter-facing summary. Green formulas trace to the underlying forecast/valuation sheets; full scenario assumptions, DCF sensitivity and checks remain visible in the model.</x:v>
      </x:c>
      <x:c r="E2" s="412" t="str">
        <x:v>Recruiter-facing summary. Green formulas trace to the underlying forecast/valuation sheets; full scenario assumptions, DCF sensitivity and checks remain visible in the model.</x:v>
      </x:c>
      <x:c r="F2" s="412" t="str">
        <x:v>Recruiter-facing summary. Green formulas trace to the underlying forecast/valuation sheets; full scenario assumptions, DCF sensitivity and checks remain visible in the model.</x:v>
      </x:c>
      <x:c r="G2" s="412" t="str">
        <x:v>Recruiter-facing summary. Green formulas trace to the underlying forecast/valuation sheets; full scenario assumptions, DCF sensitivity and checks remain visible in the model.</x:v>
      </x:c>
      <x:c r="H2" s="412" t="str">
        <x:v>Recruiter-facing summary. Green formulas trace to the underlying forecast/valuation sheets; full scenario assumptions, DCF sensitivity and checks remain visible in the model.</x:v>
      </x:c>
      <x:c r="I2" s="412" t="str">
        <x:v>Recruiter-facing summary. Green formulas trace to the underlying forecast/valuation sheets; full scenario assumptions, DCF sensitivity and checks remain visible in the model.</x:v>
      </x:c>
      <x:c r="J2" s="412" t="str">
        <x:v>Recruiter-facing summary. Green formulas trace to the underlying forecast/valuation sheets; full scenario assumptions, DCF sensitivity and checks remain visible in the model.</x:v>
      </x:c>
      <x:c r="K2" s="412" t="str">
        <x:v>Recruiter-facing summary. Green formulas trace to the underlying forecast/valuation sheets; full scenario assumptions, DCF sensitivity and checks remain visible in the model.</x:v>
      </x:c>
      <x:c r="L2" s="412" t="str">
        <x:v>Recruiter-facing summary. Green formulas trace to the underlying forecast/valuation sheets; full scenario assumptions, DCF sensitivity and checks remain visible in the model.</x:v>
      </x:c>
      <x:c r="M2" s="412" t="str">
        <x:v>Recruiter-facing summary. Green formulas trace to the underlying forecast/valuation sheets; full scenario assumptions, DCF sensitivity and checks remain visible in the model.</x:v>
      </x:c>
      <x:c r="N2" s="412" t="str">
        <x:v>Recruiter-facing summary. Green formulas trace to the underlying forecast/valuation sheets; full scenario assumptions, DCF sensitivity and checks remain visible in the model.</x:v>
      </x:c>
    </x:row>
    <x:row r="4" ht="22" customHeight="1">
      <x:c r="A4" s="415" t="str">
        <x:v>Investment call and 2026E Base case</x:v>
      </x:c>
      <x:c r="B4" s="415" t="str">
        <x:v>Investment call and 2026E Base case</x:v>
      </x:c>
      <x:c r="C4" s="415" t="str">
        <x:v>Investment call and 2026E Base case</x:v>
      </x:c>
      <x:c r="D4" s="415" t="str">
        <x:v>Investment call and 2026E Base case</x:v>
      </x:c>
      <x:c r="E4" s="415" t="str">
        <x:v>Investment call and 2026E Base case</x:v>
      </x:c>
      <x:c r="F4" s="415" t="str">
        <x:v>Investment call and 2026E Base case</x:v>
      </x:c>
      <x:c r="G4" s="415" t="str">
        <x:v>Investment call and 2026E Base case</x:v>
      </x:c>
      <x:c r="H4" s="415" t="str">
        <x:v>Investment call and 2026E Base case</x:v>
      </x:c>
      <x:c r="I4" s="415" t="str">
        <x:v>Investment call and 2026E Base case</x:v>
      </x:c>
      <x:c r="J4" s="415" t="str">
        <x:v>Investment call and 2026E Base case</x:v>
      </x:c>
      <x:c r="K4" s="415" t="str">
        <x:v>Investment call and 2026E Base case</x:v>
      </x:c>
      <x:c r="L4" s="415" t="str">
        <x:v>Investment call and 2026E Base case</x:v>
      </x:c>
      <x:c r="M4" s="415" t="str">
        <x:v>Investment call and 2026E Base case</x:v>
      </x:c>
      <x:c r="N4" s="415" t="str">
        <x:v>Investment call and 2026E Base case</x:v>
      </x:c>
    </x:row>
    <x:row r="5">
      <x:c r="A5" s="545" t="str">
        <x:v>Rating</x:v>
      </x:c>
      <x:c r="B5" s="545" t="str">
        <x:v>Rating</x:v>
      </x:c>
      <x:c r="C5" s="545" t="str">
        <x:v>Target price</x:v>
      </x:c>
      <x:c r="D5" s="545" t="str">
        <x:v>Target price</x:v>
      </x:c>
      <x:c r="E5" s="545" t="str">
        <x:v>Current price</x:v>
      </x:c>
      <x:c r="F5" s="545" t="str">
        <x:v>Current price</x:v>
      </x:c>
      <x:c r="G5" s="545" t="str">
        <x:v>Upside</x:v>
      </x:c>
      <x:c r="H5" s="545" t="str">
        <x:v>Upside</x:v>
      </x:c>
      <x:c r="I5" s="545" t="str">
        <x:v>2026E revenue</x:v>
      </x:c>
      <x:c r="J5" s="545" t="str">
        <x:v>2026E revenue</x:v>
      </x:c>
      <x:c r="K5" s="545" t="str">
        <x:v>2026E core PBT</x:v>
      </x:c>
      <x:c r="L5" s="545" t="str">
        <x:v>2026E core PBT</x:v>
      </x:c>
      <x:c r="M5" s="545" t="str">
        <x:v>2026E EPS</x:v>
      </x:c>
      <x:c r="N5" s="545" t="str">
        <x:v>2026E EPS</x:v>
      </x:c>
    </x:row>
    <x:row r="6">
      <x:c r="A6" s="613" t="str">
        <x:f>'P4 Valuation'!C18</x:f>
        <x:v>BUY</x:v>
      </x:c>
      <x:c r="B6" s="613"/>
      <x:c r="C6" s="614" t="n">
        <x:f>'P4 Valuation'!C16</x:f>
        <x:v>84500</x:v>
      </x:c>
      <x:c r="D6" s="614"/>
      <x:c r="E6" s="614" t="n">
        <x:f>'P4 Valuation'!C6</x:f>
        <x:v>73200</x:v>
      </x:c>
      <x:c r="F6" s="614"/>
      <x:c r="G6" s="615" t="n">
        <x:f>'P4 Valuation'!C17</x:f>
        <x:v>0.15437158469945356</x:v>
      </x:c>
      <x:c r="H6" s="613"/>
      <x:c r="I6" s="614" t="n">
        <x:f>'P4 Forecast'!D16</x:f>
        <x:v>6757.498469512975</x:v>
      </x:c>
      <x:c r="J6" s="614"/>
      <x:c r="K6" s="614" t="n">
        <x:f>'P4 Forecast'!D28</x:f>
        <x:v>3009.3552045285132</x:v>
      </x:c>
      <x:c r="L6" s="613"/>
      <x:c r="M6" s="614" t="n">
        <x:f>'P4 Forecast'!D35</x:f>
        <x:v>4980.839859705584</x:v>
      </x:c>
      <x:c r="N6" s="611"/>
    </x:row>
    <x:row r="7">
      <x:c r="A7" s="611"/>
      <x:c r="B7" s="611"/>
      <x:c r="C7" s="611"/>
      <x:c r="D7" s="611"/>
      <x:c r="E7" s="611"/>
      <x:c r="F7" s="611"/>
      <x:c r="G7" s="611"/>
      <x:c r="H7" s="611"/>
      <x:c r="I7" s="611"/>
      <x:c r="J7" s="611"/>
      <x:c r="K7" s="611"/>
      <x:c r="L7" s="611"/>
      <x:c r="M7" s="611"/>
      <x:c r="N7" s="611"/>
    </x:row>
    <x:row r="8">
      <x:c r="A8" s="611"/>
      <x:c r="B8" s="611"/>
      <x:c r="C8" s="611"/>
      <x:c r="D8" s="611"/>
      <x:c r="E8" s="611"/>
      <x:c r="F8" s="611"/>
      <x:c r="G8" s="611"/>
      <x:c r="H8" s="611"/>
      <x:c r="I8" s="611"/>
      <x:c r="J8" s="611"/>
      <x:c r="K8" s="611"/>
      <x:c r="L8" s="611"/>
      <x:c r="M8" s="611"/>
      <x:c r="N8" s="611"/>
    </x:row>
    <x:row r="10" ht="22" customHeight="1">
      <x:c r="A10" s="415" t="str">
        <x:v>Scenario takeaways</x:v>
      </x:c>
      <x:c r="B10" s="415" t="str">
        <x:v>Scenario takeaways</x:v>
      </x:c>
      <x:c r="C10" s="415" t="str">
        <x:v>Scenario takeaways</x:v>
      </x:c>
      <x:c r="D10" s="415" t="str">
        <x:v>Scenario takeaways</x:v>
      </x:c>
      <x:c r="E10" s="415" t="str">
        <x:v>Scenario takeaways</x:v>
      </x:c>
      <x:c r="F10" s="415" t="str">
        <x:v>Scenario takeaways</x:v>
      </x:c>
      <x:c r="G10" s="415" t="str">
        <x:v>Scenario takeaways</x:v>
      </x:c>
      <x:c r="H10" s="415" t="str">
        <x:v>Scenario takeaways</x:v>
      </x:c>
      <x:c r="I10" s="415" t="str">
        <x:v>Scenario takeaways</x:v>
      </x:c>
      <x:c r="J10" s="415" t="str">
        <x:v>Scenario takeaways</x:v>
      </x:c>
      <x:c r="K10" s="415" t="str">
        <x:v>Scenario takeaways</x:v>
      </x:c>
      <x:c r="L10" s="415" t="str">
        <x:v>Scenario takeaways</x:v>
      </x:c>
      <x:c r="M10" s="415" t="str">
        <x:v>Scenario takeaways</x:v>
      </x:c>
      <x:c r="N10" s="415" t="str">
        <x:v>Scenario takeaways</x:v>
      </x:c>
    </x:row>
    <x:row r="11" ht="32" customHeight="1">
      <x:c r="A11" s="421" t="str">
        <x:v>Case</x:v>
      </x:c>
      <x:c r="B11" s="421" t="str">
        <x:v>National TEU 2026 growth</x:v>
      </x:c>
      <x:c r="C11" s="421" t="str">
        <x:v>GMD share 2026</x:v>
      </x:c>
      <x:c r="D11" s="421" t="str">
        <x:v>GMD throughput 2026</x:v>
      </x:c>
      <x:c r="E11" s="421" t="str">
        <x:v>Revenue 2026</x:v>
      </x:c>
      <x:c r="F11" s="421" t="str">
        <x:v>Core PBT 2026</x:v>
      </x:c>
      <x:c r="G11" s="421" t="str">
        <x:v>EPS 2026</x:v>
      </x:c>
      <x:c r="H11" s="421" t="str">
        <x:v>Target price</x:v>
      </x:c>
      <x:c r="I11" s="421" t="str">
        <x:v>Upside</x:v>
      </x:c>
      <x:c r="J11" s="421" t="str">
        <x:v>Rating</x:v>
      </x:c>
      <x:c r="K11" s="421" t="str">
        <x:v>WACC</x:v>
      </x:c>
      <x:c r="L11" s="421" t="str">
        <x:v>TGR</x:v>
      </x:c>
      <x:c r="M11" s="421" t="str">
        <x:v>Key assumption</x:v>
      </x:c>
      <x:c r="N11" s="421" t="str">
        <x:v>Primary risk</x:v>
      </x:c>
    </x:row>
    <x:row r="12" ht="36" customHeight="1">
      <x:c r="A12" s="85" t="str">
        <x:v>Base</x:v>
      </x:c>
      <x:c r="B12" s="124" t="n">
        <x:f>'P4 Forecast'!D7</x:f>
        <x:v>0.1</x:v>
      </x:c>
      <x:c r="C12" s="124" t="n">
        <x:f>'P4 Forecast'!D10</x:f>
        <x:v>0.152</x:v>
      </x:c>
      <x:c r="D12" s="317" t="n">
        <x:f>'P4 Forecast'!D8</x:f>
        <x:v>5.684800000000001</x:v>
      </x:c>
      <x:c r="E12" s="370" t="n">
        <x:f>'P4 Forecast'!D16</x:f>
        <x:v>6757.498469512975</x:v>
      </x:c>
      <x:c r="F12" s="370" t="n">
        <x:f>'P4 Forecast'!D28</x:f>
        <x:v>3009.3552045285132</x:v>
      </x:c>
      <x:c r="G12" s="370" t="n">
        <x:f>'P4 Forecast'!D35</x:f>
        <x:v>4980.839859705584</x:v>
      </x:c>
      <x:c r="H12" s="370" t="n">
        <x:f>'P4 Valuation'!C16</x:f>
        <x:v>84500</x:v>
      </x:c>
      <x:c r="I12" s="124" t="n">
        <x:f>'P4 Valuation'!C17</x:f>
        <x:v>0.15437158469945356</x:v>
      </x:c>
      <x:c r="J12" s="287" t="str">
        <x:f>'P4 Valuation'!C18</x:f>
        <x:v>BUY</x:v>
      </x:c>
      <x:c r="K12" s="124" t="n">
        <x:f>'P4 DCF'!B11</x:f>
        <x:v>0.115817</x:v>
      </x:c>
      <x:c r="L12" s="124" t="n">
        <x:f>'P4 DCF'!B12</x:f>
        <x:v>0.04</x:v>
      </x:c>
      <x:c r="M12" s="86" t="str">
        <x:v>10% national TEU growth; 15.2% share</x:v>
      </x:c>
      <x:c r="N12" s="87" t="str">
        <x:v>Share/capex execution</x:v>
      </x:c>
    </x:row>
    <x:row r="13" ht="36" customHeight="1">
      <x:c r="A13" s="91" t="str">
        <x:v>Bull</x:v>
      </x:c>
      <x:c r="B13" s="126" t="n">
        <x:f>'P4 Forecast'!D47</x:f>
        <x:v>0.14</x:v>
      </x:c>
      <x:c r="C13" s="126" t="n">
        <x:f>'P4 Forecast'!D50</x:f>
        <x:v>0.154</x:v>
      </x:c>
      <x:c r="D13" s="349" t="n">
        <x:f>'P4 Forecast'!D48</x:f>
        <x:v>5.969040000000001</x:v>
      </x:c>
      <x:c r="E13" s="365" t="n">
        <x:f>'P4 Forecast'!D56</x:f>
        <x:v>7172.332860044947</x:v>
      </x:c>
      <x:c r="F13" s="365" t="n">
        <x:f>'P4 Forecast'!D68</x:f>
        <x:v>3249.3279857366297</x:v>
      </x:c>
      <x:c r="G13" s="365" t="n">
        <x:f>'P4 Forecast'!D75</x:f>
        <x:v>5546.396016504533</x:v>
      </x:c>
      <x:c r="H13" s="365" t="n">
        <x:f>'P4 Valuation'!D16</x:f>
        <x:v>115500</x:v>
      </x:c>
      <x:c r="I13" s="126" t="n">
        <x:f>'P4 Valuation'!D17</x:f>
        <x:v>0.5778688524590163</x:v>
      </x:c>
      <x:c r="J13" s="360" t="str">
        <x:f>'P4 Valuation'!D18</x:f>
        <x:v>BUY</x:v>
      </x:c>
      <x:c r="K13" s="126" t="n">
        <x:f>'P4 DCF'!B41</x:f>
        <x:v>0.10454125</x:v>
      </x:c>
      <x:c r="L13" s="126" t="n">
        <x:f>'P4 DCF'!B42</x:f>
        <x:v>0.045</x:v>
      </x:c>
      <x:c r="M13" s="92" t="str">
        <x:v>Faster trade and Gemalink ramp</x:v>
      </x:c>
      <x:c r="N13" s="93" t="str">
        <x:v>High sensitivity to terminal assumptions</x:v>
      </x:c>
    </x:row>
    <x:row r="14" ht="36" customHeight="1">
      <x:c r="A14" s="392" t="str">
        <x:v>Bear</x:v>
      </x:c>
      <x:c r="B14" s="617" t="n">
        <x:f>'P4 Forecast'!D87</x:f>
        <x:v>0.05</x:v>
      </x:c>
      <x:c r="C14" s="617" t="n">
        <x:f>'P4 Forecast'!D90</x:f>
        <x:v>0.148</x:v>
      </x:c>
      <x:c r="D14" s="618" t="n">
        <x:f>'P4 Forecast'!D88</x:f>
        <x:v>5.2836</x:v>
      </x:c>
      <x:c r="E14" s="619" t="n">
        <x:f>'P4 Forecast'!D96</x:f>
        <x:v>6113.025217048246</x:v>
      </x:c>
      <x:c r="F14" s="619" t="n">
        <x:f>'P4 Forecast'!D108</x:f>
        <x:v>2548.753894379544</x:v>
      </x:c>
      <x:c r="G14" s="619" t="n">
        <x:f>'P4 Forecast'!D115</x:f>
        <x:v>4042.1967281184543</x:v>
      </x:c>
      <x:c r="H14" s="619" t="n">
        <x:f>'P4 Valuation'!E16</x:f>
        <x:v>51000</x:v>
      </x:c>
      <x:c r="I14" s="617" t="n">
        <x:f>'P4 Valuation'!E17</x:f>
        <x:v>-0.30327868852459017</x:v>
      </x:c>
      <x:c r="J14" s="616" t="str">
        <x:f>'P4 Valuation'!E18</x:f>
        <x:v>SELL</x:v>
      </x:c>
      <x:c r="K14" s="617" t="n">
        <x:f>'P4 DCF'!B71</x:f>
        <x:v>0.12759875</x:v>
      </x:c>
      <x:c r="L14" s="617" t="n">
        <x:f>'P4 DCF'!B72</x:f>
        <x:v>0.03</x:v>
      </x:c>
      <x:c r="M14" s="393" t="str">
        <x:v>5% national TEU growth; share compression</x:v>
      </x:c>
      <x:c r="N14" s="394" t="str">
        <x:v>Earnings and valuation de-rate</x:v>
      </x:c>
    </x:row>
    <x:row r="33" ht="22" customHeight="1">
      <x:c r="H33" s="415" t="str">
        <x:v>Investment conclusion</x:v>
      </x:c>
      <x:c r="I33" s="415" t="str">
        <x:v>Investment conclusion</x:v>
      </x:c>
      <x:c r="J33" s="415" t="str">
        <x:v>Investment conclusion</x:v>
      </x:c>
      <x:c r="K33" s="415" t="str">
        <x:v>Investment conclusion</x:v>
      </x:c>
      <x:c r="L33" s="415" t="str">
        <x:v>Investment conclusion</x:v>
      </x:c>
      <x:c r="M33" s="415" t="str">
        <x:v>Investment conclusion</x:v>
      </x:c>
      <x:c r="N33" s="415" t="str">
        <x:v>Investment conclusion</x:v>
      </x:c>
    </x:row>
    <x:row r="34" ht="28" customHeight="1">
      <x:c r="H34" s="685" t="str">
        <x:v>Base case clears the BUY threshold with mid-teens price upside. The thesis is driven by national container growth, modest share gains and a step-up in Gemalink associate earnings from 2028. The recommendation is not low-risk: the Bear target is materially below market, so capacity ramp, share retention, capex and NCI conversion must be monitored.</x:v>
      </x:c>
      <x:c r="I34" s="686"/>
      <x:c r="J34" s="686"/>
      <x:c r="K34" s="686"/>
      <x:c r="L34" s="686"/>
      <x:c r="M34" s="686"/>
      <x:c r="N34" s="687"/>
    </x:row>
    <x:row r="35" ht="28" customHeight="1">
      <x:c r="H35" s="688"/>
      <x:c r="I35" s="689"/>
      <x:c r="J35" s="689"/>
      <x:c r="K35" s="689"/>
      <x:c r="L35" s="689"/>
      <x:c r="M35" s="689"/>
      <x:c r="N35" s="690"/>
    </x:row>
    <x:row r="36" ht="28" customHeight="1">
      <x:c r="H36" s="688"/>
      <x:c r="I36" s="689"/>
      <x:c r="J36" s="689"/>
      <x:c r="K36" s="689"/>
      <x:c r="L36" s="689"/>
      <x:c r="M36" s="689"/>
      <x:c r="N36" s="690"/>
    </x:row>
    <x:row r="37" ht="28" customHeight="1">
      <x:c r="H37" s="688"/>
      <x:c r="I37" s="689"/>
      <x:c r="J37" s="689"/>
      <x:c r="K37" s="689"/>
      <x:c r="L37" s="689"/>
      <x:c r="M37" s="689"/>
      <x:c r="N37" s="690"/>
    </x:row>
    <x:row r="38" ht="28" customHeight="1">
      <x:c r="H38" s="688"/>
      <x:c r="I38" s="689"/>
      <x:c r="J38" s="689"/>
      <x:c r="K38" s="689"/>
      <x:c r="L38" s="689"/>
      <x:c r="M38" s="689"/>
      <x:c r="N38" s="690"/>
    </x:row>
    <x:row r="39" ht="28" customHeight="1">
      <x:c r="H39" s="688"/>
      <x:c r="I39" s="689"/>
      <x:c r="J39" s="689"/>
      <x:c r="K39" s="689"/>
      <x:c r="L39" s="689"/>
      <x:c r="M39" s="689"/>
      <x:c r="N39" s="690"/>
    </x:row>
    <x:row r="40" ht="28" customHeight="1">
      <x:c r="H40" s="688"/>
      <x:c r="I40" s="689"/>
      <x:c r="J40" s="689"/>
      <x:c r="K40" s="689"/>
      <x:c r="L40" s="689"/>
      <x:c r="M40" s="689"/>
      <x:c r="N40" s="690"/>
    </x:row>
    <x:row r="41" ht="28" customHeight="1">
      <x:c r="H41" s="691"/>
      <x:c r="I41" s="692"/>
      <x:c r="J41" s="692"/>
      <x:c r="K41" s="692"/>
      <x:c r="L41" s="692"/>
      <x:c r="M41" s="692"/>
      <x:c r="N41" s="693"/>
    </x:row>
    <x:row r="43" ht="22" customHeight="1">
      <x:c r="H43" s="415" t="str">
        <x:v>Model control</x:v>
      </x:c>
      <x:c r="I43" s="415" t="str">
        <x:v>Model control</x:v>
      </x:c>
      <x:c r="J43" s="415" t="str">
        <x:v>Model control</x:v>
      </x:c>
      <x:c r="K43" s="415" t="str">
        <x:v>Model control</x:v>
      </x:c>
      <x:c r="L43" s="415" t="str">
        <x:v>Model control</x:v>
      </x:c>
      <x:c r="M43" s="415" t="str">
        <x:v>Model control</x:v>
      </x:c>
      <x:c r="N43" s="415" t="str">
        <x:v>Model control</x:v>
      </x:c>
    </x:row>
    <x:row r="44">
      <x:c r="H44" s="722" t="str">
        <x:f>'P4 Checks'!A146</x:f>
        <x:v>OK — Phase 4 forecast and valuation reconciled; ready for Phase 5</x:v>
      </x:c>
      <x:c r="I44" s="723"/>
      <x:c r="J44" s="723"/>
      <x:c r="K44" s="723"/>
      <x:c r="L44" s="723"/>
      <x:c r="M44" s="723"/>
      <x:c r="N44" s="724"/>
    </x:row>
    <x:row r="45">
      <x:c r="H45" s="725"/>
      <x:c r="I45" s="726"/>
      <x:c r="J45" s="726"/>
      <x:c r="K45" s="726"/>
      <x:c r="L45" s="726"/>
      <x:c r="M45" s="726"/>
      <x:c r="N45" s="727"/>
    </x:row>
    <x:row r="46">
      <x:c r="H46" s="728"/>
      <x:c r="I46" s="729"/>
      <x:c r="J46" s="729"/>
      <x:c r="K46" s="729"/>
      <x:c r="L46" s="729"/>
      <x:c r="M46" s="729"/>
      <x:c r="N46" s="730"/>
    </x:row>
    <x:row r="48" ht="32" customHeight="1">
      <x:c r="A48" s="421" t="str">
        <x:v>Year</x:v>
      </x:c>
      <x:c r="B48" s="421" t="str">
        <x:v>Base throughput</x:v>
      </x:c>
      <x:c r="C48" s="421" t="str">
        <x:v>Bull throughput</x:v>
      </x:c>
      <x:c r="D48" s="421" t="str">
        <x:v>Bear throughput</x:v>
      </x:c>
      <x:c r="F48" s="421" t="str">
        <x:v>Year</x:v>
      </x:c>
      <x:c r="G48" s="421" t="str">
        <x:v>Revenue</x:v>
      </x:c>
      <x:c r="H48" s="421" t="str">
        <x:v>Parent PAT</x:v>
      </x:c>
      <x:c r="J48" s="421" t="str">
        <x:v>Scenario</x:v>
      </x:c>
      <x:c r="K48" s="421" t="str">
        <x:v>Value</x:v>
      </x:c>
    </x:row>
    <x:row r="49" ht="22" customHeight="1">
      <x:c r="A49" s="85" t="str">
        <x:v>2025A</x:v>
      </x:c>
      <x:c r="B49" s="133" t="n">
        <x:f>'P4 Forecast'!C8</x:f>
        <x:v>5.079</x:v>
      </x:c>
      <x:c r="C49" s="133" t="n">
        <x:f>'P4 Forecast'!C48</x:f>
        <x:v>5.079</x:v>
      </x:c>
      <x:c r="D49" s="637" t="n">
        <x:f>'P4 Forecast'!C88</x:f>
        <x:v>5.079</x:v>
      </x:c>
      <x:c r="F49" s="85" t="str">
        <x:v>2025A</x:v>
      </x:c>
      <x:c r="G49" s="210" t="n">
        <x:f>'P4 Forecast'!C16</x:f>
        <x:v>5956.025297015</x:v>
      </x:c>
      <x:c r="H49" s="653" t="n">
        <x:f>'P4 Forecast'!C34</x:f>
        <x:v>1755.629825296</x:v>
      </x:c>
      <x:c r="J49" s="85" t="str">
        <x:v>Current</x:v>
      </x:c>
      <x:c r="K49" s="663" t="n">
        <x:f>'P4 Valuation'!C6</x:f>
        <x:v>73200</x:v>
      </x:c>
    </x:row>
    <x:row r="50" ht="22" customHeight="1">
      <x:c r="A50" s="88" t="str">
        <x:v>2026E</x:v>
      </x:c>
      <x:c r="B50" s="134" t="n">
        <x:f>'P4 Forecast'!D8</x:f>
        <x:v>5.684800000000001</x:v>
      </x:c>
      <x:c r="C50" s="134" t="n">
        <x:f>'P4 Forecast'!D48</x:f>
        <x:v>5.969040000000001</x:v>
      </x:c>
      <x:c r="D50" s="638" t="n">
        <x:f>'P4 Forecast'!D88</x:f>
        <x:v>5.2836</x:v>
      </x:c>
      <x:c r="F50" s="88" t="str">
        <x:v>2026E</x:v>
      </x:c>
      <x:c r="G50" s="211" t="n">
        <x:f>'P4 Forecast'!D16</x:f>
        <x:v>6757.498469512975</x:v>
      </x:c>
      <x:c r="H50" s="654" t="n">
        <x:f>'P4 Forecast'!D34</x:f>
        <x:v>2124.3038388766777</x:v>
      </x:c>
      <x:c r="J50" s="88" t="str">
        <x:v>Base</x:v>
      </x:c>
      <x:c r="K50" s="664" t="n">
        <x:f>'P4 Valuation'!C16</x:f>
        <x:v>84500</x:v>
      </x:c>
    </x:row>
    <x:row r="51" ht="22" customHeight="1">
      <x:c r="A51" s="88" t="str">
        <x:v>2027E</x:v>
      </x:c>
      <x:c r="B51" s="134" t="n">
        <x:f>'P4 Forecast'!E8</x:f>
        <x:v>6.260760000000001</x:v>
      </x:c>
      <x:c r="C51" s="134" t="n">
        <x:f>'P4 Forecast'!E48</x:f>
        <x:v>6.945792000000002</x:v>
      </x:c>
      <x:c r="D51" s="638" t="n">
        <x:f>'P4 Forecast'!E88</x:f>
        <x:v>5.3685659999999995</x:v>
      </x:c>
      <x:c r="F51" s="88" t="str">
        <x:v>2027E</x:v>
      </x:c>
      <x:c r="G51" s="211" t="n">
        <x:f>'P4 Forecast'!E16</x:f>
        <x:v>7603.459943653505</x:v>
      </x:c>
      <x:c r="H51" s="654" t="n">
        <x:f>'P4 Forecast'!E34</x:f>
        <x:v>2391.999423569727</x:v>
      </x:c>
      <x:c r="J51" s="88" t="str">
        <x:v>Bull</x:v>
      </x:c>
      <x:c r="K51" s="664" t="n">
        <x:f>'P4 Valuation'!D16</x:f>
        <x:v>115500</x:v>
      </x:c>
    </x:row>
    <x:row r="52" ht="22" customHeight="1">
      <x:c r="A52" s="88" t="str">
        <x:v>2028E</x:v>
      </x:c>
      <x:c r="B52" s="134" t="n">
        <x:f>'P4 Forecast'!F8</x:f>
        <x:v>7.044768720000002</x:v>
      </x:c>
      <x:c r="C52" s="134" t="n">
        <x:f>'P4 Forecast'!F48</x:f>
        <x:v>8.356656000000001</x:v>
      </x:c>
      <x:c r="D52" s="638" t="n">
        <x:f>'P4 Forecast'!F88</x:f>
        <x:v>5.550950159999999</x:v>
      </x:c>
      <x:c r="F52" s="88" t="str">
        <x:v>2028E</x:v>
      </x:c>
      <x:c r="G52" s="211" t="n">
        <x:f>'P4 Forecast'!F16</x:f>
        <x:v>8736.01097698022</x:v>
      </x:c>
      <x:c r="H52" s="654" t="n">
        <x:f>'P4 Forecast'!F34</x:f>
        <x:v>2818.6100153044968</x:v>
      </x:c>
      <x:c r="J52" s="91" t="str">
        <x:v>Bear</x:v>
      </x:c>
      <x:c r="K52" s="665" t="n">
        <x:f>'P4 Valuation'!E16</x:f>
        <x:v>51000</x:v>
      </x:c>
    </x:row>
    <x:row r="53" ht="22" customHeight="1">
      <x:c r="A53" s="88" t="str">
        <x:v>2029E</x:v>
      </x:c>
      <x:c r="B53" s="134" t="n">
        <x:f>'P4 Forecast'!G8</x:f>
        <x:v>7.824879612000003</x:v>
      </x:c>
      <x:c r="C53" s="134" t="n">
        <x:f>'P4 Forecast'!G48</x:f>
        <x:v>9.540913536000003</x:v>
      </x:c>
      <x:c r="D53" s="638" t="n">
        <x:f>'P4 Forecast'!G88</x:f>
        <x:v>5.794741889999999</x:v>
      </x:c>
      <x:c r="F53" s="88" t="str">
        <x:v>2029E</x:v>
      </x:c>
      <x:c r="G53" s="211" t="n">
        <x:f>'P4 Forecast'!G16</x:f>
        <x:v>9925.844654586946</x:v>
      </x:c>
      <x:c r="H53" s="654" t="n">
        <x:f>'P4 Forecast'!G34</x:f>
        <x:v>3261.872718281634</x:v>
      </x:c>
    </x:row>
    <x:row r="54" ht="22" customHeight="1">
      <x:c r="A54" s="91" t="str">
        <x:v>2030E</x:v>
      </x:c>
      <x:c r="B54" s="135" t="n">
        <x:f>'P4 Forecast'!H8</x:f>
        <x:v>8.538324517800003</x:v>
      </x:c>
      <x:c r="C54" s="135" t="n">
        <x:f>'P4 Forecast'!H48</x:f>
        <x:v>10.484690388480004</x:v>
      </x:c>
      <x:c r="D54" s="639" t="n">
        <x:f>'P4 Forecast'!H88</x:f>
        <x:v>6.106885319808</x:v>
      </x:c>
      <x:c r="F54" s="91" t="str">
        <x:v>2030E</x:v>
      </x:c>
      <x:c r="G54" s="212" t="n">
        <x:f>'P4 Forecast'!H16</x:f>
        <x:v>11100.373535548777</x:v>
      </x:c>
      <x:c r="H54" s="655" t="n">
        <x:f>'P4 Forecast'!H34</x:f>
        <x:v>3677.8156533843276</x:v>
      </x:c>
    </x:row>
  </x:sheetData>
  <x:mergeCells>
    <x:mergeCell ref="A1:N1"/>
    <x:mergeCell ref="A2:N2"/>
    <x:mergeCell ref="A4:N4"/>
    <x:mergeCell ref="A5:B5"/>
    <x:mergeCell ref="C5:D5"/>
    <x:mergeCell ref="E5:F5"/>
    <x:mergeCell ref="G5:H5"/>
    <x:mergeCell ref="I5:J5"/>
    <x:mergeCell ref="K5:L5"/>
    <x:mergeCell ref="M5:N5"/>
    <x:mergeCell ref="A6:B8"/>
    <x:mergeCell ref="C6:D8"/>
    <x:mergeCell ref="E6:F8"/>
    <x:mergeCell ref="G6:H8"/>
    <x:mergeCell ref="I6:J8"/>
    <x:mergeCell ref="K6:L8"/>
    <x:mergeCell ref="M6:N8"/>
    <x:mergeCell ref="A10:N10"/>
    <x:mergeCell ref="H33:N33"/>
    <x:mergeCell ref="H34:N41"/>
    <x:mergeCell ref="H43:N43"/>
    <x:mergeCell ref="H44:N46"/>
  </x:mergeCells>
  <x:conditionalFormatting sqref="A6:A6">
    <x:cfRule type="containsText" dxfId="12" priority="1" operator="containsText" text="BUY"/>
  </x:conditionalFormatting>
  <x:pageMargins left="0.7" right="0.7" top="0.75" bottom="0.75" header="0.3" footer="0.3"/>
  <x:drawing xmlns:r="http://schemas.openxmlformats.org/officeDocument/2006/relationships" r:id="R1f5cd8feeff14b2d"/>
</x:worksheet>
</file>

<file path=xl/worksheets/sheet35.xml><?xml version="1.0" encoding="utf-8"?>
<x:worksheet xmlns:x="http://schemas.openxmlformats.org/spreadsheetml/2006/main">
  <x:sheetViews>
    <x:sheetView showGridLines="0" workbookViewId="0"/>
  </x:sheetViews>
  <x:sheetFormatPr defaultRowHeight="15"/>
  <x:cols>
    <x:col min="1" max="1" width="15" hidden="0" customWidth="1"/>
    <x:col min="2" max="2" width="37" hidden="0" customWidth="1"/>
    <x:col min="3" max="3" width="17" hidden="0" customWidth="1"/>
    <x:col min="4" max="4" width="17" hidden="0" customWidth="1"/>
    <x:col min="5" max="5" width="17" hidden="0" customWidth="1"/>
    <x:col min="6" max="6" width="14" hidden="0" customWidth="1"/>
    <x:col min="7" max="7" width="15" hidden="0" customWidth="1"/>
    <x:col min="8" max="8" width="64" hidden="0" customWidth="1"/>
  </x:cols>
  <x:sheetData>
    <x:row r="1" ht="32" customHeight="1">
      <x:c r="A1" s="840" t="str">
        <x:v>Phase 5 — Portfolio Packaging &amp; Narrative Consistency Checks</x:v>
      </x:c>
      <x:c r="B1" s="840"/>
      <x:c r="C1" s="840"/>
      <x:c r="D1" s="840"/>
      <x:c r="E1" s="840"/>
      <x:c r="F1" s="840"/>
      <x:c r="G1" s="840"/>
      <x:c r="H1" s="840"/>
    </x:row>
    <x:row r="2" ht="28" customHeight="1">
      <x:c r="A2" s="738" t="str">
        <x:v>These controls tie the recruiter-facing call, note and interview script back to the audited model. Narrative caveats remain explicit even when the formula checks pass.</x:v>
      </x:c>
      <x:c r="B2" s="738"/>
      <x:c r="C2" s="738"/>
      <x:c r="D2" s="738"/>
      <x:c r="E2" s="738"/>
      <x:c r="F2" s="738"/>
      <x:c r="G2" s="738"/>
      <x:c r="H2" s="738"/>
    </x:row>
    <x:row r="4" ht="24" customHeight="1">
      <x:c r="A4" s="747" t="str">
        <x:v>Packaging control register</x:v>
      </x:c>
      <x:c r="B4" s="748" t="str">
        <x:v>Packaging control register</x:v>
      </x:c>
      <x:c r="C4" s="748" t="str">
        <x:v>Packaging control register</x:v>
      </x:c>
      <x:c r="D4" s="748" t="str">
        <x:v>Packaging control register</x:v>
      </x:c>
      <x:c r="E4" s="748" t="str">
        <x:v>Packaging control register</x:v>
      </x:c>
      <x:c r="F4" s="748" t="str">
        <x:v>Packaging control register</x:v>
      </x:c>
      <x:c r="G4" s="748" t="str">
        <x:v>Packaging control register</x:v>
      </x:c>
      <x:c r="H4" s="749" t="str">
        <x:v>Packaging control register</x:v>
      </x:c>
    </x:row>
    <x:row r="5">
      <x:c r="A5" s="755" t="str">
        <x:v>ID</x:v>
      </x:c>
      <x:c r="B5" s="755" t="str">
        <x:v>Check</x:v>
      </x:c>
      <x:c r="C5" s="755" t="str">
        <x:v>Actual</x:v>
      </x:c>
      <x:c r="D5" s="755" t="str">
        <x:v>Expected</x:v>
      </x:c>
      <x:c r="E5" s="755" t="str">
        <x:v>Difference</x:v>
      </x:c>
      <x:c r="F5" s="755" t="str">
        <x:v>Tolerance</x:v>
      </x:c>
      <x:c r="G5" s="755" t="str">
        <x:v>Status</x:v>
      </x:c>
      <x:c r="H5" s="755" t="str">
        <x:v>Narrative / fix hint</x:v>
      </x:c>
    </x:row>
    <x:row r="6">
      <x:c r="A6" s="759" t="str">
        <x:v>P5-01</x:v>
      </x:c>
      <x:c r="B6" s="759" t="str">
        <x:v>Phase 3 controls</x:v>
      </x:c>
      <x:c r="C6" s="841" t="n">
        <x:f>COUNTIF('P3 Checks'!F6:F54,"REVIEW")</x:f>
        <x:v>0</x:v>
      </x:c>
      <x:c r="D6" s="841" t="n">
        <x:v>0</x:v>
      </x:c>
      <x:c r="E6" s="841" t="n">
        <x:f>C6-D6</x:f>
        <x:v>0</x:v>
      </x:c>
      <x:c r="F6" s="841" t="n">
        <x:v>0</x:v>
      </x:c>
      <x:c r="G6" s="841" t="str">
        <x:f>IF(ABS(E6)&lt;=F6,"OK","REVIEW")</x:f>
        <x:v>OK</x:v>
      </x:c>
      <x:c r="H6" s="759" t="str">
        <x:v>Historical model must reconcile.</x:v>
      </x:c>
    </x:row>
    <x:row r="7">
      <x:c r="A7" s="759" t="str">
        <x:v>P5-02</x:v>
      </x:c>
      <x:c r="B7" s="759" t="str">
        <x:v>Phase 4 controls</x:v>
      </x:c>
      <x:c r="C7" s="841" t="n">
        <x:f>COUNTIF('P4 Checks'!G6:G142,"REVIEW")</x:f>
        <x:v>0</x:v>
      </x:c>
      <x:c r="D7" s="841" t="n">
        <x:v>0</x:v>
      </x:c>
      <x:c r="E7" s="841" t="n">
        <x:f>C7-D7</x:f>
        <x:v>0</x:v>
      </x:c>
      <x:c r="F7" s="841" t="n">
        <x:v>0</x:v>
      </x:c>
      <x:c r="G7" s="841" t="str">
        <x:f>IF(ABS(E7)&lt;=F7,"OK","REVIEW")</x:f>
        <x:v>OK</x:v>
      </x:c>
      <x:c r="H7" s="759" t="str">
        <x:v>Forecast and valuation must reconcile.</x:v>
      </x:c>
    </x:row>
    <x:row r="8">
      <x:c r="A8" s="759" t="str">
        <x:v>P5-03</x:v>
      </x:c>
      <x:c r="B8" s="759" t="str">
        <x:v>Cover rating tie</x:v>
      </x:c>
      <x:c r="C8" s="841" t="n">
        <x:f>IF(Cover!A6='P4 Valuation'!C18,1,0)</x:f>
        <x:v>1</x:v>
      </x:c>
      <x:c r="D8" s="841" t="n">
        <x:v>1</x:v>
      </x:c>
      <x:c r="E8" s="841" t="n">
        <x:f>C8-D8</x:f>
        <x:v>0</x:v>
      </x:c>
      <x:c r="F8" s="841" t="n">
        <x:v>0</x:v>
      </x:c>
      <x:c r="G8" s="841" t="str">
        <x:f>IF(ABS(E8)&lt;=F8,"OK","REVIEW")</x:f>
        <x:v>OK</x:v>
      </x:c>
      <x:c r="H8" s="759" t="str">
        <x:v>Cover must link to Base rating.</x:v>
      </x:c>
    </x:row>
    <x:row r="9">
      <x:c r="A9" s="759" t="str">
        <x:v>P5-04</x:v>
      </x:c>
      <x:c r="B9" s="759" t="str">
        <x:v>Cover target-price tie</x:v>
      </x:c>
      <x:c r="C9" s="841" t="n">
        <x:f>Cover!B6-'P4 Valuation'!C16</x:f>
        <x:v>0</x:v>
      </x:c>
      <x:c r="D9" s="841" t="n">
        <x:v>0</x:v>
      </x:c>
      <x:c r="E9" s="841" t="n">
        <x:f>C9-D9</x:f>
        <x:v>0</x:v>
      </x:c>
      <x:c r="F9" s="841" t="n">
        <x:v>0.01</x:v>
      </x:c>
      <x:c r="G9" s="841" t="str">
        <x:f>IF(ABS(E9)&lt;=F9,"OK","REVIEW")</x:f>
        <x:v>OK</x:v>
      </x:c>
      <x:c r="H9" s="759" t="str">
        <x:v>Cover must link to Base target price.</x:v>
      </x:c>
    </x:row>
    <x:row r="10">
      <x:c r="A10" s="759" t="str">
        <x:v>P5-05</x:v>
      </x:c>
      <x:c r="B10" s="759" t="str">
        <x:v>Cover current-price tie</x:v>
      </x:c>
      <x:c r="C10" s="841" t="n">
        <x:f>Cover!C6-'P4 Valuation'!C6</x:f>
        <x:v>0</x:v>
      </x:c>
      <x:c r="D10" s="841" t="n">
        <x:v>0</x:v>
      </x:c>
      <x:c r="E10" s="841" t="n">
        <x:f>C10-D10</x:f>
        <x:v>0</x:v>
      </x:c>
      <x:c r="F10" s="841" t="n">
        <x:v>0.01</x:v>
      </x:c>
      <x:c r="G10" s="841" t="str">
        <x:f>IF(ABS(E10)&lt;=F10,"OK","REVIEW")</x:f>
        <x:v>OK</x:v>
      </x:c>
      <x:c r="H10" s="759" t="str">
        <x:v>Cover must link to valuation-date close.</x:v>
      </x:c>
    </x:row>
    <x:row r="11">
      <x:c r="A11" s="759" t="str">
        <x:v>P5-06</x:v>
      </x:c>
      <x:c r="B11" s="759" t="str">
        <x:v>Cover upside tie</x:v>
      </x:c>
      <x:c r="C11" s="841" t="n">
        <x:f>Cover!D6-'P4 Valuation'!C17</x:f>
        <x:v>0</x:v>
      </x:c>
      <x:c r="D11" s="841" t="n">
        <x:v>0</x:v>
      </x:c>
      <x:c r="E11" s="841" t="n">
        <x:f>C11-D11</x:f>
        <x:v>0</x:v>
      </x:c>
      <x:c r="F11" s="841" t="n">
        <x:v>0.0001</x:v>
      </x:c>
      <x:c r="G11" s="841" t="str">
        <x:f>IF(ABS(E11)&lt;=F11,"OK","REVIEW")</x:f>
        <x:v>OK</x:v>
      </x:c>
      <x:c r="H11" s="759" t="str">
        <x:v>Cover must link to Base upside.</x:v>
      </x:c>
    </x:row>
    <x:row r="12">
      <x:c r="A12" s="759" t="str">
        <x:v>P5-07</x:v>
      </x:c>
      <x:c r="B12" s="759" t="str">
        <x:v>2026 revenue tie</x:v>
      </x:c>
      <x:c r="C12" s="841" t="n">
        <x:f>Cover!E6-'P4 Forecast'!D16</x:f>
        <x:v>0</x:v>
      </x:c>
      <x:c r="D12" s="841" t="n">
        <x:v>0</x:v>
      </x:c>
      <x:c r="E12" s="841" t="n">
        <x:f>C12-D12</x:f>
        <x:v>0</x:v>
      </x:c>
      <x:c r="F12" s="841" t="n">
        <x:v>0.01</x:v>
      </x:c>
      <x:c r="G12" s="841" t="str">
        <x:f>IF(ABS(E12)&lt;=F12,"OK","REVIEW")</x:f>
        <x:v>OK</x:v>
      </x:c>
      <x:c r="H12" s="759" t="str">
        <x:v>Recruiter summary matches forecast.</x:v>
      </x:c>
    </x:row>
    <x:row r="13">
      <x:c r="A13" s="759" t="str">
        <x:v>P5-08</x:v>
      </x:c>
      <x:c r="B13" s="759" t="str">
        <x:v>2026 PBT tie</x:v>
      </x:c>
      <x:c r="C13" s="841" t="n">
        <x:f>Cover!F6-'P4 Forecast'!D28</x:f>
        <x:v>0</x:v>
      </x:c>
      <x:c r="D13" s="841" t="n">
        <x:v>0</x:v>
      </x:c>
      <x:c r="E13" s="841" t="n">
        <x:f>C13-D13</x:f>
        <x:v>0</x:v>
      </x:c>
      <x:c r="F13" s="841" t="n">
        <x:v>0.01</x:v>
      </x:c>
      <x:c r="G13" s="841" t="str">
        <x:f>IF(ABS(E13)&lt;=F13,"OK","REVIEW")</x:f>
        <x:v>OK</x:v>
      </x:c>
      <x:c r="H13" s="759" t="str">
        <x:v>Recruiter summary matches forecast.</x:v>
      </x:c>
    </x:row>
    <x:row r="14">
      <x:c r="A14" s="759" t="str">
        <x:v>P5-09</x:v>
      </x:c>
      <x:c r="B14" s="759" t="str">
        <x:v>2026 EPS tie</x:v>
      </x:c>
      <x:c r="C14" s="841" t="n">
        <x:f>Cover!G6-'P4 Forecast'!D35</x:f>
        <x:v>0</x:v>
      </x:c>
      <x:c r="D14" s="841" t="n">
        <x:v>0</x:v>
      </x:c>
      <x:c r="E14" s="841" t="n">
        <x:f>C14-D14</x:f>
        <x:v>0</x:v>
      </x:c>
      <x:c r="F14" s="841" t="n">
        <x:v>0.01</x:v>
      </x:c>
      <x:c r="G14" s="841" t="str">
        <x:f>IF(ABS(E14)&lt;=F14,"OK","REVIEW")</x:f>
        <x:v>OK</x:v>
      </x:c>
      <x:c r="H14" s="759" t="str">
        <x:v>Recruiter summary matches forecast.</x:v>
      </x:c>
    </x:row>
    <x:row r="15">
      <x:c r="A15" s="759" t="str">
        <x:v>P5-10</x:v>
      </x:c>
      <x:c r="B15" s="759" t="str">
        <x:v>Scenario target ordering</x:v>
      </x:c>
      <x:c r="C15" s="841" t="n">
        <x:f>IF('P4 Valuation'!D16&gt;'P4 Valuation'!C16,1,0)+IF('P4 Valuation'!C16&gt;'P4 Valuation'!E16,1,0)</x:f>
        <x:v>2</x:v>
      </x:c>
      <x:c r="D15" s="841" t="n">
        <x:v>2</x:v>
      </x:c>
      <x:c r="E15" s="841" t="n">
        <x:f>C15-D15</x:f>
        <x:v>0</x:v>
      </x:c>
      <x:c r="F15" s="841" t="n">
        <x:v>0</x:v>
      </x:c>
      <x:c r="G15" s="841" t="str">
        <x:f>IF(ABS(E15)&lt;=F15,"OK","REVIEW")</x:f>
        <x:v>OK</x:v>
      </x:c>
      <x:c r="H15" s="759" t="str">
        <x:v>Bull &gt; Base &gt; Bear.</x:v>
      </x:c>
    </x:row>
    <x:row r="16">
      <x:c r="A16" s="759" t="str">
        <x:v>P5-11</x:v>
      </x:c>
      <x:c r="B16" s="759" t="str">
        <x:v>Probability-weighted target tie</x:v>
      </x:c>
      <x:c r="C16" s="841" t="n">
        <x:f>'P4 Valuation'!C22</x:f>
        <x:v>84000</x:v>
      </x:c>
      <x:c r="D16" s="841" t="n">
        <x:v>84000</x:v>
      </x:c>
      <x:c r="E16" s="841" t="n">
        <x:f>C16-D16</x:f>
        <x:v>0</x:v>
      </x:c>
      <x:c r="F16" s="841" t="n">
        <x:v>0.01</x:v>
      </x:c>
      <x:c r="G16" s="841" t="str">
        <x:f>IF(ABS(E16)&lt;=F16,"OK","REVIEW")</x:f>
        <x:v>OK</x:v>
      </x:c>
      <x:c r="H16" s="759" t="str">
        <x:v>Slide/script output must use the same weighted target.</x:v>
      </x:c>
    </x:row>
    <x:row r="17">
      <x:c r="A17" s="759" t="str">
        <x:v>P5-12</x:v>
      </x:c>
      <x:c r="B17" s="759" t="str">
        <x:v>Registered source count</x:v>
      </x:c>
      <x:c r="C17" s="841" t="n">
        <x:f>COUNTA('Source Audit'!A7:A47)</x:f>
        <x:v>41</x:v>
      </x:c>
      <x:c r="D17" s="841" t="n">
        <x:v>41</x:v>
      </x:c>
      <x:c r="E17" s="841" t="n">
        <x:f>C17-D17</x:f>
        <x:v>0</x:v>
      </x:c>
      <x:c r="F17" s="841" t="n">
        <x:v>0</x:v>
      </x:c>
      <x:c r="G17" s="841" t="str">
        <x:f>IF(ABS(E17)&lt;=F17,"OK","REVIEW")</x:f>
        <x:v>OK</x:v>
      </x:c>
      <x:c r="H17" s="759" t="str">
        <x:v>All cited source IDs remain registered.</x:v>
      </x:c>
    </x:row>
    <x:row r="18">
      <x:c r="A18" s="759" t="str">
        <x:v>P5-13</x:v>
      </x:c>
      <x:c r="B18" s="759" t="str">
        <x:v>Base BUY hurdle</x:v>
      </x:c>
      <x:c r="C18" s="841" t="n">
        <x:f>'P4 Valuation'!C17</x:f>
        <x:v>0.15437158469945356</x:v>
      </x:c>
      <x:c r="D18" s="841" t="n">
        <x:f>'P4 Assumptions'!C120</x:f>
        <x:v>0.15</x:v>
      </x:c>
      <x:c r="E18" s="841" t="n">
        <x:f>C18-D18</x:f>
        <x:v>0.004371584699453562</x:v>
      </x:c>
      <x:c r="F18" s="841" t="n">
        <x:v>0.005</x:v>
      </x:c>
      <x:c r="G18" s="841" t="str">
        <x:f>IF(ABS(E18)&lt;=F18,"OK","REVIEW")</x:f>
        <x:v>OK</x:v>
      </x:c>
      <x:c r="H18" s="759" t="str">
        <x:v>Base upside only narrowly clears the threshold; disclose limited margin of safety.</x:v>
      </x:c>
    </x:row>
    <x:row r="19">
      <x:c r="A19" s="759" t="str">
        <x:v>P5-14</x:v>
      </x:c>
      <x:c r="B19" s="759" t="str">
        <x:v>Probability-weighted hurdle gap</x:v>
      </x:c>
      <x:c r="C19" s="841" t="n">
        <x:f>'P4 Valuation'!C23-'P4 Assumptions'!C120</x:f>
        <x:v>-0.0024590163934426756</x:v>
      </x:c>
      <x:c r="D19" s="841" t="n">
        <x:v>-0.00245901639344268</x:v>
      </x:c>
      <x:c r="E19" s="841" t="n">
        <x:f>C19-D19</x:f>
        <x:v>4.336808689942018e-18</x:v>
      </x:c>
      <x:c r="F19" s="841" t="n">
        <x:v>0.0001</x:v>
      </x:c>
      <x:c r="G19" s="841" t="str">
        <x:f>IF(ABS(E19)&lt;=F19,"OK","REVIEW")</x:f>
        <x:v>OK</x:v>
      </x:c>
      <x:c r="H19" s="759" t="str">
        <x:v>Weighted upside remains just below the BUY threshold; keep this caveat in the note.</x:v>
      </x:c>
    </x:row>
    <x:row r="21" ht="24" customHeight="1">
      <x:c r="A21" s="747" t="str">
        <x:v>Phase 5 package status</x:v>
      </x:c>
      <x:c r="B21" s="748" t="str">
        <x:v>Phase 5 package status</x:v>
      </x:c>
      <x:c r="C21" s="748" t="str">
        <x:v>Phase 5 package status</x:v>
      </x:c>
      <x:c r="D21" s="748" t="str">
        <x:v>Phase 5 package status</x:v>
      </x:c>
      <x:c r="E21" s="748" t="str">
        <x:v>Phase 5 package status</x:v>
      </x:c>
      <x:c r="F21" s="748" t="str">
        <x:v>Phase 5 package status</x:v>
      </x:c>
      <x:c r="G21" s="748" t="str">
        <x:v>Phase 5 package status</x:v>
      </x:c>
      <x:c r="H21" s="749" t="str">
        <x:v>Phase 5 package status</x:v>
      </x:c>
    </x:row>
    <x:row r="22" ht="34" customHeight="1">
      <x:c r="A22" s="862" t="str">
        <x:f>IF(COUNTIF(G6:G19,"REVIEW")=0,"OK — Phase 5 package ties to the final model and is ready for portfolio use","REVIEW — resolve packaging controls before sharing")</x:f>
        <x:v>OK — Phase 5 package ties to the final model and is ready for portfolio use</x:v>
      </x:c>
      <x:c r="B22" s="863"/>
      <x:c r="C22" s="863"/>
      <x:c r="D22" s="863"/>
      <x:c r="E22" s="863"/>
      <x:c r="F22" s="863"/>
      <x:c r="G22" s="863"/>
      <x:c r="H22" s="864"/>
    </x:row>
    <x:row r="23" ht="34" customHeight="1">
      <x:c r="A23" s="865"/>
      <x:c r="B23" s="866"/>
      <x:c r="C23" s="866"/>
      <x:c r="D23" s="866"/>
      <x:c r="E23" s="866"/>
      <x:c r="F23" s="866"/>
      <x:c r="G23" s="866"/>
      <x:c r="H23" s="867"/>
    </x:row>
    <x:row r="25" ht="24" customHeight="1">
      <x:c r="A25" s="747" t="str">
        <x:v>Required disclosure in recruiter-facing outputs</x:v>
      </x:c>
      <x:c r="B25" s="748" t="str">
        <x:v>Required disclosure in recruiter-facing outputs</x:v>
      </x:c>
      <x:c r="C25" s="748" t="str">
        <x:v>Required disclosure in recruiter-facing outputs</x:v>
      </x:c>
      <x:c r="D25" s="748" t="str">
        <x:v>Required disclosure in recruiter-facing outputs</x:v>
      </x:c>
      <x:c r="E25" s="748" t="str">
        <x:v>Required disclosure in recruiter-facing outputs</x:v>
      </x:c>
      <x:c r="F25" s="748" t="str">
        <x:v>Required disclosure in recruiter-facing outputs</x:v>
      </x:c>
      <x:c r="G25" s="748" t="str">
        <x:v>Required disclosure in recruiter-facing outputs</x:v>
      </x:c>
      <x:c r="H25" s="749" t="str">
        <x:v>Required disclosure in recruiter-facing outputs</x:v>
      </x:c>
    </x:row>
    <x:row r="26" ht="25" customHeight="1">
      <x:c r="A26" s="868" t="str">
        <x:v>The Base case is a BUY with 15.4% upside, only modestly above the 15% hurdle. Probability-weighted upside is 14.8%. Present the call as execution-sensitive rather than high-conviction, and retain the Bear target of VND 51,000 as the explicit downside case.</x:v>
      </x:c>
      <x:c r="B26" s="869"/>
      <x:c r="C26" s="869"/>
      <x:c r="D26" s="869"/>
      <x:c r="E26" s="869"/>
      <x:c r="F26" s="869"/>
      <x:c r="G26" s="869"/>
      <x:c r="H26" s="870"/>
    </x:row>
    <x:row r="27" ht="25" customHeight="1">
      <x:c r="A27" s="871"/>
      <x:c r="B27" s="872"/>
      <x:c r="C27" s="872"/>
      <x:c r="D27" s="872"/>
      <x:c r="E27" s="872"/>
      <x:c r="F27" s="872"/>
      <x:c r="G27" s="872"/>
      <x:c r="H27" s="873"/>
    </x:row>
    <x:row r="28" ht="25" customHeight="1">
      <x:c r="A28" s="874"/>
      <x:c r="B28" s="875"/>
      <x:c r="C28" s="875"/>
      <x:c r="D28" s="875"/>
      <x:c r="E28" s="875"/>
      <x:c r="F28" s="875"/>
      <x:c r="G28" s="875"/>
      <x:c r="H28" s="876"/>
    </x:row>
  </x:sheetData>
  <x:mergeCells>
    <x:mergeCell ref="A1:H1"/>
    <x:mergeCell ref="A2:H2"/>
    <x:mergeCell ref="A4:H4"/>
    <x:mergeCell ref="A21:H21"/>
    <x:mergeCell ref="A22:H23"/>
    <x:mergeCell ref="A25:H25"/>
    <x:mergeCell ref="A26:H28"/>
  </x:mergeCells>
  <x:conditionalFormatting sqref="G6:G19">
    <x:cfRule type="containsText" dxfId="15" priority="1" operator="containsText" text="OK"/>
    <x:cfRule type="containsText" dxfId="16" priority="2" operator="containsText" text="REVIEW"/>
  </x:conditionalFormatting>
  <x:pageMargins left="0.7" right="0.7" top="0.75" bottom="0.75" header="0.3" footer="0.3"/>
</x:worksheet>
</file>