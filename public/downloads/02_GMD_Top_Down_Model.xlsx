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tables/table2.xml" ContentType="application/vnd.openxmlformats-officedocument.spreadsheetml.table+xml"/>
  <Override PartName="/xl/worksheets/sheet5.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tables/table3.xml" ContentType="application/vnd.openxmlformats-officedocument.spreadsheetml.table+xml"/>
  <Override PartName="/xl/worksheets/sheet6.xml" ContentType="application/vnd.openxmlformats-officedocument.spreadsheetml.worksheet+xml"/>
  <Override PartName="/xl/comments3.xml" ContentType="application/vnd.openxmlformats-officedocument.spreadsheetml.comments+xml"/>
  <Override PartName="/xl/threadedcomments/threadedcomment3.xml" ContentType="application/vnd.ms-excel.threadedcomments+xml"/>
  <Override PartName="/xl/tables/table4.xml" ContentType="application/vnd.openxmlformats-officedocument.spreadsheetml.table+xml"/>
  <Override PartName="/xl/worksheets/sheet7.xml" ContentType="application/vnd.openxmlformats-officedocument.spreadsheetml.worksheet+xml"/>
  <Override PartName="/xl/comments4.xml" ContentType="application/vnd.openxmlformats-officedocument.spreadsheetml.comments+xml"/>
  <Override PartName="/xl/threadedcomments/threadedcomment4.xml" ContentType="application/vnd.ms-excel.threadedcomments+xml"/>
  <Override PartName="/xl/tables/table5.xml" ContentType="application/vnd.openxmlformats-officedocument.spreadsheetml.table+xml"/>
  <Override PartName="/xl/tables/table6.xml" ContentType="application/vnd.openxmlformats-officedocument.spreadsheetml.table+xml"/>
  <Override PartName="/xl/worksheets/sheet8.xml" ContentType="application/vnd.openxmlformats-officedocument.spreadsheetml.worksheet+xml"/>
  <Override PartName="/xl/comments5.xml" ContentType="application/vnd.openxmlformats-officedocument.spreadsheetml.comments+xml"/>
  <Override PartName="/xl/threadedcomments/threadedcomment5.xml" ContentType="application/vnd.ms-excel.threadedcomments+xml"/>
  <Override PartName="/xl/tables/table7.xml" ContentType="application/vnd.openxmlformats-officedocument.spreadsheetml.table+xml"/>
  <Override PartName="/xl/worksheets/sheet9.xml" ContentType="application/vnd.openxmlformats-officedocument.spreadsheetml.worksheet+xml"/>
  <Override PartName="/xl/comments6.xml" ContentType="application/vnd.openxmlformats-officedocument.spreadsheetml.comments+xml"/>
  <Override PartName="/xl/threadedcomments/threadedcomment6.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comments7.xml" ContentType="application/vnd.openxmlformats-officedocument.spreadsheetml.comments+xml"/>
  <Override PartName="/xl/threadedcomments/threadedcomment7.xml" ContentType="application/vnd.ms-excel.threadedcomments+xml"/>
  <Override PartName="/xl/tables/table14.xml" ContentType="application/vnd.openxmlformats-officedocument.spreadsheetml.table+xml"/>
  <Override PartName="/xl/tables/table15.xml" ContentType="application/vnd.openxmlformats-officedocument.spreadsheetml.table+xml"/>
  <Override PartName="/xl/worksheets/sheet15.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tables/table16.xml" ContentType="application/vnd.openxmlformats-officedocument.spreadsheetml.table+xml"/>
  <Override PartName="/xl/tables/table17.xml" ContentType="application/vnd.openxmlformats-officedocument.spreadsheetml.table+xml"/>
  <Override PartName="/xl/worksheets/sheet16.xml" ContentType="application/vnd.openxmlformats-officedocument.spreadsheetml.worksheet+xml"/>
  <Override PartName="/xl/tables/table18.xml" ContentType="application/vnd.openxmlformats-officedocument.spreadsheetml.table+xml"/>
  <Override PartName="/xl/tables/table19.xml" ContentType="application/vnd.openxmlformats-officedocument.spreadsheetml.table+xml"/>
  <Override PartName="/xl/worksheets/sheet17.xml" ContentType="application/vnd.openxmlformats-officedocument.spreadsheetml.worksheet+xml"/>
  <Override PartName="/xl/tables/table20.xml" ContentType="application/vnd.openxmlformats-officedocument.spreadsheetml.table+xml"/>
  <Override PartName="/xl/worksheets/sheet18.xml" ContentType="application/vnd.openxmlformats-officedocument.spreadsheetml.worksheet+xml"/>
  <Override PartName="/xl/tables/table21.xml" ContentType="application/vnd.openxmlformats-officedocument.spreadsheetml.table+xml"/>
  <Override PartName="/xl/worksheets/sheet19.xml" ContentType="application/vnd.openxmlformats-officedocument.spreadsheetml.worksheet+xml"/>
  <Override PartName="/xl/tables/table22.xml" ContentType="application/vnd.openxmlformats-officedocument.spreadsheetml.table+xml"/>
  <Override PartName="/xl/worksheets/sheet20.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drawings/charts/chart3.xml" ContentType="application/vnd.openxmlformats-officedocument.drawingml.chart+xml"/>
  <Override PartName="/xl/worksheets/sheet21.xml" ContentType="application/vnd.openxmlformats-officedocument.spreadsheetml.worksheet+xml"/>
  <Override PartName="/xl/comments8.xml" ContentType="application/vnd.openxmlformats-officedocument.spreadsheetml.comments+xml"/>
  <Override PartName="/xl/threadedcomments/threadedcomment8.xml" ContentType="application/vnd.ms-excel.threadedcomments+xml"/>
  <Override PartName="/xl/worksheets/sheet22.xml" ContentType="application/vnd.openxmlformats-officedocument.spreadsheetml.worksheet+xml"/>
  <Override PartName="/xl/comments9.xml" ContentType="application/vnd.openxmlformats-officedocument.spreadsheetml.comments+xml"/>
  <Override PartName="/xl/threadedcomments/threadedcomment9.xml" ContentType="application/vnd.ms-excel.threadedcomments+xml"/>
  <Override PartName="/xl/worksheets/sheet23.xml" ContentType="application/vnd.openxmlformats-officedocument.spreadsheetml.worksheet+xml"/>
  <Override PartName="/xl/comments10.xml" ContentType="application/vnd.openxmlformats-officedocument.spreadsheetml.comments+xml"/>
  <Override PartName="/xl/threadedcomments/threadedcomment10.xml" ContentType="application/vnd.ms-excel.threadedcomments+xml"/>
  <Override PartName="/xl/worksheets/sheet24.xml" ContentType="application/vnd.openxmlformats-officedocument.spreadsheetml.worksheet+xml"/>
  <Override PartName="/xl/comments11.xml" ContentType="application/vnd.openxmlformats-officedocument.spreadsheetml.comments+xml"/>
  <Override PartName="/xl/threadedcomments/threadedcomment11.xml" ContentType="application/vnd.ms-excel.threadedcomments+xml"/>
  <Override PartName="/xl/worksheets/sheet25.xml" ContentType="application/vnd.openxmlformats-officedocument.spreadsheetml.worksheet+xml"/>
  <Override PartName="/xl/comments12.xml" ContentType="application/vnd.openxmlformats-officedocument.spreadsheetml.comments+xml"/>
  <Override PartName="/xl/threadedcomments/threadedcomment12.xml" ContentType="application/vnd.ms-excel.threadedcomments+xml"/>
  <Override PartName="/xl/worksheets/sheet26.xml" ContentType="application/vnd.openxmlformats-officedocument.spreadsheetml.worksheet+xml"/>
  <Override PartName="/xl/worksheets/sheet27.xml" ContentType="application/vnd.openxmlformats-officedocument.spreadsheetml.worksheet+xml"/>
  <Override PartName="/xl/comments13.xml" ContentType="application/vnd.openxmlformats-officedocument.spreadsheetml.comments+xml"/>
  <Override PartName="/xl/threadedcomments/threadedcomment13.xml" ContentType="application/vnd.ms-excel.threadedcomments+xml"/>
  <Override PartName="/xl/tables/table23.xml" ContentType="application/vnd.openxmlformats-officedocument.spreadsheetml.table+xml"/>
  <Override PartName="/xl/tables/table24.xml" ContentType="application/vnd.openxmlformats-officedocument.spreadsheetml.table+xml"/>
  <Override PartName="/xl/worksheets/sheet28.xml" ContentType="application/vnd.openxmlformats-officedocument.spreadsheetml.worksheet+xml"/>
  <Override PartName="/xl/comments14.xml" ContentType="application/vnd.openxmlformats-officedocument.spreadsheetml.comments+xml"/>
  <Override PartName="/xl/threadedcomments/threadedcomment14.xml" ContentType="application/vnd.ms-excel.threadedcomments+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drawings/drawing3.xml" ContentType="application/vnd.openxmlformats-officedocument.drawing+xml"/>
  <Override PartName="/xl/drawings/charts/chart4.xml" ContentType="application/vnd.openxmlformats-officedocument.drawingml.chart+xml"/>
  <Override PartName="/xl/drawings/charts/chart5.xml" ContentType="application/vnd.openxmlformats-officedocument.drawingml.chart+xml"/>
  <Override PartName="/xl/drawings/charts/chart6.xml" ContentType="application/vnd.openxmlformats-officedocument.drawingml.char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drawings/drawing4.xml" ContentType="application/vnd.openxmlformats-officedocument.drawing+xml"/>
  <Override PartName="/xl/drawings/charts/chart7.xml" ContentType="application/vnd.openxmlformats-officedocument.drawingml.chart+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efc69211f17c456f" /></Relationships>
</file>

<file path=xl/workbook.xml><?xml version="1.0" encoding="utf-8"?>
<x:workbook xmlns:x="http://schemas.openxmlformats.org/spreadsheetml/2006/main">
  <x:sheets>
    <x:sheet xmlns:r="http://schemas.openxmlformats.org/officeDocument/2006/relationships" name="Cover" sheetId="1" r:id="Rfa64c5d4283c4c67"/>
    <x:sheet xmlns:r="http://schemas.openxmlformats.org/officeDocument/2006/relationships" name="Phase 0 Brief" sheetId="2" r:id="Rd8b5efcf48ca4428"/>
    <x:sheet xmlns:r="http://schemas.openxmlformats.org/officeDocument/2006/relationships" name="Source Audit" sheetId="3" r:id="R79e4a9338c2142db"/>
    <x:sheet xmlns:r="http://schemas.openxmlformats.org/officeDocument/2006/relationships" name="Macro Annual" sheetId="4" r:id="R346801ef0b4c4d9e"/>
    <x:sheet xmlns:r="http://schemas.openxmlformats.org/officeDocument/2006/relationships" name="Macro H1 2026" sheetId="5" r:id="Rdd60af1c90654d7d"/>
    <x:sheet xmlns:r="http://schemas.openxmlformats.org/officeDocument/2006/relationships" name="Industry Facts" sheetId="6" r:id="R1b252a6cbb48427e"/>
    <x:sheet xmlns:r="http://schemas.openxmlformats.org/officeDocument/2006/relationships" name="GMD Historical" sheetId="7" r:id="Rbb3a1b851618440f"/>
    <x:sheet xmlns:r="http://schemas.openxmlformats.org/officeDocument/2006/relationships" name="GMD Operations" sheetId="8" r:id="R3833f355b6b74f7f"/>
    <x:sheet xmlns:r="http://schemas.openxmlformats.org/officeDocument/2006/relationships" name="Peer Registry" sheetId="9" r:id="R54f462ea04834b29"/>
    <x:sheet xmlns:r="http://schemas.openxmlformats.org/officeDocument/2006/relationships" name="Data Dictionary" sheetId="10" r:id="R0f8718be468446e1"/>
    <x:sheet xmlns:r="http://schemas.openxmlformats.org/officeDocument/2006/relationships" name="Gap Log" sheetId="11" r:id="Re9b2354f98d24aec"/>
    <x:sheet xmlns:r="http://schemas.openxmlformats.org/officeDocument/2006/relationships" name="Checks" sheetId="12" r:id="R4e3b2611d5b844bf"/>
    <x:sheet xmlns:r="http://schemas.openxmlformats.org/officeDocument/2006/relationships" name="P2 Regional Map" sheetId="13" r:id="Rc9e5f0eb628f4925"/>
    <x:sheet xmlns:r="http://schemas.openxmlformats.org/officeDocument/2006/relationships" name="P2 Peer Raw" sheetId="14" r:id="Rbb9bd100b9e54d71"/>
    <x:sheet xmlns:r="http://schemas.openxmlformats.org/officeDocument/2006/relationships" name="P2 Scorecard" sheetId="15" r:id="Rf26c08dbe6704445"/>
    <x:sheet xmlns:r="http://schemas.openxmlformats.org/officeDocument/2006/relationships" name="P2 Conclusion" sheetId="16" r:id="R5ea96f54995847f0"/>
    <x:sheet xmlns:r="http://schemas.openxmlformats.org/officeDocument/2006/relationships" name="P2 Checks" sheetId="17" r:id="R7d401d3891084d4e"/>
    <x:sheet xmlns:r="http://schemas.openxmlformats.org/officeDocument/2006/relationships" name="Raw GMD VNStock" sheetId="18" r:id="Rc14c731d00d2488b"/>
    <x:sheet xmlns:r="http://schemas.openxmlformats.org/officeDocument/2006/relationships" name="Raw GMD Disclosures" sheetId="19" r:id="R0e68fc0dab6e4370"/>
    <x:sheet xmlns:r="http://schemas.openxmlformats.org/officeDocument/2006/relationships" name="P3 Dashboard" sheetId="20" r:id="R58134ec9a9f44eac"/>
    <x:sheet xmlns:r="http://schemas.openxmlformats.org/officeDocument/2006/relationships" name="P3 Historical IS" sheetId="21" r:id="R0703e0d54345458a"/>
    <x:sheet xmlns:r="http://schemas.openxmlformats.org/officeDocument/2006/relationships" name="P3 Port Drivers" sheetId="22" r:id="Rfa0d72256ff040cd"/>
    <x:sheet xmlns:r="http://schemas.openxmlformats.org/officeDocument/2006/relationships" name="P3 Associates" sheetId="23" r:id="R5b74eafcce5e4348"/>
    <x:sheet xmlns:r="http://schemas.openxmlformats.org/officeDocument/2006/relationships" name="P3 Cash Flow" sheetId="24" r:id="R61d6c5fb4a23446d"/>
    <x:sheet xmlns:r="http://schemas.openxmlformats.org/officeDocument/2006/relationships" name="P3 Guidance" sheetId="25" r:id="Rcd5e45756653453d"/>
    <x:sheet xmlns:r="http://schemas.openxmlformats.org/officeDocument/2006/relationships" name="P3 Checks" sheetId="26" r:id="R9ae6ab0670444857"/>
    <x:sheet xmlns:r="http://schemas.openxmlformats.org/officeDocument/2006/relationships" name="Raw GMD Market" sheetId="27" r:id="Ra0dc4b97effa4d8c"/>
    <x:sheet xmlns:r="http://schemas.openxmlformats.org/officeDocument/2006/relationships" name="P4 Assumptions" sheetId="28" r:id="R4b0e4e1a059f4239"/>
    <x:sheet xmlns:r="http://schemas.openxmlformats.org/officeDocument/2006/relationships" name="P4 Forecast" sheetId="29" r:id="R95b5ae900fc84628"/>
    <x:sheet xmlns:r="http://schemas.openxmlformats.org/officeDocument/2006/relationships" name="P4 DCF" sheetId="30" r:id="R40469569b28a42fa"/>
    <x:sheet xmlns:r="http://schemas.openxmlformats.org/officeDocument/2006/relationships" name="P4 Valuation" sheetId="31" r:id="R0943a652f85642e3"/>
    <x:sheet xmlns:r="http://schemas.openxmlformats.org/officeDocument/2006/relationships" name="P4 Investment View" sheetId="32" r:id="Rdbfb4ec5eb3d4f06"/>
    <x:sheet xmlns:r="http://schemas.openxmlformats.org/officeDocument/2006/relationships" name="P4 Checks" sheetId="33" r:id="R9d9ae7f0b76e42ef"/>
    <x:sheet xmlns:r="http://schemas.openxmlformats.org/officeDocument/2006/relationships" name="P4 Dashboard" sheetId="34" r:id="Rfe1e10b865c34da4"/>
    <x:sheet xmlns:r="http://schemas.openxmlformats.org/officeDocument/2006/relationships" name="P5 QC" sheetId="35" r:id="R226280b0672e4114"/>
    <x:sheet xmlns:r="http://schemas.openxmlformats.org/officeDocument/2006/relationships" name="Raw Beta Prices" sheetId="38" r:id="R17cfb9c9847b44ae"/>
    <x:sheet xmlns:r="http://schemas.openxmlformats.org/officeDocument/2006/relationships" name="P4 Beta" sheetId="39" r:id="Rba740e8595394c98"/>
  </x:sheets>
</x:workbook>
</file>

<file path=xl/comments1.xml><?xml version="1.0" encoding="utf-8"?>
<x:comments xmlns:x="http://schemas.openxmlformats.org/spreadsheetml/2006/main">
  <x:authors>
    <x:author>tc={63146D7A-0999-1846-B25E-1DC3CA53E368}</x:author>
    <x:author>tc={87A70166-A5EE-2EAB-EA4E-7E3AB718A731}</x:author>
    <x:author>tc={3A5AC678-6081-2310-168C-3DCE65CFAD5B}</x:author>
    <x:author>tc={F86A5D85-A28F-1BFB-AF63-38A380FB2B4F}</x:author>
    <x:author>tc={5C27274A-DB57-49C6-B99E-00B6B1F86185}</x:author>
    <x:author>tc={BDBB4277-F3A1-AF6B-D0C0-E0B0F87278FC}</x:author>
    <x:author>tc={6CB1AC40-58F4-F956-2E99-A06C26B648E5}</x:author>
    <x:author>tc={5F97D693-7C94-D69D-017B-FAE1124A7035}</x:author>
    <x:author>tc={36359563-E6BE-EF6F-708E-B37B9B3BAB81}</x:author>
    <x:author>tc={9B3EDD4A-E3CF-90F7-FFBD-91C10D776252}</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SRC-M07 / SRC-M08: National Statistics Office annual releases. See Source Audit for the exact URL. Caveat: Trade value is not container throughput.</x:t>
        </x:r>
      </x:text>
    </x:comment>
    <x:comment ref="F7" authorId="1">
      <x:text>
        <x:r>
          <x:t>[Threaded comment]
Your version of Excel allows you to read this threaded comment; however, any edits to it will get removed if the file is opened in a newer version of Excel. Learn more: https://go.microsoft.com/fwlink/?linkid=870924
Comment:
    Source SRC-M07 / SRC-M08: National Statistics Office annual releases. See Source Audit for the exact URL. Caveat: Registered FDI is not realized activity.</x:t>
        </x:r>
      </x:text>
    </x:comment>
    <x:comment ref="B8" authorId="2">
      <x:text>
        <x:r>
          <x:t>[Threaded comment]
Your version of Excel allows you to read this threaded comment; however, any edits to it will get removed if the file is opened in a newer version of Excel. Learn more: https://go.microsoft.com/fwlink/?linkid=870924
Comment:
    Source SRC-M05 / SRC-M06: National Statistics Office annual releases. See Source Audit for the exact URL. Caveat: Trade value is not container throughput.</x:t>
        </x:r>
      </x:text>
    </x:comment>
    <x:comment ref="F8" authorId="3">
      <x:text>
        <x:r>
          <x:t>[Threaded comment]
Your version of Excel allows you to read this threaded comment; however, any edits to it will get removed if the file is opened in a newer version of Excel. Learn more: https://go.microsoft.com/fwlink/?linkid=870924
Comment:
    Source SRC-M05 / SRC-M06: National Statistics Office annual releases. See Source Audit for the exact URL. Caveat: Registered FDI is not realized activity.</x:t>
        </x:r>
      </x:text>
    </x:comment>
    <x:comment ref="B9" authorId="4">
      <x:text>
        <x:r>
          <x:t>[Threaded comment]
Your version of Excel allows you to read this threaded comment; however, any edits to it will get removed if the file is opened in a newer version of Excel. Learn more: https://go.microsoft.com/fwlink/?linkid=870924
Comment:
    Source SRC-M04: National Statistics Office annual releases. See Source Audit for the exact URL. Caveat: Trade value is not container throughput.</x:t>
        </x:r>
      </x:text>
    </x:comment>
    <x:comment ref="F9" authorId="5">
      <x:text>
        <x:r>
          <x:t>[Threaded comment]
Your version of Excel allows you to read this threaded comment; however, any edits to it will get removed if the file is opened in a newer version of Excel. Learn more: https://go.microsoft.com/fwlink/?linkid=870924
Comment:
    Source SRC-M04: National Statistics Office annual releases. See Source Audit for the exact URL. Caveat: Registered FDI is not realized activity.</x:t>
        </x:r>
      </x:text>
    </x:comment>
    <x:comment ref="B10" authorId="6">
      <x:text>
        <x:r>
          <x:t>[Threaded comment]
Your version of Excel allows you to read this threaded comment; however, any edits to it will get removed if the file is opened in a newer version of Excel. Learn more: https://go.microsoft.com/fwlink/?linkid=870924
Comment:
    Source SRC-M03: National Statistics Office annual releases. See Source Audit for the exact URL. Caveat: Trade value is not container throughput.</x:t>
        </x:r>
      </x:text>
    </x:comment>
    <x:comment ref="F10" authorId="7">
      <x:text>
        <x:r>
          <x:t>[Threaded comment]
Your version of Excel allows you to read this threaded comment; however, any edits to it will get removed if the file is opened in a newer version of Excel. Learn more: https://go.microsoft.com/fwlink/?linkid=870924
Comment:
    Source SRC-M03: National Statistics Office annual releases. See Source Audit for the exact URL. Caveat: Registered FDI is not realized activity.</x:t>
        </x:r>
      </x:text>
    </x:comment>
    <x:comment ref="B11" authorId="8">
      <x:text>
        <x:r>
          <x:t>[Threaded comment]
Your version of Excel allows you to read this threaded comment; however, any edits to it will get removed if the file is opened in a newer version of Excel. Learn more: https://go.microsoft.com/fwlink/?linkid=870924
Comment:
    Source SRC-M02: National Statistics Office annual releases. See Source Audit for the exact URL. Caveat: Trade value is not container throughput.</x:t>
        </x:r>
      </x:text>
    </x:comment>
    <x:comment ref="F11" authorId="9">
      <x:text>
        <x:r>
          <x:t>[Threaded comment]
Your version of Excel allows you to read this threaded comment; however, any edits to it will get removed if the file is opened in a newer version of Excel. Learn more: https://go.microsoft.com/fwlink/?linkid=870924
Comment:
    Source SRC-M02: National Statistics Office annual releases. See Source Audit for the exact URL. Caveat: Registered FDI is not realized activity.</x:t>
        </x:r>
      </x:text>
    </x:comment>
  </x:commentList>
</x:comments>
</file>

<file path=xl/comments2.xml><?xml version="1.0" encoding="utf-8"?>
<x:comments xmlns:x="http://schemas.openxmlformats.org/spreadsheetml/2006/main">
  <x:authors>
    <x:author>tc={7D145A6F-2FCE-AB7F-712D-6F125BC4C0C4}</x:author>
    <x:author>tc={97BE1A17-849D-6BBC-336F-235CFB05A45F}</x:author>
    <x:author>tc={BA0CE728-5612-6E79-AFAE-74E84BD876AD}</x:author>
    <x:author>tc={1F8FA1DD-FF11-EDCE-083E-5A9E8C1F5F43}</x:author>
    <x:author>tc={45D4ADE2-26D8-5327-5FB9-6E836546A9D6}</x:author>
  </x:authors>
  <x:commentList>
    <x:comment ref="C7" authorId="0">
      <x:text>
        <x:r>
          <x:t>[Threaded comment]
Your version of Excel allows you to read this threaded comment; however, any edits to it will get removed if the file is opened in a newer version of Excel. Learn more: https://go.microsoft.com/fwlink/?linkid=870924
Comment:
    Source SRC-M01: National Statistics Office 1H2026 release. https://www.nso.gov.vn/wp-content/uploads/2026/07/VN.-T6.2026-final.pdf. Caveat: Aggregate trade value is not container volume.</x:t>
        </x:r>
      </x:text>
    </x:comment>
    <x:comment ref="C8" authorId="1">
      <x:text>
        <x:r>
          <x:t>[Threaded comment]
Your version of Excel allows you to read this threaded comment; however, any edits to it will get removed if the file is opened in a newer version of Excel. Learn more: https://go.microsoft.com/fwlink/?linkid=870924
Comment:
    Source SRC-M01: National Statistics Office 1H2026 release. https://www.nso.gov.vn/wp-content/uploads/2026/07/VN.-T6.2026-final.pdf. Caveat: Product mix and prices can break the link to TEU.</x:t>
        </x:r>
      </x:text>
    </x:comment>
    <x:comment ref="C9" authorId="2">
      <x:text>
        <x:r>
          <x:t>[Threaded comment]
Your version of Excel allows you to read this threaded comment; however, any edits to it will get removed if the file is opened in a newer version of Excel. Learn more: https://go.microsoft.com/fwlink/?linkid=870924
Comment:
    Source SRC-M01: National Statistics Office 1H2026 release. https://www.nso.gov.vn/wp-content/uploads/2026/07/VN.-T6.2026-final.pdf. Caveat: Product mix and prices can break the link to TEU.</x:t>
        </x:r>
      </x:text>
    </x:comment>
    <x:comment ref="C10" authorId="3">
      <x:text>
        <x:r>
          <x:t>[Threaded comment]
Your version of Excel allows you to read this threaded comment; however, any edits to it will get removed if the file is opened in a newer version of Excel. Learn more: https://go.microsoft.com/fwlink/?linkid=870924
Comment:
    Source SRC-M01: National Statistics Office 1H2026 release. https://www.nso.gov.vn/wp-content/uploads/2026/07/VN.-T6.2026-final.pdf. Caveat: Not a near-term throughput proxy.</x:t>
        </x:r>
      </x:text>
    </x:comment>
    <x:comment ref="C11" authorId="4">
      <x:text>
        <x:r>
          <x:t>[Threaded comment]
Your version of Excel allows you to read this threaded comment; however, any edits to it will get removed if the file is opened in a newer version of Excel. Learn more: https://go.microsoft.com/fwlink/?linkid=870924
Comment:
    Source SRC-M01: National Statistics Office 1H2026 release. https://www.nso.gov.vn/wp-content/uploads/2026/07/VN.-T6.2026-final.pdf. Caveat: More relevant than registered FDI, but still indirect.</x:t>
        </x:r>
      </x:text>
    </x:comment>
  </x:commentList>
</x:comments>
</file>

<file path=xl/comments3.xml><?xml version="1.0" encoding="utf-8"?>
<x:comments xmlns:x="http://schemas.openxmlformats.org/spreadsheetml/2006/main">
  <x:authors>
    <x:author>tc={97B67ECE-BB22-C133-EB89-E3B37490B2C5}</x:author>
    <x:author>tc={8BA8C446-50DC-0EDB-C1F6-E6D767A63C00}</x:author>
    <x:author>tc={66EE6F11-650B-A9BA-27D6-88C04027AC1A}</x:author>
    <x:author>tc={EAF517EB-9888-FA03-3FE6-28ECA06B3827}</x:author>
    <x:author>tc={B890A45D-BC8F-1BB4-4E49-8B5BBD1FA5C6}</x:author>
    <x:author>tc={36AB642D-2B83-863F-EB62-DD8DF3E3CC72}</x:author>
    <x:author>tc={7BDE2E93-039C-D715-E9D5-D94C9B70FEF2}</x:author>
    <x:author>tc={C7442947-FFB4-BC6C-C7A2-F7CDE2DD1AD8}</x:author>
    <x:author>tc={0E5FE202-9084-6BFC-2D16-384A247DC0F2}</x:author>
    <x:author>tc={15F86856-04F6-E333-46D9-9492935FB546}</x:author>
    <x:author>tc={9D46B2F1-BA80-D25B-D983-A3708F1D56CC}</x:author>
  </x:authors>
  <x:commentList>
    <x:comment ref="C7" authorId="0">
      <x:text>
        <x:r>
          <x:t>[Threaded comment]
Your version of Excel allows you to read this threaded comment; however, any edits to it will get removed if the file is opened in a newer version of Excel. Learn more: https://go.microsoft.com/fwlink/?linkid=870924
Comment:
    Source SRC-I01: Vietnam Maritime and Waterway Administration. https://vimawa.gov.vn/vi/node/15301. Caveat: Scope is broader than seaports.</x:t>
        </x:r>
      </x:text>
    </x:comment>
    <x:comment ref="C8" authorId="1">
      <x:text>
        <x:r>
          <x:t>[Threaded comment]
Your version of Excel allows you to read this threaded comment; however, any edits to it will get removed if the file is opened in a newer version of Excel. Learn more: https://go.microsoft.com/fwlink/?linkid=870924
Comment:
    Source SRC-I01: Vietnam Maritime and Waterway Administration. https://vimawa.gov.vn/vi/node/15301. Caveat: Scope definition must stay unchanged.</x:t>
        </x:r>
      </x:text>
    </x:comment>
    <x:comment ref="C9" authorId="2">
      <x:text>
        <x:r>
          <x:t>[Threaded comment]
Your version of Excel allows you to read this threaded comment; however, any edits to it will get removed if the file is opened in a newer version of Excel. Learn more: https://go.microsoft.com/fwlink/?linkid=870924
Comment:
    Source SRC-I02: Vietnam Maritime Administration. https://vimawa.gov.vn/vi/node/14557. Caveat: Partial year; not annualized in Phase 1.</x:t>
        </x:r>
      </x:text>
    </x:comment>
    <x:comment ref="C10" authorId="3">
      <x:text>
        <x:r>
          <x:t>[Threaded comment]
Your version of Excel allows you to read this threaded comment; however, any edits to it will get removed if the file is opened in a newer version of Excel. Learn more: https://go.microsoft.com/fwlink/?linkid=870924
Comment:
    Source SRC-I02: Vietnam Maritime Administration. https://vimawa.gov.vn/vi/node/14557. Caveat: Route count can change; refresh before final report.</x:t>
        </x:r>
      </x:text>
    </x:comment>
    <x:comment ref="C11" authorId="4">
      <x:text>
        <x:r>
          <x:t>[Threaded comment]
Your version of Excel allows you to read this threaded comment; however, any edits to it will get removed if the file is opened in a newer version of Excel. Learn more: https://go.microsoft.com/fwlink/?linkid=870924
Comment:
    Source SRC-I02: Vietnam Maritime Administration. https://vimawa.gov.vn/vi/node/14557. Caveat: Includes Europe, America and intra-Asia.</x:t>
        </x:r>
      </x:text>
    </x:comment>
    <x:comment ref="C12" authorId="5">
      <x:text>
        <x:r>
          <x:t>[Threaded comment]
Your version of Excel allows you to read this threaded comment; however, any edits to it will get removed if the file is opened in a newer version of Excel. Learn more: https://go.microsoft.com/fwlink/?linkid=870924
Comment:
    Source SRC-I03: Vietnam Maritime and Waterway Administration. https://vimawa.gov.vn/vi/tin-tuc/quy-hoach-cang-bien-moi-ca-nuoc-con-23-cang-bien-uu-tien-can-gio-lien-chieu-nam-do-son-0. Caveat: Not a forecast or actual.</x:t>
        </x:r>
      </x:text>
    </x:comment>
    <x:comment ref="C13" authorId="6">
      <x:text>
        <x:r>
          <x:t>[Threaded comment]
Your version of Excel allows you to read this threaded comment; however, any edits to it will get removed if the file is opened in a newer version of Excel. Learn more: https://go.microsoft.com/fwlink/?linkid=870924
Comment:
    Source SRC-I03: Vietnam Maritime and Waterway Administration. https://vimawa.gov.vn/vi/tin-tuc/quy-hoach-cang-bien-moi-ca-nuoc-con-23-cang-bien-uu-tien-can-gio-lien-chieu-nam-do-son-0. Caveat: Excludes transshipment.</x:t>
        </x:r>
      </x:text>
    </x:comment>
    <x:comment ref="C14" authorId="7">
      <x:text>
        <x:r>
          <x:t>[Threaded comment]
Your version of Excel allows you to read this threaded comment; however, any edits to it will get removed if the file is opened in a newer version of Excel. Learn more: https://go.microsoft.com/fwlink/?linkid=870924
Comment:
    Source SRC-I04: Prime Minister / Maritime Administration. https://www.vimawa.gov.vn/f/250116%20TTg%20140%20QD%20duyet%20QHCT%20Nhom.pdf. Caveat: Not a forecast or actual.</x:t>
        </x:r>
      </x:text>
    </x:comment>
    <x:comment ref="C15" authorId="8">
      <x:text>
        <x:r>
          <x:t>[Threaded comment]
Your version of Excel allows you to read this threaded comment; however, any edits to it will get removed if the file is opened in a newer version of Excel. Learn more: https://go.microsoft.com/fwlink/?linkid=870924
Comment:
    Source SRC-I04: Prime Minister / Maritime Administration. https://www.vimawa.gov.vn/f/250116%20TTg%20140%20QD%20duyet%20QHCT%20Nhom.pdf. Caveat: Not a forecast or actual.</x:t>
        </x:r>
      </x:text>
    </x:comment>
    <x:comment ref="C16" authorId="9">
      <x:text>
        <x:r>
          <x:t>[Threaded comment]
Your version of Excel allows you to read this threaded comment; however, any edits to it will get removed if the file is opened in a newer version of Excel. Learn more: https://go.microsoft.com/fwlink/?linkid=870924
Comment:
    Source SRC-I05: Vietnam Maritime and Waterway Administration. https://www.vimawa.gov.vn/vi/tin-tuc/bo-truong-nguyen-van-thang-phat-huy-toi-da-tiem-nang-loi-cang-bien. Caveat: Do not use the page's broad national-share wording without clarification.</x:t>
        </x:r>
      </x:text>
    </x:comment>
    <x:comment ref="C17" authorId="10">
      <x:text>
        <x:r>
          <x:t>[Threaded comment]
Your version of Excel allows you to read this threaded comment; however, any edits to it will get removed if the file is opened in a newer version of Excel. Learn more: https://go.microsoft.com/fwlink/?linkid=870924
Comment:
    Source SRC-I05: Vietnam Maritime and Waterway Administration. https://www.vimawa.gov.vn/vi/tin-tuc/bo-truong-nguyen-van-thang-phat-huy-toi-da-tiem-nang-loi-cang-bien. Caveat: Vessel size is not annual capacity.</x:t>
        </x:r>
      </x:text>
    </x:comment>
  </x:commentList>
</x:comments>
</file>

<file path=xl/comments4.xml><?xml version="1.0" encoding="utf-8"?>
<x:comments xmlns:x="http://schemas.openxmlformats.org/spreadsheetml/2006/main">
  <x:authors>
    <x:author>tc={373FBC55-CDD5-0011-F04D-2B1C69ECFA46}</x:author>
    <x:author>tc={32D28A74-5554-297B-7E2C-2DD2FB815083}</x:author>
    <x:author>tc={F9271A12-C674-428E-A32A-5A14D94FAFEB}</x:author>
    <x:author>tc={874AA304-F17B-AAB4-4745-5826F73962C4}</x:author>
    <x:author>tc={96AF83E1-72FA-C40A-3DF6-E806C7E2FD38}</x:author>
    <x:author>tc={98127C0F-A01C-EC1A-7631-5990595AA9E8}</x:author>
  </x:authors>
  <x:commentList>
    <x:comment ref="B7" authorId="0">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Reported actual</x:t>
        </x:r>
      </x:text>
    </x:comment>
    <x:comment ref="B8" authorId="1">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Reported actual</x:t>
        </x:r>
      </x:text>
    </x:comment>
    <x:comment ref="B9" authorId="2">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Reported actual</x:t>
        </x:r>
      </x:text>
    </x:comment>
    <x:comment ref="B10" authorId="3">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Core PBT series disclosed by GMD</x:t>
        </x:r>
      </x:text>
    </x:comment>
    <x:comment ref="B11" authorId="4">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Core PBT series disclosed by GMD</x:t>
        </x:r>
      </x:text>
    </x:comment>
    <x:comment ref="B12" authorId="5">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Reported actual</x:t>
        </x:r>
      </x:text>
    </x:comment>
  </x:commentList>
</x:comments>
</file>

<file path=xl/comments5.xml><?xml version="1.0" encoding="utf-8"?>
<x:comments xmlns:x="http://schemas.openxmlformats.org/spreadsheetml/2006/main">
  <x:authors>
    <x:author>tc={EA11A6B5-7952-0D13-43FD-C0407FC64778}</x:author>
    <x:author>tc={C4307CA9-F4BC-AE05-FFA9-40675E2FA248}</x:author>
    <x:author>tc={F40D0088-D1FB-9B35-3F7D-54CFB53D4D30}</x:author>
    <x:author>tc={22E90AB2-3669-E9B1-4E09-BB0CA19B93AC}</x:author>
    <x:author>tc={BC098978-F47E-0100-B3B4-A1D2ACB9F8B3}</x:author>
    <x:author>tc={32F5CB9F-2804-CB38-F737-0A64EB58C1F8}</x:author>
    <x:author>tc={1646D617-4F86-C259-1C97-F42769AD0424}</x:author>
    <x:author>tc={AAE611C2-A7EC-E8DD-6323-11AFD193A2C2}</x:author>
    <x:author>tc={61CDB7F2-40E4-D1D3-6657-F0DB71CCBD98}</x:author>
    <x:author>tc={3F68ABF2-8680-B6CC-7FFE-B15C40693A96}</x:author>
    <x:author>tc={5E8C4F19-A2E1-ED82-AA91-EA8E91CBF60F}</x:author>
    <x:author>tc={20772687-4BF6-EE75-C92F-6BBD2D220C6C}</x:author>
    <x:author>tc={017143B6-7B0D-202E-8FDC-676C83551F56}</x:author>
    <x:author>tc={1F8BDD36-29DF-7A3E-A15C-878AE3899A8A}</x:author>
    <x:author>tc={5DBFBB39-E7D5-4655-3EB1-9B2A16F16AFC}</x:author>
    <x:author>tc={A63E6667-0D0F-7B0C-F854-E6DBEB8E8FB5}</x:author>
    <x:author>tc={A76BD4B4-5CC9-7DB1-4EF0-EBD8A161F144}</x:author>
    <x:author>tc={307A7913-8C36-4FE0-EF94-969B7EAAEB59}</x:author>
    <x:author>tc={FC403222-F35E-1099-D316-8E06E53B06C4}</x:author>
    <x:author>tc={8F2D22BF-001D-FF97-3B0B-964DF610BF51}</x:author>
  </x:authors>
  <x:commentList>
    <x:comment ref="E7" authorId="0">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Annual-report chart; exceeds 5m TEU.</x:t>
        </x:r>
      </x:text>
    </x:comment>
    <x:comment ref="E8" authorId="1">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Approximate share disclosed by company.</x:t>
        </x:r>
      </x:text>
    </x:comment>
    <x:comment ref="E9" authorId="2">
      <x:text>
        <x:r>
          <x:t>[Threaded comment]
Your version of Excel allows you to read this threaded comment; however, any edits to it will get removed if the file is opened in a newer version of Excel. Learn more: https://go.microsoft.com/fwlink/?linkid=870924
Comment:
    Source SRC-G02: Gemadept. https://www.gemadept.com.vn/wp-content/uploads/2026/05/IR-NEWSLETTER-Q12026.pdf. Caveat: Approximately +8% YoY.</x:t>
        </x:r>
      </x:text>
    </x:comment>
    <x:comment ref="E10" authorId="3">
      <x:text>
        <x:r>
          <x:t>[Threaded comment]
Your version of Excel allows you to read this threaded comment; however, any edits to it will get removed if the file is opened in a newer version of Excel. Learn more: https://go.microsoft.com/fwlink/?linkid=870924
Comment:
    Source SRC-G02: Gemadept. https://www.gemadept.com.vn/wp-content/uploads/2026/05/IR-NEWSLETTER-Q12026.pdf. Caveat: Regional map disclosure.</x:t>
        </x:r>
      </x:text>
    </x:comment>
    <x:comment ref="E11" authorId="4">
      <x:text>
        <x:r>
          <x:t>[Threaded comment]
Your version of Excel allows you to read this threaded comment; however, any edits to it will get removed if the file is opened in a newer version of Excel. Learn more: https://go.microsoft.com/fwlink/?linkid=870924
Comment:
    Source SRC-G02: Gemadept. https://www.gemadept.com.vn/wp-content/uploads/2026/05/IR-NEWSLETTER-Q12026.pdf. Caveat: Regional map disclosure.</x:t>
        </x:r>
      </x:text>
    </x:comment>
    <x:comment ref="E12" authorId="5">
      <x:text>
        <x:r>
          <x:t>[Threaded comment]
Your version of Excel allows you to read this threaded comment; however, any edits to it will get removed if the file is opened in a newer version of Excel. Learn more: https://go.microsoft.com/fwlink/?linkid=870924
Comment:
    Source SRC-G02: Gemadept. https://www.gemadept.com.vn/wp-content/uploads/2026/05/IR-NEWSLETTER-Q12026.pdf. Caveat: Unit is tonnes, not TEU.</x:t>
        </x:r>
      </x:text>
    </x:comment>
    <x:comment ref="E13" authorId="6">
      <x:text>
        <x:r>
          <x:t>[Threaded comment]
Your version of Excel allows you to read this threaded comment; however, any edits to it will get removed if the file is opened in a newer version of Excel. Learn more: https://go.microsoft.com/fwlink/?linkid=870924
Comment:
    Source SRC-G02: Gemadept. https://www.gemadept.com.vn/wp-content/uploads/2026/05/IR-NEWSLETTER-Q12026.pdf. Caveat: Regional map disclosure.</x:t>
        </x:r>
      </x:text>
    </x:comment>
    <x:comment ref="E14" authorId="7">
      <x:text>
        <x:r>
          <x:t>[Threaded comment]
Your version of Excel allows you to read this threaded comment; however, any edits to it will get removed if the file is opened in a newer version of Excel. Learn more: https://go.microsoft.com/fwlink/?linkid=870924
Comment:
    Source SRC-G02: Gemadept. https://www.gemadept.com.vn/wp-content/uploads/2026/05/IR-NEWSLETTER-Q12026.pdf. Caveat: Regional map disclosure.</x:t>
        </x:r>
      </x:text>
    </x:comment>
    <x:comment ref="E15" authorId="8">
      <x:text>
        <x:r>
          <x:t>[Threaded comment]
Your version of Excel allows you to read this threaded comment; however, any edits to it will get removed if the file is opened in a newer version of Excel. Learn more: https://go.microsoft.com/fwlink/?linkid=870924
Comment:
    Source SRC-G02: Gemadept. https://www.gemadept.com.vn/wp-content/uploads/2026/05/IR-NEWSLETTER-Q12026.pdf. Caveat: Regional map disclosure.</x:t>
        </x:r>
      </x:text>
    </x:comment>
    <x:comment ref="E16" authorId="9">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Capacity is not throughput.</x:t>
        </x:r>
      </x:text>
    </x:comment>
    <x:comment ref="E17" authorId="10">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Capacity is not throughput.</x:t>
        </x:r>
      </x:text>
    </x:comment>
    <x:comment ref="E18" authorId="11">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Annual-report table; differs from issuer press release's ~650k TEU added.</x:t>
        </x:r>
      </x:text>
    </x:comment>
    <x:comment ref="E19" authorId="12">
      <x:text>
        <x:r>
          <x:t>[Threaded comment]
Your version of Excel allows you to read this threaded comment; however, any edits to it will get removed if the file is opened in a newer version of Excel. Learn more: https://go.microsoft.com/fwlink/?linkid=870924
Comment:
    Source SRC-G04: Gemadept. https://www.gemadept.com.vn/en/gemadept-officially-puts-phase-3-of-the-nam-dinh-vu-port-cluster-into-operation/. Caveat: Definition variance versus 0.8m TEU in annual report.</x:t>
        </x:r>
      </x:text>
    </x:comment>
    <x:comment ref="E20" authorId="13">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Historical disclosed capex.</x:t>
        </x:r>
      </x:text>
    </x:comment>
    <x:comment ref="E21" authorId="14">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Historical disclosed capex.</x:t>
        </x:r>
      </x:text>
    </x:comment>
    <x:comment ref="E22" authorId="15">
      <x:text>
        <x:r>
          <x:t>[Threaded comment]
Your version of Excel allows you to read this threaded comment; however, any edits to it will get removed if the file is opened in a newer version of Excel. Learn more: https://go.microsoft.com/fwlink/?linkid=870924
Comment:
    Source SRC-G01 / SRC-G07: Gemadept. https://www.gemadept.com.vn/wp-content/uploads/2026/04/GMD-AR-2025_EN.pdf. Caveat: Disclosed project investment.</x:t>
        </x:r>
      </x:text>
    </x:comment>
    <x:comment ref="E23" authorId="16">
      <x:text>
        <x:r>
          <x:t>[Threaded comment]
Your version of Excel allows you to read this threaded comment; however, any edits to it will get removed if the file is opened in a newer version of Excel. Learn more: https://go.microsoft.com/fwlink/?linkid=870924
Comment:
    Source SRC-G06: Gemadept. https://www.gemadept.com.vn/en/gemalink-port-licensed-to-receive-container-vessels-up-to-2324945-dwt/. Caveat: Gemadept 75%; CMA Terminals 25%.</x:t>
        </x:r>
      </x:text>
    </x:comment>
    <x:comment ref="E24" authorId="17">
      <x:text>
        <x:r>
          <x:t>[Threaded comment]
Your version of Excel allows you to read this threaded comment; however, any edits to it will get removed if the file is opened in a newer version of Excel. Learn more: https://go.microsoft.com/fwlink/?linkid=870924
Comment:
    Source SRC-G05: Gemadept. https://www.gemadept.com.vn/en/services/port-operation/. Caveat: Marketing page; separate from 2025 actual throughput.</x:t>
        </x:r>
      </x:text>
    </x:comment>
    <x:comment ref="E25" authorId="18">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Company says more than this level; +24% YoY.</x:t>
        </x:r>
      </x:text>
    </x:comment>
    <x:comment ref="E26" authorId="19">
      <x:text>
        <x:r>
          <x:t>[Threaded comment]
Your version of Excel allows you to read this threaded comment; however, any edits to it will get removed if the file is opened in a newer version of Excel. Learn more: https://go.microsoft.com/fwlink/?linkid=870924
Comment:
    Source SRC-G01: Gemadept. https://www.gemadept.com.vn/wp-content/uploads/2026/04/GMD-AR-2025_EN.pdf. Caveat: 2024 actual was 1.145m TEU.</x:t>
        </x:r>
      </x:text>
    </x:comment>
  </x:commentList>
</x:comments>
</file>

<file path=xl/comments6.xml><?xml version="1.0" encoding="utf-8"?>
<x:comments xmlns:x="http://schemas.openxmlformats.org/spreadsheetml/2006/main">
  <x:authors>
    <x:author>tc={0C874926-9C93-FD1C-B74D-2D69FD27292F}</x:author>
    <x:author>tc={8C7FA544-0653-9B33-1AF3-6983CD1F9EBD}</x:author>
    <x:author>tc={1D2D15EB-0C34-D836-EBE9-DDCBCBE1FE0D}</x:author>
    <x:author>tc={1BA9A335-5CFC-1DC5-96C1-A7977DFA81D6}</x:author>
    <x:author>tc={2ED3167E-4877-7FAB-C53B-90D31DD6CB53}</x:author>
    <x:author>tc={658133C9-E2EB-4BDB-8224-A3EB2F4CB925}</x:author>
    <x:author>tc={335F6AEA-7423-0F55-CAA6-E61368CA0B7C}</x:author>
  </x:authors>
  <x:commentList>
    <x:comment ref="C17" authorId="0">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 Caveat: 98.8% of 2024; 83.4% of plan.</x:t>
        </x:r>
      </x:text>
    </x:comment>
    <x:comment ref="C18" authorId="1">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 Caveat: 97.4% of 2024; 85.8% of plan.</x:t>
        </x:r>
      </x:text>
    </x:comment>
    <x:comment ref="C19" authorId="2">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 Caveat: +33.8% YoY.</x:t>
        </x:r>
      </x:text>
    </x:comment>
    <x:comment ref="C20" authorId="3">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 Caveat: Annual report labels this 'profit'; verify PBT/net-profit definition before valuation use.</x:t>
        </x:r>
      </x:text>
    </x:comment>
    <x:comment ref="C21" authorId="4">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 Caveat: +6.9% YoY.</x:t>
        </x:r>
      </x:text>
    </x:comment>
    <x:comment ref="C22" authorId="5">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 Caveat: 98.16% of 2024.</x:t>
        </x:r>
      </x:text>
    </x:comment>
    <x:comment ref="C23" authorId="6">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 Caveat: +4.8% YoY; verify profit definition before valuation use.</x:t>
        </x:r>
      </x:text>
    </x:comment>
  </x:commentList>
</x:comments>
</file>

<file path=xl/comments7.xml><?xml version="1.0" encoding="utf-8"?>
<x:comments xmlns:x="http://schemas.openxmlformats.org/spreadsheetml/2006/main">
  <x:authors>
    <x:author>tc={FC752BB6-D280-BDCA-E255-F60AF9509B2C}</x:author>
    <x:author>tc={ED6EEA5F-F687-F63D-F1F9-A2BFB3A17DD0}</x:author>
    <x:author>tc={DABC32AC-8466-9C29-8592-031290643177}</x:author>
    <x:author>tc={6F621AEF-404D-2851-E865-2B5ED5A60839}</x:author>
    <x:author>tc={B4928E55-6BE8-4FFC-A93C-6D41F7E45376}</x:author>
    <x:author>tc={77474E38-1815-E71F-B3AB-C4E555B133A2}</x:author>
    <x:author>tc={D5F3643C-B274-4A00-DF46-458C5430B374}</x:author>
    <x:author>tc={F3355021-BE91-82D3-366D-5E865300E09A}</x:author>
  </x:authors>
  <x:commentList>
    <x:comment ref="D7" authorId="0">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x:t>
        </x:r>
      </x:text>
    </x:comment>
    <x:comment ref="D8" authorId="1">
      <x:text>
        <x:r>
          <x:t>[Threaded comment]
Your version of Excel allows you to read this threaded comment; however, any edits to it will get removed if the file is opened in a newer version of Excel. Learn more: https://go.microsoft.com/fwlink/?linkid=870924
Comment:
    Source SRC-P06: Viconship audited consolidated financial statements 2025. https://viconship.com/wp-content/uploads/2026/03/VSC_Consolidated-FS-31.12.2025_VN.pdf.</x:t>
        </x:r>
      </x:text>
    </x:comment>
    <x:comment ref="D9" authorId="2">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 Caveat: Parent-company financial basis.</x:t>
        </x:r>
      </x:text>
    </x:comment>
    <x:comment ref="D10" authorId="3">
      <x:text>
        <x:r>
          <x:t>[Threaded comment]
Your version of Excel allows you to read this threaded comment; however, any edits to it will get removed if the file is opened in a newer version of Excel. Learn more: https://go.microsoft.com/fwlink/?linkid=870924
Comment:
    Source SRC-P09: Dinh Vu Port 2025 business-result proposal. https://dinhvuport.com.vn/aj/Download.ashx?Key=885.</x:t>
        </x:r>
      </x:text>
    </x:comment>
    <x:comment ref="D15" authorId="4">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x:t>
        </x:r>
      </x:text>
    </x:comment>
    <x:comment ref="D16" authorId="5">
      <x:text>
        <x:r>
          <x:t>[Threaded comment]
Your version of Excel allows you to read this threaded comment; however, any edits to it will get removed if the file is opened in a newer version of Excel. Learn more: https://go.microsoft.com/fwlink/?linkid=870924
Comment:
    Source SRC-P05 / SRC-P07: Viconship issuer disclosures. https://viconship.com/wp-content/uploads/2026/04/CBTT-Bao-cao-thuong-nien-nam-2025.pdf. Caveat: The 1m TEU system milestone is the latest clearly attributable issuer-level operating fact used here.</x:t>
        </x:r>
      </x:text>
    </x:comment>
    <x:comment ref="D17" authorId="6">
      <x:text>
        <x:r>
          <x:t>[Threaded comment]
Your version of Excel allows you to read this threaded comment; however, any edits to it will get removed if the file is opened in a newer version of Excel. Learn more: https://go.microsoft.com/fwlink/?linkid=870924
Comment:
    Source SRC-P02: Port of Hai Phong Annual Report 2025. https://haiphongport.com.vn/FileUpload/Documents/annual_report_2025pdf.pdf.</x:t>
        </x:r>
      </x:text>
    </x:comment>
    <x:comment ref="D19" authorId="7">
      <x:text>
        <x:r>
          <x:t>[Threaded comment]
Your version of Excel allows you to read this threaded comment; however, any edits to it will get removed if the file is opened in a newer version of Excel. Learn more: https://go.microsoft.com/fwlink/?linkid=870924
Comment:
    Source SRC-P09: Dinh Vu Port 2025 business-result proposal. https://dinhvuport.com.vn/aj/Download.ashx?Key=885.</x:t>
        </x:r>
      </x:text>
    </x:comment>
  </x:commentList>
</x:comments>
</file>

<file path=xl/comments8.xml><?xml version="1.0" encoding="utf-8"?>
<x:comments xmlns:x="http://schemas.openxmlformats.org/spreadsheetml/2006/main">
  <x:authors>
    <x:author>tc={C4E0B7B3-DEF0-9B37-55BD-3541A1680E67}</x:author>
    <x:author>tc={75D34924-D273-1A86-37FC-E0F130283C0F}</x:author>
    <x:author>tc={182C1A1F-38A6-FDBB-6398-E3A424213E61}</x:author>
    <x:author>tc={62C864BF-75F2-A126-4BB8-2B6BF5664D91}</x:author>
  </x:authors>
  <x:commentList>
    <x:comment ref="C6" authorId="0">
      <x:text>
        <x:r>
          <x:t>[Threaded comment]
Your version of Excel allows you to read this threaded comment; however, any edits to it will get removed if the file is opened in a newer version of Excel. Learn more: https://go.microsoft.com/fwlink/?linkid=870924
Comment:
    Source SRC-API01: VNStock 4.0.5 Finance API. https://vnstocks.com/docs/vnstock/phan-tich-co-ban-fundamental. Caveat: 2021 net sales linked from Raw GMD VNStock and divided by the visible unit divisor.</x:t>
        </x:r>
      </x:text>
    </x:comment>
    <x:comment ref="G6" authorId="1">
      <x:text>
        <x:r>
          <x:t>[Threaded comment]
Your version of Excel allows you to read this threaded comment; however, any edits to it will get removed if the file is opened in a newer version of Excel. Learn more: https://go.microsoft.com/fwlink/?linkid=870924
Comment:
    Source SRC-API01: VNStock 4.0.5 Finance API. https://vnstocks.com/docs/vnstock/phan-tich-co-ban-fundamental. Caveat: 2025 net sales linked from Raw GMD VNStock; reconciled to the 2025 audited annual report.</x:t>
        </x:r>
      </x:text>
    </x:comment>
    <x:comment ref="C25" authorId="2">
      <x:text>
        <x:r>
          <x:t>[Threaded comment]
Your version of Excel allows you to read this threaded comment; however, any edits to it will get removed if the file is opened in a newer version of Excel. Learn more: https://go.microsoft.com/fwlink/?linkid=870924
Comment:
    Source SRC-G10: Gemadept Annual Report 2022. https://www.gemadept.com.vn/wp-content/uploads/2023/04/2022-Annual-Report.pdf. Caveat: 2021–2022 core PBT equals reported PBT.</x:t>
        </x:r>
      </x:text>
    </x:comment>
    <x:comment ref="G25" authorId="3">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2025 core PBT benchmark.</x:t>
        </x:r>
      </x:text>
    </x:comment>
  </x:commentList>
</x:comments>
</file>

<file path=xl/comments9.xml><?xml version="1.0" encoding="utf-8"?>
<x:comments xmlns:x="http://schemas.openxmlformats.org/spreadsheetml/2006/main">
  <x:authors>
    <x:author>tc={8CA5FA56-F7CE-9B27-E245-22BDBC07340C}</x:author>
    <x:author>tc={FAF2C895-70F7-6B6D-C0A2-B07FC0F81BC5}</x:author>
  </x:authors>
  <x:commentList>
    <x:comment ref="C6" authorId="0">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2021 point is chart-derived from a rounded growth label.</x:t>
        </x:r>
      </x:text>
    </x:comment>
    <x:comment ref="G6" authorId="1">
      <x:text>
        <x:r>
          <x:t>[Threaded comment]
Your version of Excel allows you to read this threaded comment; however, any edits to it will get removed if the file is opened in a newer version of Excel. Learn more: https://go.microsoft.com/fwlink/?linkid=870924
Comment:
    Source SRC-G01: Gemadept Annual Report 2025. https://www.gemadept.com.vn/wp-content/uploads/2026/04/GMD-AR-2025_EN.pdf. Caveat: 2025 exact system throughput.</x:t>
        </x:r>
      </x:text>
    </x:comment>
  </x:commentList>
</x:comments>
</file>

<file path=xl/comments10.xml><?xml version="1.0" encoding="utf-8"?>
<x:comments xmlns:x="http://schemas.openxmlformats.org/spreadsheetml/2006/main">
  <x:authors>
    <x:author>tc={BC39D41E-2F4F-258A-3F90-21E594CFEF02}</x:author>
    <x:author>tc={C0AAB08D-DEF6-AA97-84F6-1FA429412A5A}</x:author>
  </x:authors>
  <x:commentList>
    <x:comment ref="C6" authorId="0">
      <x:text>
        <x:r>
          <x:t>[Threaded comment]
Your version of Excel allows you to read this threaded comment; however, any edits to it will get removed if the file is opened in a newer version of Excel. Learn more: https://go.microsoft.com/fwlink/?linkid=870924
Comment:
    Source SRC-API01: VNStock 4.0.5 Finance API. https://vnstocks.com/docs/vnstock/phan-tich-co-ban-fundamental. Caveat: 2021 audited associate/JV profit.</x:t>
        </x:r>
      </x:text>
    </x:comment>
    <x:comment ref="G6" authorId="1">
      <x:text>
        <x:r>
          <x:t>[Threaded comment]
Your version of Excel allows you to read this threaded comment; however, any edits to it will get removed if the file is opened in a newer version of Excel. Learn more: https://go.microsoft.com/fwlink/?linkid=870924
Comment:
    Source SRC-API01: VNStock 4.0.5 Finance API. https://vnstocks.com/docs/vnstock/phan-tich-co-ban-fundamental. Caveat: 2025 audited associate/JV profit.</x:t>
        </x:r>
      </x:text>
    </x:comment>
  </x:commentList>
</x:comments>
</file>

<file path=xl/comments11.xml><?xml version="1.0" encoding="utf-8"?>
<x:comments xmlns:x="http://schemas.openxmlformats.org/spreadsheetml/2006/main">
  <x:authors>
    <x:author>tc={7A10BAB9-B95F-B154-7F79-6CB77D6455F4}</x:author>
    <x:author>tc={1D2AA77F-0343-628A-C1B2-239EFB201F1B}</x:author>
  </x:authors>
  <x:commentList>
    <x:comment ref="C6" authorId="0">
      <x:text>
        <x:r>
          <x:t>[Threaded comment]
Your version of Excel allows you to read this threaded comment; however, any edits to it will get removed if the file is opened in a newer version of Excel. Learn more: https://go.microsoft.com/fwlink/?linkid=870924
Comment:
    Source SRC-API01: VNStock 4.0.5 Finance API. https://vnstocks.com/docs/vnstock/phan-tich-co-ban-fundamental. Caveat: 2021 audited CFO.</x:t>
        </x:r>
      </x:text>
    </x:comment>
    <x:comment ref="G6" authorId="1">
      <x:text>
        <x:r>
          <x:t>[Threaded comment]
Your version of Excel allows you to read this threaded comment; however, any edits to it will get removed if the file is opened in a newer version of Excel. Learn more: https://go.microsoft.com/fwlink/?linkid=870924
Comment:
    Source SRC-API01: VNStock 4.0.5 Finance API. https://vnstocks.com/docs/vnstock/phan-tich-co-ban-fundamental. Caveat: 2025 audited CFO.</x:t>
        </x:r>
      </x:text>
    </x:comment>
  </x:commentList>
</x:comments>
</file>

<file path=xl/comments12.xml><?xml version="1.0" encoding="utf-8"?>
<x:comments xmlns:x="http://schemas.openxmlformats.org/spreadsheetml/2006/main">
  <x:authors>
    <x:author>tc={7E7DD16F-1E09-C775-3565-4D07DCBD78B0}</x:author>
    <x:author>tc={F1C288FD-F6A2-858F-C8BB-29DF5F882A68}</x:author>
  </x:authors>
  <x:commentList>
    <x:comment ref="C6" authorId="0">
      <x:text>
        <x:r>
          <x:t>[Threaded comment]
Your version of Excel allows you to read this threaded comment; however, any edits to it will get removed if the file is opened in a newer version of Excel. Learn more: https://go.microsoft.com/fwlink/?linkid=870924
Comment:
    Source SRC-G03: Gemadept 2026 AGM business-plan submission. https://www.gemadept.com.vn/wp-content/uploads/2026/04/AGM-2026-7.3.-Submission-03-Business-Plan-2026.pdf. Caveat: Management registered plan, not analyst forecast.</x:t>
        </x:r>
      </x:text>
    </x:comment>
    <x:comment ref="H6" authorId="1">
      <x:text>
        <x:r>
          <x:t>[Threaded comment]
Your version of Excel allows you to read this threaded comment; however, any edits to it will get removed if the file is opened in a newer version of Excel. Learn more: https://go.microsoft.com/fwlink/?linkid=870924
Comment:
    Source SRC-G02: Gemadept Q1 2026 IR Newsletter. https://www.gemadept.com.vn/wp-content/uploads/2026/05/IR-NEWSLETTER-Q12026.pdf. Caveat: Q1 issuer actual.</x:t>
        </x:r>
      </x:text>
    </x:comment>
  </x:commentList>
</x:comments>
</file>

<file path=xl/comments13.xml><?xml version="1.0" encoding="utf-8"?>
<x:comments xmlns:x="http://schemas.openxmlformats.org/spreadsheetml/2006/main">
  <x:authors>
    <x:author>tc={158BFD68-A27A-39D4-A841-9C2BEFFDF869}</x:author>
    <x:author>tc={014C832A-C380-049B-B978-CC4BF7087F1E}</x:author>
    <x:author>tc={7F227A6B-E00E-7FAE-B15D-602F20F8FAA6}</x:author>
  </x:authors>
  <x:commentList>
    <x:comment ref="C15" authorId="0">
      <x:text>
        <x:r>
          <x:t>[Threaded comment]
Your version of Excel allows you to read this threaded comment; however, any edits to it will get removed if the file is opened in a newer version of Excel. Learn more: https://go.microsoft.com/fwlink/?linkid=870924
Comment:
    Source SRC-P401: VNStock VCI and KBS daily OHLCV. https://vnstocks.com/docs/vnstock/du-lieu-thi-truong-market-data. Close on 24-Jul-2026: VND 73,200.</x:t>
        </x:r>
      </x:text>
    </x:comment>
    <x:comment ref="C16" authorId="1">
      <x:text>
        <x:r>
          <x:t>[Threaded comment]
Your version of Excel allows you to read this threaded comment; however, any edits to it will get removed if the file is opened in a newer version of Excel. Learn more: https://go.microsoft.com/fwlink/?linkid=870924
Comment:
    Source SRC-P402: Gemadept shareholders page. https://www.gemadept.com.vn/en/shareholders/. 426,495,109 listed shares.</x:t>
        </x:r>
      </x:text>
    </x:comment>
    <x:comment ref="C24" authorId="2">
      <x:text>
        <x:r>
          <x:t>[Threaded comment]
Your version of Excel allows you to read this threaded comment; however, any edits to it will get removed if the file is opened in a newer version of Excel. Learn more: https://go.microsoft.com/fwlink/?linkid=870924
Comment:
    Source SRC-P403: AsianBondsOnline / Asian Development Bank. https://asianbondsonline.adb.org/vietnam/. Vietnam 10-year government bond yield: 4.409% at 23-Jul-2026.</x:t>
        </x:r>
      </x:text>
    </x:comment>
  </x:commentList>
</x:comments>
</file>

<file path=xl/comments14.xml><?xml version="1.0" encoding="utf-8"?>
<x:comments xmlns:x="http://schemas.openxmlformats.org/spreadsheetml/2006/main">
  <x:authors>
    <x:author>tc={D42E95D8-F5DD-4265-6E5B-0BD62C21AA94}</x:author>
    <x:author>tc={4851AEA8-6C17-69D0-5E60-3B176DE53A20}</x:author>
    <x:author>tc={B8C2AFBA-704B-AE06-23F6-62F198DAD230}</x:author>
    <x:author>tc={21A2B83B-E9F9-A4B1-CA7C-3F5279C60223}</x:author>
  </x:authors>
  <x:commentList>
    <x:comment ref="C32" authorId="0">
      <x:text>
        <x:r>
          <x:t>[Threaded comment]
Your version of Excel allows you to read this threaded comment; however, any edits to it will get removed if the file is opened in a newer version of Excel. Learn more: https://go.microsoft.com/fwlink/?linkid=870924
Comment:
    Analyst assumption. Calibrated below 1H2026 trade-value growth because trade value is not container volume; anchored to SRC-M01 and SRC-I01.</x:t>
        </x:r>
      </x:text>
    </x:comment>
    <x:comment ref="C33" authorId="1">
      <x:text>
        <x:r>
          <x:t>[Threaded comment]
Your version of Excel allows you to read this threaded comment; however, any edits to it will get removed if the file is opened in a newer version of Excel. Learn more: https://go.microsoft.com/fwlink/?linkid=870924
Comment:
    Analyst assumption. Anchored to issuer-estimated 2025 share of about 15% and the Nam Dinh Vu / Gemalink capacity schedule.</x:t>
        </x:r>
      </x:text>
    </x:comment>
    <x:comment ref="E41" authorId="2">
      <x:text>
        <x:r>
          <x:t>[Threaded comment]
Your version of Excel allows you to read this threaded comment; however, any edits to it will get removed if the file is opened in a newer version of Excel. Learn more: https://go.microsoft.com/fwlink/?linkid=870924
Comment:
    Analyst assumption. Material 2028 ramp follows issuer-stated Gemalink Phase 2 operating timing from Q4 2027; source SRC-G02.</x:t>
        </x:r>
      </x:text>
    </x:comment>
    <x:comment ref="C104" authorId="3">
      <x:text>
        <x:r>
          <x:t>[Threaded comment]
Your version of Excel allows you to read this threaded comment; however, any edits to it will get removed if the file is opened in a newer version of Excel. Learn more: https://go.microsoft.com/fwlink/?linkid=870924
Comment:
    Source anchor SRC-P403: https://asianbondsonline.adb.org/vietnam/. 10-year government bond yield was 4.409% at 23-Jul-2026; rounded to 4.5%.</x:t>
        </x:r>
      </x:text>
    </x:comment>
  </x:commentList>
</x:comments>
</file>

<file path=xl/sharedStrings.xml><?xml version="1.0" encoding="utf-8"?>
<x:sst xmlns:x="http://schemas.openxmlformats.org/spreadsheetml/2006/main"/>
</file>

<file path=xl/styles.xml><?xml version="1.0" encoding="utf-8"?>
<x:styleSheet xmlns:x="http://schemas.openxmlformats.org/spreadsheetml/2006/main">
  <x:numFmts count="28">
    <x:numFmt numFmtId="200" formatCode="#,##0.00;[Red](#,##0.00);-"/>
    <x:numFmt numFmtId="201" formatCode="0.0%;[Red](0.0%);-"/>
    <x:numFmt numFmtId="202" formatCode="0.00;[Red](0.00);-"/>
    <x:numFmt numFmtId="203" formatCode="#,##0;[Red](#,##0);-"/>
    <x:numFmt numFmtId="204" formatCode="0.00x;[Red](0.00x);-"/>
    <x:numFmt numFmtId="205" formatCode="#,##0.000;[Red](#,##0.000);-"/>
    <x:numFmt numFmtId="206" formatCode="0.0x"/>
    <x:numFmt numFmtId="207" formatCode="#,##0.0;[Red](#,##0.0);-"/>
    <x:numFmt numFmtId="208" formatCode="0%;[Red](0%);-"/>
    <x:numFmt numFmtId="209" formatCode="0.00x"/>
    <x:numFmt numFmtId="210" formatCode="0"/>
    <x:numFmt numFmtId="211" formatCode="0.000;[Red](0.000);-"/>
    <x:numFmt numFmtId="212" formatCode="yyyy-mm-dd hh:mm:ss"/>
    <x:numFmt numFmtId="213" formatCode="yyyy&quot;A&quot;"/>
    <x:numFmt numFmtId="214" formatCode="0.0x;[Red](0.0x);-"/>
    <x:numFmt numFmtId="215" formatCode="yyyy-mm-dd"/>
    <x:numFmt numFmtId="216" formatCode="0.0"/>
    <x:numFmt numFmtId="217" formatCode="0.00%;[Red](0.00%);-"/>
    <x:numFmt numFmtId="218" formatCode="yyyy&quot;E&quot;"/>
    <x:numFmt numFmtId="219" formatCode="#,##0"/>
    <x:numFmt numFmtId="220" formatCode="0.0%"/>
    <x:numFmt numFmtId="221" formatCode="dd-mmm-yyyy"/>
    <x:numFmt numFmtId="222" formatCode="0.00"/>
    <x:numFmt numFmtId="223" formatCode="#,##0.00"/>
    <x:numFmt numFmtId="224" formatCode="0.0000x"/>
    <x:numFmt numFmtId="225" formatCode="dd-mmm-yy"/>
    <x:numFmt numFmtId="226" formatCode="0.00%"/>
    <x:numFmt numFmtId="227" formatCode="yyyy-mm-dd hh:mm"/>
  </x:numFmts>
  <x:fonts count="41">
    <x:font>
      <x:sz val="11"/>
      <x:name val="Carlito"/>
    </x:font>
    <x:font>
      <x:b/>
      <x:sz val="16"/>
      <x:color rgb="FFFFFFFF"/>
      <x:name val="Carlito"/>
    </x:font>
    <x:font>
      <x:i/>
      <x:sz val="10"/>
      <x:color rgb="FF1F4E78"/>
      <x:name val="Carlito"/>
    </x:font>
    <x:font>
      <x:b/>
      <x:sz val="10"/>
      <x:color rgb="FFFFFFFF"/>
      <x:name val="Carlito"/>
    </x:font>
    <x:font>
      <x:b/>
      <x:sz val="9"/>
      <x:name val="Carlito"/>
    </x:font>
    <x:font>
      <x:sz val="9"/>
      <x:name val="Carlito"/>
    </x:font>
    <x:font>
      <x:b/>
      <x:sz val="11"/>
      <x:color rgb="FF2E7D32"/>
      <x:name val="Carlito"/>
    </x:font>
    <x:font>
      <x:i/>
      <x:sz val="9"/>
      <x:color rgb="FF000000"/>
      <x:name val="Carlito"/>
    </x:font>
    <x:font>
      <x:b/>
      <x:sz val="9"/>
      <x:color rgb="FF000000"/>
      <x:name val="Carlito"/>
    </x:font>
    <x:font>
      <x:sz val="9"/>
      <x:color rgb="FF000000"/>
      <x:name val="Carlito"/>
    </x:font>
    <x:font>
      <x:sz val="8"/>
      <x:color rgb="FF1F4E78"/>
      <x:name val="Carlito"/>
    </x:font>
    <x:font>
      <x:sz val="9"/>
      <x:color rgb="FF1F4E78"/>
      <x:name val="Carlito"/>
    </x:font>
    <x:font>
      <x:sz val="9"/>
      <x:color rgb="FF008000"/>
      <x:name val="Carlito"/>
    </x:font>
    <x:font>
      <x:sz val="9"/>
      <x:color rgb="FF0000FF"/>
      <x:name val="Carlito"/>
    </x:font>
    <x:font>
      <x:b/>
      <x:sz val="10"/>
      <x:color rgb="FF000000"/>
      <x:name val="Carlito"/>
    </x:font>
    <x:font>
      <x:b/>
      <x:sz val="12"/>
      <x:name val="Carlito"/>
    </x:font>
    <x:font>
      <x:b/>
      <x:sz val="12"/>
      <x:color rgb="FF008000"/>
      <x:name val="Carlito"/>
    </x:font>
    <x:font>
      <x:b/>
      <x:sz val="9"/>
      <x:color rgb="FF2E7D32"/>
      <x:name val="Carlito"/>
    </x:font>
    <x:font>
      <x:b/>
      <x:sz val="9"/>
      <x:color rgb="FF008000"/>
      <x:name val="Carlito"/>
    </x:font>
    <x:font>
      <x:b/>
      <x:sz val="12"/>
      <x:color rgb="FF2E7D32"/>
      <x:name val="Carlito"/>
    </x:font>
    <x:font>
      <x:b/>
      <x:sz val="16"/>
      <x:color rgb="FF17365D"/>
      <x:name val="Carlito"/>
    </x:font>
    <x:font>
      <x:b/>
      <x:sz val="11"/>
      <x:color rgb="FF17365D"/>
      <x:name val="Carlito"/>
    </x:font>
    <x:font>
      <x:b/>
      <x:sz val="18"/>
      <x:color rgb="FFFFFFFF"/>
      <x:name val="Carlito"/>
    </x:font>
    <x:font>
      <x:b/>
      <x:sz val="11"/>
      <x:color rgb="FFFFFFFF"/>
      <x:name val="Carlito"/>
    </x:font>
    <x:font>
      <x:sz val="10"/>
      <x:color rgb="FF000000"/>
      <x:name val="Carlito"/>
    </x:font>
    <x:font>
      <x:sz val="10"/>
      <x:color rgb="FF008000"/>
      <x:name val="Carlito"/>
    </x:font>
    <x:font>
      <x:i/>
      <x:sz val="10"/>
      <x:color rgb="FF000000"/>
      <x:name val="Carlito"/>
    </x:font>
    <x:font>
      <x:b/>
      <x:sz val="10"/>
      <x:color rgb="FF2E7D32"/>
      <x:name val="Carlito"/>
    </x:font>
    <x:font>
      <x:i/>
      <x:sz val="9"/>
      <x:color rgb="FF123A63"/>
      <x:name val="Carlito"/>
    </x:font>
    <x:font>
      <x:sz val="8"/>
      <x:color rgb="FF667085"/>
      <x:name val="Carlito"/>
    </x:font>
    <x:font>
      <x:b/>
      <x:sz val="9"/>
      <x:color rgb="FFFFFFFF"/>
      <x:name val="Carlito"/>
    </x:font>
    <x:font>
      <x:sz val="8"/>
      <x:color rgb="FF000000"/>
      <x:name val="Carlito"/>
    </x:font>
    <x:font>
      <x:sz val="7"/>
      <x:color rgb="FF667085"/>
      <x:name val="Carlito"/>
    </x:font>
    <x:font>
      <x:b/>
      <x:sz val="9"/>
      <x:color rgb="FF123A63"/>
      <x:name val="Carlito"/>
    </x:font>
    <x:font>
      <x:b/>
      <x:sz val="10"/>
      <x:color rgb="FF0000FF"/>
      <x:name val="Carlito"/>
    </x:font>
    <x:font>
      <x:b/>
      <x:sz val="8"/>
      <x:color rgb="FF008000"/>
      <x:name val="Carlito"/>
    </x:font>
    <x:font>
      <x:i/>
      <x:sz val="7"/>
      <x:color rgb="FF123A63"/>
      <x:name val="Carlito"/>
    </x:font>
    <x:font>
      <x:sz val="9"/>
      <x:color rgb="FF123A63"/>
      <x:name val="Carlito"/>
    </x:font>
    <x:font>
      <x:b/>
      <x:sz val="8"/>
      <x:color rgb="FF123A63"/>
      <x:name val="Carlito"/>
    </x:font>
    <x:font>
      <x:sz val="8"/>
      <x:color rgb="FF008000"/>
      <x:name val="Carlito"/>
    </x:font>
    <x:font>
      <x:i/>
      <x:sz val="8"/>
      <x:color rgb="FF667085"/>
      <x:name val="Carlito"/>
    </x:font>
  </x:fonts>
  <x:fills count="52">
    <x:fill>
      <x:patternFill patternType="none"/>
    </x:fill>
    <x:fill>
      <x:patternFill patternType="gray125"/>
    </x:fill>
    <x:fill>
      <x:patternFill patternType="solid">
        <x:fgColor rgb="FF17365D"/>
      </x:patternFill>
    </x:fill>
    <x:fill>
      <x:patternFill patternType="solid">
        <x:fgColor rgb="FFEAF3F8"/>
      </x:patternFill>
    </x:fill>
    <x:fill>
      <x:patternFill patternType="solid">
        <x:fgColor rgb="FF1F4E78"/>
      </x:patternFill>
    </x:fill>
    <x:fill>
      <x:patternFill patternType="solid">
        <x:fgColor rgb="FFF2F2F2"/>
      </x:patternFill>
    </x:fill>
    <x:fill>
      <x:patternFill patternType="solid">
        <x:fgColor rgb="FFE2F0D9"/>
      </x:patternFill>
    </x:fill>
    <x:fill>
      <x:patternFill patternType="solid">
        <x:fgColor rgb="FFFFF2CC"/>
      </x:patternFill>
    </x:fill>
    <x:fill>
      <x:patternFill patternType="solid">
        <x:fgColor rgb="FFD9EAF7"/>
      </x:patternFill>
    </x:fill>
    <x:fill>
      <x:patternFill patternType="solid">
        <x:fgColor rgb="FFE2F0D9"/>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E2F0D9"/>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D9EAF7"/>
      </x:patternFill>
    </x:fill>
    <x:fill>
      <x:patternFill patternType="solid">
        <x:fgColor rgb="FF1F4E78"/>
      </x:patternFill>
    </x:fill>
    <x:fill>
      <x:patternFill patternType="solid">
        <x:fgColor rgb="FFFFF2CC"/>
      </x:patternFill>
    </x:fill>
    <x:fill>
      <x:patternFill patternType="solid">
        <x:fgColor rgb="FFE2F0D9"/>
      </x:patternFill>
    </x:fill>
    <x:fill>
      <x:patternFill patternType="solid">
        <x:fgColor rgb="FFF2F2F2"/>
      </x:patternFill>
    </x:fill>
    <x:fill>
      <x:patternFill patternType="solid">
        <x:fgColor rgb="FF17365D"/>
      </x:patternFill>
    </x:fill>
    <x:fill>
      <x:patternFill patternType="solid">
        <x:fgColor rgb="FFEAF3F8"/>
      </x:patternFill>
    </x:fill>
    <x:fill>
      <x:patternFill patternType="solid">
        <x:fgColor rgb="FF1F4E78"/>
      </x:patternFill>
    </x:fill>
    <x:fill>
      <x:patternFill patternType="solid">
        <x:fgColor rgb="FFD9EAF7"/>
      </x:patternFill>
    </x:fill>
    <x:fill>
      <x:patternFill patternType="solid">
        <x:fgColor rgb="FFFFF2CC"/>
      </x:patternFill>
    </x:fill>
    <x:fill>
      <x:patternFill patternType="solid">
        <x:fgColor rgb="FF2E7D32"/>
      </x:patternFill>
    </x:fill>
    <x:fill>
      <x:patternFill patternType="solid">
        <x:fgColor rgb="FFC00000"/>
      </x:patternFill>
    </x:fill>
    <x:fill>
      <x:patternFill patternType="solid">
        <x:fgColor rgb="FFFFFFFF"/>
      </x:patternFill>
    </x:fill>
    <x:fill>
      <x:patternFill patternType="solid">
        <x:fgColor rgb="FF17365D"/>
      </x:patternFill>
    </x:fill>
    <x:fill>
      <x:patternFill patternType="solid">
        <x:fgColor rgb="FFEAF3F8"/>
      </x:patternFill>
    </x:fill>
    <x:fill>
      <x:patternFill patternType="solid">
        <x:fgColor rgb="FF1F4E78"/>
      </x:patternFill>
    </x:fill>
    <x:fill>
      <x:patternFill patternType="solid">
        <x:fgColor rgb="FFD9EAF7"/>
      </x:patternFill>
    </x:fill>
    <x:fill>
      <x:patternFill patternType="solid">
        <x:fgColor rgb="FFE2F0D9"/>
      </x:patternFill>
    </x:fill>
    <x:fill>
      <x:patternFill patternType="solid">
        <x:fgColor rgb="FFFFF2CC"/>
      </x:patternFill>
    </x:fill>
    <x:fill>
      <x:patternFill patternType="solid">
        <x:fgColor rgb="FFF2F2F2"/>
      </x:patternFill>
    </x:fill>
    <x:fill>
      <x:patternFill patternType="solid">
        <x:fgColor rgb="FF123A63"/>
      </x:patternFill>
    </x:fill>
    <x:fill>
      <x:patternFill patternType="solid">
        <x:fgColor rgb="FFEDF7FC"/>
      </x:patternFill>
    </x:fill>
    <x:fill>
      <x:patternFill patternType="solid">
        <x:fgColor rgb="FFDCEEF8"/>
      </x:patternFill>
    </x:fill>
    <x:fill>
      <x:patternFill patternType="solid">
        <x:fgColor rgb="FFFFF2CC"/>
      </x:patternFill>
    </x:fill>
    <x:fill>
      <x:patternFill patternType="solid">
        <x:fgColor rgb="FFEAF5EA"/>
      </x:patternFill>
    </x:fill>
    <x:fill>
      <x:patternFill patternType="solid">
        <x:fgColor rgb="FFF2F2F2"/>
      </x:patternFill>
    </x:fill>
    <x:fill>
      <x:patternFill patternType="solid">
        <x:fgColor rgb="FF123A63"/>
      </x:patternFill>
    </x:fill>
    <x:fill>
      <x:patternFill patternType="solid">
        <x:fgColor rgb="FFEDF7FC"/>
      </x:patternFill>
    </x:fill>
    <x:fill>
      <x:patternFill patternType="solid">
        <x:fgColor rgb="FFDCEEF8"/>
      </x:patternFill>
    </x:fill>
    <x:fill>
      <x:patternFill patternType="solid">
        <x:fgColor rgb="FFFFF2CC"/>
      </x:patternFill>
    </x:fill>
    <x:fill>
      <x:patternFill patternType="solid">
        <x:fgColor rgb="FFEAF5EA"/>
      </x:patternFill>
    </x:fill>
    <x:fill>
      <x:patternFill patternType="solid">
        <x:fgColor rgb="FFF2F2F2"/>
      </x:patternFill>
    </x:fill>
  </x:fills>
  <x:borders count="83">
    <x:border/>
    <x:border>
      <x:left style="thin">
        <x:color rgb="FFB7C9D6"/>
      </x:left>
      <x:right style="thin">
        <x:color rgb="FFB7C9D6"/>
      </x:right>
      <x:top style="thin">
        <x:color rgb="FFB7C9D6"/>
      </x:top>
      <x:bottom style="thin">
        <x:color rgb="FFB7C9D6"/>
      </x:bottom>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ttom style="thin">
        <x:color rgb="FFB7C9D6"/>
      </x:bottom>
    </x:border>
    <x:border>
      <x:bottom style="thin">
        <x:color rgb="FFB7C9D6"/>
      </x:bottom>
    </x:border>
    <x:border>
      <x:right style="thin">
        <x:color rgb="FFB7C9D6"/>
      </x:right>
      <x:bottom style="thin">
        <x:color rgb="FFB7C9D6"/>
      </x:bottom>
    </x:border>
    <x:border>
      <x:right style="thin">
        <x:color rgb="FFD9E2F3"/>
      </x:right>
      <x:bottom style="thin">
        <x:color rgb="FFD9E2F3"/>
      </x:bottom>
    </x:border>
    <x:border>
      <x:left style="thin">
        <x:color rgb="FFD9E2F3"/>
      </x:left>
      <x:right style="thin">
        <x:color rgb="FFD9E2F3"/>
      </x:right>
      <x:bottom style="thin">
        <x:color rgb="FFD9E2F3"/>
      </x:bottom>
    </x:border>
    <x:border>
      <x:left style="thin">
        <x:color rgb="FFD9E2F3"/>
      </x:left>
      <x:bottom style="thin">
        <x:color rgb="FFD9E2F3"/>
      </x:bottom>
    </x:border>
    <x:border>
      <x:right style="thin">
        <x:color rgb="FFD9E2F3"/>
      </x:right>
      <x:top style="thin">
        <x:color rgb="FFD9E2F3"/>
      </x:top>
      <x:bottom style="thin">
        <x:color rgb="FFD9E2F3"/>
      </x:bottom>
    </x:border>
    <x:border>
      <x:left style="thin">
        <x:color rgb="FFD9E2F3"/>
      </x:left>
      <x:right style="thin">
        <x:color rgb="FFD9E2F3"/>
      </x:right>
      <x:top style="thin">
        <x:color rgb="FFD9E2F3"/>
      </x:top>
      <x:bottom style="thin">
        <x:color rgb="FFD9E2F3"/>
      </x:bottom>
    </x:border>
    <x:border>
      <x:left style="thin">
        <x:color rgb="FFD9E2F3"/>
      </x:left>
      <x:top style="thin">
        <x:color rgb="FFD9E2F3"/>
      </x:top>
      <x:bottom style="thin">
        <x:color rgb="FFD9E2F3"/>
      </x:bottom>
    </x:border>
    <x:border>
      <x:right style="thin">
        <x:color rgb="FFD9E2F3"/>
      </x:right>
      <x:top style="thin">
        <x:color rgb="FFD9E2F3"/>
      </x:top>
      <x:bottom style="thin">
        <x:color rgb="FFB7C9D6"/>
      </x:bottom>
    </x:border>
    <x:border>
      <x:left style="thin">
        <x:color rgb="FFD9E2F3"/>
      </x:left>
      <x:right style="thin">
        <x:color rgb="FFD9E2F3"/>
      </x:right>
      <x:top style="thin">
        <x:color rgb="FFD9E2F3"/>
      </x:top>
      <x:bottom style="thin">
        <x:color rgb="FFB7C9D6"/>
      </x:bottom>
    </x:border>
    <x:border>
      <x:left style="thin">
        <x:color rgb="FFD9E2F3"/>
      </x:left>
      <x:top style="thin">
        <x:color rgb="FFD9E2F3"/>
      </x:top>
      <x:bottom style="thin">
        <x:color rgb="FFB7C9D6"/>
      </x:bottom>
    </x:border>
    <x:border>
      <x:right style="thin">
        <x:color rgb="FFD9E2F3"/>
      </x:right>
      <x:top style="thin">
        <x:color rgb="FF2E7D32"/>
      </x:top>
      <x:bottom style="thin">
        <x:color rgb="FFD9E2F3"/>
      </x:bottom>
    </x:border>
    <x:border>
      <x:left style="thin">
        <x:color rgb="FFD9E2F3"/>
      </x:left>
      <x:right style="thin">
        <x:color rgb="FFD9E2F3"/>
      </x:right>
      <x:top style="thin">
        <x:color rgb="FF2E7D32"/>
      </x:top>
      <x:bottom style="thin">
        <x:color rgb="FFD9E2F3"/>
      </x:bottom>
    </x:border>
    <x:border>
      <x:right style="thin">
        <x:color rgb="FFD9E2F3"/>
      </x:right>
      <x:top style="thin">
        <x:color rgb="FFD9E2F3"/>
      </x:top>
      <x:bottom style="double">
        <x:color rgb="FF2E7D32"/>
      </x:bottom>
    </x:border>
    <x:border>
      <x:left style="thin">
        <x:color rgb="FFD9E2F3"/>
      </x:left>
      <x:right style="thin">
        <x:color rgb="FFD9E2F3"/>
      </x:right>
      <x:top style="thin">
        <x:color rgb="FFD9E2F3"/>
      </x:top>
      <x:bottom style="double">
        <x:color rgb="FF2E7D32"/>
      </x:bottom>
    </x:border>
    <x:border>
      <x:left style="thin">
        <x:color rgb="FFD9E2F3"/>
      </x:left>
      <x:top style="thin">
        <x:color rgb="FF2E7D32"/>
      </x:top>
      <x:bottom style="thin">
        <x:color rgb="FFD9E2F3"/>
      </x:bottom>
    </x:border>
    <x:border>
      <x:left style="thin">
        <x:color rgb="FFD9E2F3"/>
      </x:left>
      <x:top style="thin">
        <x:color rgb="FFD9E2F3"/>
      </x:top>
      <x:bottom style="double">
        <x:color rgb="FF2E7D32"/>
      </x:bottom>
    </x:border>
    <x:border>
      <x:right style="thin">
        <x:color rgb="FFD9E2F3"/>
      </x:right>
      <x:bottom style="thin">
        <x:color rgb="FFB7C9D6"/>
      </x:bottom>
    </x:border>
    <x:border>
      <x:left style="thin">
        <x:color rgb="FFD9E2F3"/>
      </x:left>
      <x:right style="thin">
        <x:color rgb="FFD9E2F3"/>
      </x:right>
      <x:bottom style="thin">
        <x:color rgb="FFB7C9D6"/>
      </x:bottom>
    </x:border>
    <x:border>
      <x:left style="thin">
        <x:color rgb="FFD9E2F3"/>
      </x:left>
      <x:bottom style="thin">
        <x:color rgb="FFB7C9D6"/>
      </x:bottom>
    </x:border>
    <x:border>
      <x:right style="thin">
        <x:color rgb="FFD9E2F3"/>
      </x:right>
      <x:top style="thin">
        <x:color rgb="FF2E7D32"/>
      </x:top>
      <x:bottom style="double">
        <x:color rgb="FF2E7D32"/>
      </x:bottom>
    </x:border>
    <x:border>
      <x:left style="thin">
        <x:color rgb="FFD9E2F3"/>
      </x:left>
      <x:right style="thin">
        <x:color rgb="FFD9E2F3"/>
      </x:right>
      <x:top style="thin">
        <x:color rgb="FF2E7D32"/>
      </x:top>
      <x:bottom style="double">
        <x:color rgb="FF2E7D32"/>
      </x:bottom>
    </x:border>
    <x:border>
      <x:left style="medium">
        <x:color rgb="FF2E7D32"/>
      </x:left>
      <x:top style="medium">
        <x:color rgb="FF2E7D32"/>
      </x:top>
    </x:border>
    <x:border>
      <x:top style="medium">
        <x:color rgb="FF2E7D32"/>
      </x:top>
    </x:border>
    <x:border>
      <x:right style="medium">
        <x:color rgb="FF2E7D32"/>
      </x:right>
      <x:top style="medium">
        <x:color rgb="FF2E7D32"/>
      </x:top>
    </x:border>
    <x:border>
      <x:left style="medium">
        <x:color rgb="FF2E7D32"/>
      </x:left>
      <x:bottom style="medium">
        <x:color rgb="FF2E7D32"/>
      </x:bottom>
    </x:border>
    <x:border>
      <x:bottom style="medium">
        <x:color rgb="FF2E7D32"/>
      </x:bottom>
    </x:border>
    <x:border>
      <x:right style="medium">
        <x:color rgb="FF2E7D32"/>
      </x:right>
      <x:bottom style="medium">
        <x:color rgb="FF2E7D32"/>
      </x:bottom>
    </x:border>
    <x:border>
      <x:left style="medium">
        <x:color rgb="FF1F4E78"/>
      </x:left>
      <x:top style="medium">
        <x:color rgb="FF1F4E78"/>
      </x:top>
    </x:border>
    <x:border>
      <x:top style="medium">
        <x:color rgb="FF1F4E78"/>
      </x:top>
    </x:border>
    <x:border>
      <x:right style="medium">
        <x:color rgb="FF1F4E78"/>
      </x:right>
      <x:top style="medium">
        <x:color rgb="FF1F4E78"/>
      </x:top>
    </x:border>
    <x:border>
      <x:left style="medium">
        <x:color rgb="FF1F4E78"/>
      </x:left>
    </x:border>
    <x:border>
      <x:right style="medium">
        <x:color rgb="FF1F4E78"/>
      </x:right>
    </x:border>
    <x:border>
      <x:left style="medium">
        <x:color rgb="FF1F4E78"/>
      </x:left>
      <x:bottom style="medium">
        <x:color rgb="FF1F4E78"/>
      </x:bottom>
    </x:border>
    <x:border>
      <x:bottom style="medium">
        <x:color rgb="FF1F4E78"/>
      </x:bottom>
    </x:border>
    <x:border>
      <x:right style="medium">
        <x:color rgb="FF1F4E78"/>
      </x:right>
      <x:bottom style="medium">
        <x:color rgb="FF1F4E78"/>
      </x:bottom>
    </x:border>
    <x:border>
      <x:left style="medium">
        <x:color rgb="FF2E7D32"/>
      </x:left>
    </x:border>
    <x:border>
      <x:right style="medium">
        <x:color rgb="FF2E7D32"/>
      </x:right>
    </x:border>
    <x:border>
      <x:left style="thin">
        <x:color rgb="FF1F4E78"/>
      </x:left>
      <x:top style="thin">
        <x:color rgb="FF1F4E78"/>
      </x:top>
      <x:bottom style="thin">
        <x:color rgb="FF1F4E78"/>
      </x:bottom>
    </x:border>
    <x:border>
      <x:top style="thin">
        <x:color rgb="FF1F4E78"/>
      </x:top>
      <x:bottom style="thin">
        <x:color rgb="FF1F4E78"/>
      </x:bottom>
    </x:border>
    <x:border>
      <x:right style="thin">
        <x:color rgb="FF1F4E78"/>
      </x:right>
      <x:top style="thin">
        <x:color rgb="FF1F4E78"/>
      </x:top>
      <x:bottom style="thin">
        <x:color rgb="FF1F4E78"/>
      </x:bottom>
    </x:border>
    <x:border>
      <x:left style="thin">
        <x:color rgb="FFB4C7E7"/>
      </x:left>
      <x:right style="thin">
        <x:color rgb="FFB4C7E7"/>
      </x:right>
      <x:top style="thin">
        <x:color rgb="FFB4C7E7"/>
      </x:top>
      <x:bottom style="thin">
        <x:color rgb="FFB4C7E7"/>
      </x:bottom>
    </x:border>
    <x:border>
      <x:left style="thin">
        <x:color rgb="FFD6B656"/>
      </x:left>
      <x:top style="thin">
        <x:color rgb="FFD6B656"/>
      </x:top>
    </x:border>
    <x:border>
      <x:top style="thin">
        <x:color rgb="FFD6B656"/>
      </x:top>
    </x:border>
    <x:border>
      <x:right style="thin">
        <x:color rgb="FFD6B656"/>
      </x:right>
      <x:top style="thin">
        <x:color rgb="FFD6B656"/>
      </x:top>
    </x:border>
    <x:border>
      <x:left style="thin">
        <x:color rgb="FFD6B656"/>
      </x:left>
    </x:border>
    <x:border>
      <x:right style="thin">
        <x:color rgb="FFD6B656"/>
      </x:right>
    </x:border>
    <x:border>
      <x:left style="thin">
        <x:color rgb="FFD6B656"/>
      </x:left>
      <x:bottom style="thin">
        <x:color rgb="FFD6B656"/>
      </x:bottom>
    </x:border>
    <x:border>
      <x:bottom style="thin">
        <x:color rgb="FFD6B656"/>
      </x:bottom>
    </x:border>
    <x:border>
      <x:right style="thin">
        <x:color rgb="FFD6B656"/>
      </x:right>
      <x:bottom style="thin">
        <x:color rgb="FFD6B656"/>
      </x:bottom>
    </x:border>
    <x:border>
      <x:left style="thin">
        <x:color rgb="FFB4C7E7"/>
      </x:left>
      <x:top style="thin">
        <x:color rgb="FFB4C7E7"/>
      </x:top>
    </x:border>
    <x:border>
      <x:top style="thin">
        <x:color rgb="FFB4C7E7"/>
      </x:top>
    </x:border>
    <x:border>
      <x:right style="thin">
        <x:color rgb="FFB4C7E7"/>
      </x:right>
      <x:top style="thin">
        <x:color rgb="FFB4C7E7"/>
      </x:top>
    </x:border>
    <x:border>
      <x:left style="thin">
        <x:color rgb="FFB4C7E7"/>
      </x:left>
    </x:border>
    <x:border>
      <x:right style="thin">
        <x:color rgb="FFB4C7E7"/>
      </x:right>
    </x:border>
    <x:border>
      <x:left style="thin">
        <x:color rgb="FFB4C7E7"/>
      </x:left>
      <x:bottom style="thin">
        <x:color rgb="FFB4C7E7"/>
      </x:bottom>
    </x:border>
    <x:border>
      <x:bottom style="thin">
        <x:color rgb="FFB4C7E7"/>
      </x:bottom>
    </x:border>
    <x:border>
      <x:right style="thin">
        <x:color rgb="FFB4C7E7"/>
      </x:right>
      <x:bottom style="thin">
        <x:color rgb="FFB4C7E7"/>
      </x:bottom>
    </x:border>
    <x:border>
      <x:bottom style="thin">
        <x:color rgb="FFE9EEF5"/>
      </x:bottom>
    </x:border>
    <x:border>
      <x:top style="thin">
        <x:color rgb="FFE9EEF5"/>
      </x:top>
      <x:bottom style="thin">
        <x:color rgb="FFE9EEF5"/>
      </x:bottom>
    </x:border>
    <x:border>
      <x:top style="thin">
        <x:color rgb="FFE9EEF5"/>
      </x:top>
    </x:border>
    <x:border>
      <x:left style="thin">
        <x:color rgb="FF0068B5"/>
      </x:left>
      <x:top style="thin">
        <x:color rgb="FF0068B5"/>
      </x:top>
    </x:border>
    <x:border>
      <x:top style="thin">
        <x:color rgb="FF0068B5"/>
      </x:top>
    </x:border>
    <x:border>
      <x:right style="thin">
        <x:color rgb="FF0068B5"/>
      </x:right>
      <x:top style="thin">
        <x:color rgb="FF0068B5"/>
      </x:top>
    </x:border>
    <x:border>
      <x:left style="thin">
        <x:color rgb="FF0068B5"/>
      </x:left>
    </x:border>
    <x:border>
      <x:right style="thin">
        <x:color rgb="FF0068B5"/>
      </x:right>
    </x:border>
    <x:border>
      <x:left style="thin">
        <x:color rgb="FF0068B5"/>
      </x:left>
      <x:bottom style="thin">
        <x:color rgb="FF0068B5"/>
      </x:bottom>
    </x:border>
    <x:border>
      <x:bottom style="thin">
        <x:color rgb="FF0068B5"/>
      </x:bottom>
    </x:border>
    <x:border>
      <x:right style="thin">
        <x:color rgb="FF0068B5"/>
      </x:right>
      <x:bottom style="thin">
        <x:color rgb="FF0068B5"/>
      </x:bottom>
    </x:border>
    <x:border>
      <x:left style="thin">
        <x:color rgb="FFD9E2F3"/>
      </x:left>
      <x:top style="thin">
        <x:color rgb="FFD9E2F3"/>
      </x:top>
    </x:border>
    <x:border>
      <x:top style="thin">
        <x:color rgb="FFD9E2F3"/>
      </x:top>
    </x:border>
    <x:border>
      <x:right style="thin">
        <x:color rgb="FFD9E2F3"/>
      </x:right>
      <x:top style="thin">
        <x:color rgb="FFD9E2F3"/>
      </x:top>
    </x:border>
    <x:border>
      <x:left style="thin">
        <x:color rgb="FFD9E2F3"/>
      </x:left>
    </x:border>
    <x:border>
      <x:right style="thin">
        <x:color rgb="FFD9E2F3"/>
      </x:right>
    </x:border>
    <x:border>
      <x:bottom style="thin">
        <x:color rgb="FFD9E2F3"/>
      </x:bottom>
    </x:border>
  </x:borders>
  <x:cellStyleXfs count="1">
    <x:xf numFmtId="0" fontId="0" fillId="0" borderId="0"/>
  </x:cellStyleXfs>
  <x:cellXfs count="1110">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horizontal="left" wrapText="1"/>
    </x:xf>
    <x:xf numFmtId="0" fontId="2" fillId="3" borderId="0" xfId="0" applyNumberFormat="1" applyFont="1" applyFill="1" applyBorder="1" applyAlignment="1">
      <x:alignment horizontal="left" vertical="center" wrapText="1"/>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horizontal="left"/>
    </x:xf>
    <x:xf numFmtId="0" fontId="3" fillId="4" borderId="0" xfId="0" applyNumberFormat="1" applyFont="1" applyFill="1" applyBorder="1" applyAlignment="1">
      <x:alignment horizontal="left" vertical="center"/>
    </x:xf>
    <x:xf numFmtId="0" fontId="0" fillId="5" borderId="0" xfId="0" applyNumberFormat="1" applyFont="1" applyFill="1" applyBorder="1"/>
    <x:xf numFmtId="0" fontId="4" fillId="5" borderId="0" xfId="0" applyNumberFormat="1" applyFont="1" applyFill="1" applyBorder="1"/>
    <x:xf numFmtId="0" fontId="4" fillId="5" borderId="1" xfId="0" applyNumberFormat="1" applyFont="1" applyFill="1" applyBorder="1"/>
    <x:xf numFmtId="0" fontId="4" fillId="5" borderId="1" xfId="0" applyNumberFormat="1" applyFont="1" applyFill="1" applyBorder="1" applyAlignment="1">
      <x:alignment wrapText="1"/>
    </x:xf>
    <x:xf numFmtId="0" fontId="4" fillId="5" borderId="1" xfId="0" applyNumberFormat="1" applyFont="1" applyFill="1" applyBorder="1" applyAlignment="1">
      <x:alignment vertical="top" wrapText="1"/>
    </x:xf>
    <x:xf numFmtId="0" fontId="5" fillId="0" borderId="0" xfId="0" applyNumberFormat="1" applyFont="1" applyFill="1" applyBorder="1"/>
    <x:xf numFmtId="0" fontId="5" fillId="0" borderId="1" xfId="0" applyNumberFormat="1" applyFont="1" applyFill="1" applyBorder="1"/>
    <x:xf numFmtId="0" fontId="5" fillId="0" borderId="1" xfId="0" applyNumberFormat="1" applyFont="1" applyFill="1" applyBorder="1" applyAlignment="1">
      <x:alignment wrapText="1"/>
    </x:xf>
    <x:xf numFmtId="0" fontId="5" fillId="0" borderId="1" xfId="0" applyNumberFormat="1" applyFont="1" applyFill="1" applyBorder="1" applyAlignment="1">
      <x:alignment vertical="top" wrapText="1"/>
    </x:xf>
    <x:xf numFmtId="0" fontId="0" fillId="6" borderId="0" xfId="0" applyNumberFormat="1" applyFont="1" applyFill="1" applyBorder="1"/>
    <x:xf numFmtId="0" fontId="6" fillId="6" borderId="0" xfId="0" applyNumberFormat="1" applyFont="1" applyFill="1" applyBorder="1"/>
    <x:xf numFmtId="0" fontId="6" fillId="6" borderId="1" xfId="0" applyNumberFormat="1" applyFont="1" applyFill="1" applyBorder="1"/>
    <x:xf numFmtId="0" fontId="6" fillId="6" borderId="1" xfId="0" applyNumberFormat="1" applyFont="1" applyFill="1" applyBorder="1" applyAlignment="1">
      <x:alignment horizontal="center"/>
    </x:xf>
    <x:xf numFmtId="0" fontId="0" fillId="7" borderId="0" xfId="0" applyNumberFormat="1" applyFont="1" applyFill="1" applyBorder="1"/>
    <x:xf numFmtId="0" fontId="7" fillId="7" borderId="0" xfId="0" applyNumberFormat="1" applyFont="1" applyFill="1" applyBorder="1"/>
    <x:xf numFmtId="0" fontId="7" fillId="7" borderId="2" xfId="0" applyNumberFormat="1" applyFont="1" applyFill="1" applyBorder="1"/>
    <x:xf numFmtId="0" fontId="7" fillId="7" borderId="3" xfId="0" applyNumberFormat="1" applyFont="1" applyFill="1" applyBorder="1"/>
    <x:xf numFmtId="0" fontId="7" fillId="7" borderId="4" xfId="0" applyNumberFormat="1" applyFont="1" applyFill="1" applyBorder="1"/>
    <x:xf numFmtId="0" fontId="7" fillId="7" borderId="5" xfId="0" applyNumberFormat="1" applyFont="1" applyFill="1" applyBorder="1"/>
    <x:xf numFmtId="0" fontId="7" fillId="7" borderId="6" xfId="0" applyNumberFormat="1" applyFont="1" applyFill="1" applyBorder="1"/>
    <x:xf numFmtId="0" fontId="7" fillId="7" borderId="7" xfId="0" applyNumberFormat="1" applyFont="1" applyFill="1" applyBorder="1"/>
    <x:xf numFmtId="0" fontId="7" fillId="7" borderId="8" xfId="0" applyNumberFormat="1" applyFont="1" applyFill="1" applyBorder="1"/>
    <x:xf numFmtId="0" fontId="7" fillId="7" borderId="9" xfId="0" applyNumberFormat="1" applyFont="1" applyFill="1" applyBorder="1"/>
    <x:xf numFmtId="0" fontId="7" fillId="7" borderId="2" xfId="0" applyNumberFormat="1" applyFont="1" applyFill="1" applyBorder="1" applyAlignment="1">
      <x:alignment wrapText="1"/>
    </x:xf>
    <x:xf numFmtId="0" fontId="7" fillId="7" borderId="3" xfId="0" applyNumberFormat="1" applyFont="1" applyFill="1" applyBorder="1" applyAlignment="1">
      <x:alignment wrapText="1"/>
    </x:xf>
    <x:xf numFmtId="0" fontId="7" fillId="7" borderId="4" xfId="0" applyNumberFormat="1" applyFont="1" applyFill="1" applyBorder="1" applyAlignment="1">
      <x:alignment wrapText="1"/>
    </x:xf>
    <x:xf numFmtId="0" fontId="7" fillId="7" borderId="5" xfId="0" applyNumberFormat="1" applyFont="1" applyFill="1" applyBorder="1" applyAlignment="1">
      <x:alignment wrapText="1"/>
    </x:xf>
    <x:xf numFmtId="0" fontId="7" fillId="7" borderId="0" xfId="0" applyNumberFormat="1" applyFont="1" applyFill="1" applyBorder="1" applyAlignment="1">
      <x:alignment wrapText="1"/>
    </x:xf>
    <x:xf numFmtId="0" fontId="7" fillId="7" borderId="6" xfId="0" applyNumberFormat="1" applyFont="1" applyFill="1" applyBorder="1" applyAlignment="1">
      <x:alignment wrapText="1"/>
    </x:xf>
    <x:xf numFmtId="0" fontId="7" fillId="7" borderId="7" xfId="0" applyNumberFormat="1" applyFont="1" applyFill="1" applyBorder="1" applyAlignment="1">
      <x:alignment wrapText="1"/>
    </x:xf>
    <x:xf numFmtId="0" fontId="7" fillId="7" borderId="8" xfId="0" applyNumberFormat="1" applyFont="1" applyFill="1" applyBorder="1" applyAlignment="1">
      <x:alignment wrapText="1"/>
    </x:xf>
    <x:xf numFmtId="0" fontId="7" fillId="7" borderId="9" xfId="0" applyNumberFormat="1" applyFont="1" applyFill="1" applyBorder="1" applyAlignment="1">
      <x:alignment wrapText="1"/>
    </x:xf>
    <x:xf numFmtId="0" fontId="7" fillId="7" borderId="2" xfId="0" applyNumberFormat="1" applyFont="1" applyFill="1" applyBorder="1" applyAlignment="1">
      <x:alignment vertical="top" wrapText="1"/>
    </x:xf>
    <x:xf numFmtId="0" fontId="7" fillId="7" borderId="3" xfId="0" applyNumberFormat="1" applyFont="1" applyFill="1" applyBorder="1" applyAlignment="1">
      <x:alignment vertical="top" wrapText="1"/>
    </x:xf>
    <x:xf numFmtId="0" fontId="7" fillId="7" borderId="4" xfId="0" applyNumberFormat="1" applyFont="1" applyFill="1" applyBorder="1" applyAlignment="1">
      <x:alignment vertical="top" wrapText="1"/>
    </x:xf>
    <x:xf numFmtId="0" fontId="7" fillId="7" borderId="5" xfId="0" applyNumberFormat="1" applyFont="1" applyFill="1" applyBorder="1" applyAlignment="1">
      <x:alignment vertical="top" wrapText="1"/>
    </x:xf>
    <x:xf numFmtId="0" fontId="7" fillId="7" borderId="0" xfId="0" applyNumberFormat="1" applyFont="1" applyFill="1" applyBorder="1" applyAlignment="1">
      <x:alignment vertical="top" wrapText="1"/>
    </x:xf>
    <x:xf numFmtId="0" fontId="7" fillId="7" borderId="6" xfId="0" applyNumberFormat="1" applyFont="1" applyFill="1" applyBorder="1" applyAlignment="1">
      <x:alignment vertical="top" wrapText="1"/>
    </x:xf>
    <x:xf numFmtId="0" fontId="7" fillId="7" borderId="7" xfId="0" applyNumberFormat="1" applyFont="1" applyFill="1" applyBorder="1" applyAlignment="1">
      <x:alignment vertical="top" wrapText="1"/>
    </x:xf>
    <x:xf numFmtId="0" fontId="7" fillId="7" borderId="8" xfId="0" applyNumberFormat="1" applyFont="1" applyFill="1" applyBorder="1" applyAlignment="1">
      <x:alignment vertical="top" wrapText="1"/>
    </x:xf>
    <x:xf numFmtId="0" fontId="7" fillId="7" borderId="9" xfId="0" applyNumberFormat="1" applyFont="1" applyFill="1" applyBorder="1" applyAlignment="1">
      <x:alignment vertical="top" wrapText="1"/>
    </x:xf>
    <x:xf numFmtId="0" fontId="4" fillId="0" borderId="0" xfId="0" applyNumberFormat="1" applyFont="1" applyFill="1" applyBorder="1"/>
    <x:xf numFmtId="0" fontId="4" fillId="0" borderId="1" xfId="0" applyNumberFormat="1" applyFont="1" applyFill="1" applyBorder="1"/>
    <x:xf numFmtId="0" fontId="4" fillId="0" borderId="1" xfId="0" applyNumberFormat="1" applyFont="1" applyFill="1" applyBorder="1" applyAlignment="1">
      <x:alignment wrapText="1"/>
    </x:xf>
    <x:xf numFmtId="0" fontId="4" fillId="6" borderId="1" xfId="0" applyNumberFormat="1" applyFont="1" applyFill="1" applyBorder="1" applyAlignment="1">
      <x:alignment wrapText="1"/>
    </x:xf>
    <x:xf numFmtId="0" fontId="4" fillId="7" borderId="1" xfId="0" applyNumberFormat="1" applyFont="1" applyFill="1" applyBorder="1" applyAlignment="1">
      <x:alignment wrapText="1"/>
    </x:xf>
    <x:xf numFmtId="0" fontId="0" fillId="8" borderId="0" xfId="0" applyNumberFormat="1" applyFont="1" applyFill="1" applyBorder="1"/>
    <x:xf numFmtId="0" fontId="8" fillId="8" borderId="0" xfId="0" applyNumberFormat="1" applyFont="1" applyFill="1" applyBorder="1"/>
    <x:xf numFmtId="0" fontId="8" fillId="8" borderId="1" xfId="0" applyNumberFormat="1" applyFont="1" applyFill="1" applyBorder="1"/>
    <x:xf numFmtId="0" fontId="8" fillId="8" borderId="1" xfId="0" applyNumberFormat="1" applyFont="1" applyFill="1" applyBorder="1" applyAlignment="1">
      <x:alignment wrapText="1"/>
    </x:xf>
    <x:xf numFmtId="0" fontId="8" fillId="8" borderId="1" xfId="0" applyNumberFormat="1" applyFont="1" applyFill="1" applyBorder="1" applyAlignment="1">
      <x:alignment horizontal="center" wrapText="1"/>
    </x:xf>
    <x:xf numFmtId="0" fontId="8" fillId="8" borderId="1" xfId="0" applyNumberFormat="1" applyFont="1" applyFill="1" applyBorder="1" applyAlignment="1">
      <x:alignment horizontal="center" vertical="center" wrapText="1"/>
    </x:xf>
    <x:xf numFmtId="0" fontId="9" fillId="0" borderId="0" xfId="0" applyNumberFormat="1" applyFont="1" applyFill="1" applyBorder="1"/>
    <x:xf numFmtId="0" fontId="9" fillId="0" borderId="10" xfId="0" applyNumberFormat="1" applyFont="1" applyFill="1" applyBorder="1"/>
    <x:xf numFmtId="0" fontId="9" fillId="0" borderId="11" xfId="0" applyNumberFormat="1" applyFont="1" applyFill="1" applyBorder="1"/>
    <x:xf numFmtId="0" fontId="9" fillId="0" borderId="12" xfId="0" applyNumberFormat="1" applyFont="1" applyFill="1" applyBorder="1"/>
    <x:xf numFmtId="0" fontId="9" fillId="0" borderId="13" xfId="0" applyNumberFormat="1" applyFont="1" applyFill="1" applyBorder="1"/>
    <x:xf numFmtId="0" fontId="9" fillId="0" borderId="14" xfId="0" applyNumberFormat="1" applyFont="1" applyFill="1" applyBorder="1"/>
    <x:xf numFmtId="0" fontId="9" fillId="0" borderId="15" xfId="0" applyNumberFormat="1" applyFont="1" applyFill="1" applyBorder="1"/>
    <x:xf numFmtId="0" fontId="9" fillId="0" borderId="16" xfId="0" applyNumberFormat="1" applyFont="1" applyFill="1" applyBorder="1"/>
    <x:xf numFmtId="0" fontId="9" fillId="0" borderId="17" xfId="0" applyNumberFormat="1" applyFont="1" applyFill="1" applyBorder="1"/>
    <x:xf numFmtId="0" fontId="9" fillId="0" borderId="18" xfId="0" applyNumberFormat="1" applyFont="1" applyFill="1" applyBorder="1"/>
    <x:xf numFmtId="0" fontId="9" fillId="0" borderId="10" xfId="0" applyNumberFormat="1" applyFont="1" applyFill="1" applyBorder="1" applyAlignment="1">
      <x:alignment wrapText="1"/>
    </x:xf>
    <x:xf numFmtId="0" fontId="9" fillId="0" borderId="11" xfId="0" applyNumberFormat="1" applyFont="1" applyFill="1" applyBorder="1" applyAlignment="1">
      <x:alignment wrapText="1"/>
    </x:xf>
    <x:xf numFmtId="0" fontId="9" fillId="0" borderId="12" xfId="0" applyNumberFormat="1" applyFont="1" applyFill="1" applyBorder="1" applyAlignment="1">
      <x:alignment wrapText="1"/>
    </x:xf>
    <x:xf numFmtId="0" fontId="9" fillId="0" borderId="13" xfId="0" applyNumberFormat="1" applyFont="1" applyFill="1" applyBorder="1" applyAlignment="1">
      <x:alignment wrapText="1"/>
    </x:xf>
    <x:xf numFmtId="0" fontId="9" fillId="0" borderId="14" xfId="0" applyNumberFormat="1" applyFont="1" applyFill="1" applyBorder="1" applyAlignment="1">
      <x:alignment wrapText="1"/>
    </x:xf>
    <x:xf numFmtId="0" fontId="9" fillId="0" borderId="15" xfId="0" applyNumberFormat="1" applyFont="1" applyFill="1" applyBorder="1" applyAlignment="1">
      <x:alignment wrapText="1"/>
    </x:xf>
    <x:xf numFmtId="0" fontId="9" fillId="0" borderId="16" xfId="0" applyNumberFormat="1" applyFont="1" applyFill="1" applyBorder="1" applyAlignment="1">
      <x:alignment wrapText="1"/>
    </x:xf>
    <x:xf numFmtId="0" fontId="9" fillId="0" borderId="17" xfId="0" applyNumberFormat="1" applyFont="1" applyFill="1" applyBorder="1" applyAlignment="1">
      <x:alignment wrapText="1"/>
    </x:xf>
    <x:xf numFmtId="0" fontId="9" fillId="0" borderId="18" xfId="0" applyNumberFormat="1" applyFont="1" applyFill="1" applyBorder="1" applyAlignment="1">
      <x:alignment wrapText="1"/>
    </x:xf>
    <x:xf numFmtId="0" fontId="9" fillId="0" borderId="10" xfId="0" applyNumberFormat="1" applyFont="1" applyFill="1" applyBorder="1" applyAlignment="1">
      <x:alignment vertical="center" wrapText="1"/>
    </x:xf>
    <x:xf numFmtId="0" fontId="9" fillId="0" borderId="11" xfId="0" applyNumberFormat="1" applyFont="1" applyFill="1" applyBorder="1" applyAlignment="1">
      <x:alignment vertical="center" wrapText="1"/>
    </x:xf>
    <x:xf numFmtId="0" fontId="9" fillId="0" borderId="12" xfId="0" applyNumberFormat="1" applyFont="1" applyFill="1" applyBorder="1" applyAlignment="1">
      <x:alignment vertical="center" wrapText="1"/>
    </x:xf>
    <x:xf numFmtId="0" fontId="9" fillId="0" borderId="13" xfId="0" applyNumberFormat="1" applyFont="1" applyFill="1" applyBorder="1" applyAlignment="1">
      <x:alignment vertical="center" wrapText="1"/>
    </x:xf>
    <x:xf numFmtId="0" fontId="9" fillId="0" borderId="14" xfId="0" applyNumberFormat="1" applyFont="1" applyFill="1" applyBorder="1" applyAlignment="1">
      <x:alignment vertical="center" wrapText="1"/>
    </x:xf>
    <x:xf numFmtId="0" fontId="9" fillId="0" borderId="15" xfId="0" applyNumberFormat="1" applyFont="1" applyFill="1" applyBorder="1" applyAlignment="1">
      <x:alignment vertical="center" wrapText="1"/>
    </x:xf>
    <x:xf numFmtId="0" fontId="9" fillId="0" borderId="16" xfId="0" applyNumberFormat="1" applyFont="1" applyFill="1" applyBorder="1" applyAlignment="1">
      <x:alignment vertical="center" wrapText="1"/>
    </x:xf>
    <x:xf numFmtId="0" fontId="9" fillId="0" borderId="17" xfId="0" applyNumberFormat="1" applyFont="1" applyFill="1" applyBorder="1" applyAlignment="1">
      <x:alignment vertical="center" wrapText="1"/>
    </x:xf>
    <x:xf numFmtId="0" fontId="9" fillId="0" borderId="18" xfId="0" applyNumberFormat="1" applyFont="1" applyFill="1" applyBorder="1" applyAlignment="1">
      <x:alignment vertical="center" wrapText="1"/>
    </x:xf>
    <x:xf numFmtId="0" fontId="4" fillId="8" borderId="0" xfId="0" applyNumberFormat="1" applyFont="1" applyFill="1" applyBorder="1"/>
    <x:xf numFmtId="0" fontId="4" fillId="8" borderId="1" xfId="0" applyNumberFormat="1" applyFont="1" applyFill="1" applyBorder="1"/>
    <x:xf numFmtId="0" fontId="4" fillId="8" borderId="1" xfId="0" applyNumberFormat="1" applyFont="1" applyFill="1" applyBorder="1" applyAlignment="1">
      <x:alignment horizontal="center"/>
    </x:xf>
    <x:xf numFmtId="0" fontId="10" fillId="0" borderId="11" xfId="0" applyNumberFormat="1" applyFont="1" applyFill="1" applyBorder="1" applyAlignment="1">
      <x:alignment vertical="center" wrapText="1"/>
    </x:xf>
    <x:xf numFmtId="0" fontId="10" fillId="0" borderId="14" xfId="0" applyNumberFormat="1" applyFont="1" applyFill="1" applyBorder="1" applyAlignment="1">
      <x:alignment vertical="center" wrapText="1"/>
    </x:xf>
    <x:xf numFmtId="0" fontId="10" fillId="0" borderId="17" xfId="0" applyNumberFormat="1" applyFont="1" applyFill="1" applyBorder="1" applyAlignment="1">
      <x:alignment vertical="center" wrapText="1"/>
    </x:xf>
    <x:xf numFmtId="0" fontId="11" fillId="0" borderId="11" xfId="0" applyNumberFormat="1" applyFont="1" applyFill="1" applyBorder="1" applyAlignment="1">
      <x:alignment vertical="center" wrapText="1"/>
    </x:xf>
    <x:xf numFmtId="0" fontId="11" fillId="0" borderId="14" xfId="0" applyNumberFormat="1" applyFont="1" applyFill="1" applyBorder="1" applyAlignment="1">
      <x:alignment vertical="center" wrapText="1"/>
    </x:xf>
    <x:xf numFmtId="0" fontId="11" fillId="0" borderId="17" xfId="0" applyNumberFormat="1" applyFont="1" applyFill="1" applyBorder="1" applyAlignment="1">
      <x:alignment vertical="center" wrapText="1"/>
    </x:xf>
    <x:xf numFmtId="200" fontId="11" fillId="0" borderId="11" xfId="0" applyNumberFormat="1" applyFont="1" applyFill="1" applyBorder="1" applyAlignment="1">
      <x:alignment vertical="center" wrapText="1"/>
    </x:xf>
    <x:xf numFmtId="200" fontId="9" fillId="0" borderId="11" xfId="0" applyNumberFormat="1" applyFont="1" applyFill="1" applyBorder="1" applyAlignment="1">
      <x:alignment vertical="center" wrapText="1"/>
    </x:xf>
    <x:xf numFmtId="200" fontId="11" fillId="0" borderId="14" xfId="0" applyNumberFormat="1" applyFont="1" applyFill="1" applyBorder="1" applyAlignment="1">
      <x:alignment vertical="center" wrapText="1"/>
    </x:xf>
    <x:xf numFmtId="200" fontId="9" fillId="0" borderId="14" xfId="0" applyNumberFormat="1" applyFont="1" applyFill="1" applyBorder="1" applyAlignment="1">
      <x:alignment vertical="center" wrapText="1"/>
    </x:xf>
    <x:xf numFmtId="200" fontId="11" fillId="0" borderId="17" xfId="0" applyNumberFormat="1" applyFont="1" applyFill="1" applyBorder="1" applyAlignment="1">
      <x:alignment vertical="center" wrapText="1"/>
    </x:xf>
    <x:xf numFmtId="200" fontId="9" fillId="0" borderId="17" xfId="0" applyNumberFormat="1" applyFont="1" applyFill="1" applyBorder="1" applyAlignment="1">
      <x:alignment vertical="center" wrapText="1"/>
    </x:xf>
    <x:xf numFmtId="201" fontId="9" fillId="0" borderId="14" xfId="0" applyNumberFormat="1" applyFont="1" applyFill="1" applyBorder="1" applyAlignment="1">
      <x:alignment vertical="center" wrapText="1"/>
    </x:xf>
    <x:xf numFmtId="201" fontId="9" fillId="0" borderId="17" xfId="0" applyNumberFormat="1" applyFont="1" applyFill="1" applyBorder="1" applyAlignment="1">
      <x:alignment vertical="center" wrapText="1"/>
    </x:xf>
    <x:xf numFmtId="201" fontId="9" fillId="0" borderId="11" xfId="0" applyNumberFormat="1" applyFont="1" applyFill="1" applyBorder="1" applyAlignment="1">
      <x:alignment vertical="center" wrapText="1"/>
    </x:xf>
    <x:xf numFmtId="202" fontId="9" fillId="0" borderId="11" xfId="0" applyNumberFormat="1" applyFont="1" applyFill="1" applyBorder="1" applyAlignment="1">
      <x:alignment vertical="center" wrapText="1"/>
    </x:xf>
    <x:xf numFmtId="202" fontId="9" fillId="0" borderId="14" xfId="0" applyNumberFormat="1" applyFont="1" applyFill="1" applyBorder="1" applyAlignment="1">
      <x:alignment vertical="center" wrapText="1"/>
    </x:xf>
    <x:xf numFmtId="202" fontId="9" fillId="0" borderId="17" xfId="0" applyNumberFormat="1" applyFont="1" applyFill="1" applyBorder="1" applyAlignment="1">
      <x:alignment vertical="center" wrapText="1"/>
    </x:xf>
    <x:xf numFmtId="201" fontId="11" fillId="0" borderId="11" xfId="0" applyNumberFormat="1" applyFont="1" applyFill="1" applyBorder="1" applyAlignment="1">
      <x:alignment vertical="center" wrapText="1"/>
    </x:xf>
    <x:xf numFmtId="201" fontId="11" fillId="0" borderId="14" xfId="0" applyNumberFormat="1" applyFont="1" applyFill="1" applyBorder="1" applyAlignment="1">
      <x:alignment vertical="center" wrapText="1"/>
    </x:xf>
    <x:xf numFmtId="201" fontId="11" fillId="0" borderId="17" xfId="0" applyNumberFormat="1" applyFont="1" applyFill="1" applyBorder="1" applyAlignment="1">
      <x:alignment vertical="center" wrapText="1"/>
    </x:xf>
    <x:xf numFmtId="0" fontId="1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17" xfId="0" applyNumberFormat="1" applyFont="1" applyFill="1" applyBorder="1" applyAlignment="1">
      <x:alignment vertical="center" wrapText="1"/>
    </x:xf>
    <x:xf numFmtId="203" fontId="11" fillId="0" borderId="11" xfId="0" applyNumberFormat="1" applyFont="1" applyFill="1" applyBorder="1" applyAlignment="1">
      <x:alignment vertical="center" wrapText="1"/>
    </x:xf>
    <x:xf numFmtId="203" fontId="11" fillId="0" borderId="14" xfId="0" applyNumberFormat="1" applyFont="1" applyFill="1" applyBorder="1" applyAlignment="1">
      <x:alignment vertical="center" wrapText="1"/>
    </x:xf>
    <x:xf numFmtId="203" fontId="11" fillId="0" borderId="17" xfId="0" applyNumberFormat="1" applyFont="1" applyFill="1" applyBorder="1" applyAlignment="1">
      <x:alignment vertical="center" wrapText="1"/>
    </x:xf>
    <x:xf numFmtId="201" fontId="12" fillId="0" borderId="11" xfId="0" applyNumberFormat="1" applyFont="1" applyFill="1" applyBorder="1" applyAlignment="1">
      <x:alignment vertical="center" wrapText="1"/>
    </x:xf>
    <x:xf numFmtId="201" fontId="12" fillId="0" borderId="14" xfId="0" applyNumberFormat="1" applyFont="1" applyFill="1" applyBorder="1" applyAlignment="1">
      <x:alignment vertical="center" wrapText="1"/>
    </x:xf>
    <x:xf numFmtId="201" fontId="12" fillId="0" borderId="17" xfId="0" applyNumberFormat="1" applyFont="1" applyFill="1" applyBorder="1" applyAlignment="1">
      <x:alignment vertical="center" wrapText="1"/>
    </x:xf>
    <x:xf numFmtId="204" fontId="11" fillId="0" borderId="11" xfId="0" applyNumberFormat="1" applyFont="1" applyFill="1" applyBorder="1" applyAlignment="1">
      <x:alignment vertical="center" wrapText="1"/>
    </x:xf>
    <x:xf numFmtId="204" fontId="11" fillId="0" borderId="14" xfId="0" applyNumberFormat="1" applyFont="1" applyFill="1" applyBorder="1" applyAlignment="1">
      <x:alignment vertical="center" wrapText="1"/>
    </x:xf>
    <x:xf numFmtId="204" fontId="11" fillId="0" borderId="17" xfId="0" applyNumberFormat="1" applyFont="1" applyFill="1" applyBorder="1" applyAlignment="1">
      <x:alignment vertical="center" wrapText="1"/>
    </x:xf>
    <x:xf numFmtId="203" fontId="9" fillId="0" borderId="11" xfId="0" applyNumberFormat="1" applyFont="1" applyFill="1" applyBorder="1" applyAlignment="1">
      <x:alignment vertical="center" wrapText="1"/>
    </x:xf>
    <x:xf numFmtId="203" fontId="9" fillId="0" borderId="14" xfId="0" applyNumberFormat="1" applyFont="1" applyFill="1" applyBorder="1" applyAlignment="1">
      <x:alignment vertical="center" wrapText="1"/>
    </x:xf>
    <x:xf numFmtId="203" fontId="9" fillId="0" borderId="17" xfId="0" applyNumberFormat="1" applyFont="1" applyFill="1" applyBorder="1" applyAlignment="1">
      <x:alignment vertical="center" wrapText="1"/>
    </x:xf>
    <x:xf numFmtId="205" fontId="9" fillId="0" borderId="11" xfId="0" applyNumberFormat="1" applyFont="1" applyFill="1" applyBorder="1" applyAlignment="1">
      <x:alignment vertical="center" wrapText="1"/>
    </x:xf>
    <x:xf numFmtId="205" fontId="9" fillId="0" borderId="14" xfId="0" applyNumberFormat="1" applyFont="1" applyFill="1" applyBorder="1" applyAlignment="1">
      <x:alignment vertical="center" wrapText="1"/>
    </x:xf>
    <x:xf numFmtId="205" fontId="9" fillId="0" borderId="17" xfId="0" applyNumberFormat="1" applyFont="1" applyFill="1" applyBorder="1" applyAlignment="1">
      <x:alignment vertical="center" wrapText="1"/>
    </x:xf>
    <x:xf numFmtId="205" fontId="11" fillId="0" borderId="11" xfId="0" applyNumberFormat="1" applyFont="1" applyFill="1" applyBorder="1" applyAlignment="1">
      <x:alignment vertical="center" wrapText="1"/>
    </x:xf>
    <x:xf numFmtId="205" fontId="11" fillId="0" borderId="14" xfId="0" applyNumberFormat="1" applyFont="1" applyFill="1" applyBorder="1" applyAlignment="1">
      <x:alignment vertical="center" wrapText="1"/>
    </x:xf>
    <x:xf numFmtId="205" fontId="11" fillId="0" borderId="17" xfId="0" applyNumberFormat="1" applyFont="1" applyFill="1" applyBorder="1" applyAlignment="1">
      <x:alignment vertical="center" wrapText="1"/>
    </x:xf>
    <x:xf numFmtId="0" fontId="9" fillId="7" borderId="13" xfId="0" applyNumberFormat="1" applyFont="1" applyFill="1" applyBorder="1" applyAlignment="1">
      <x:alignment vertical="center" wrapText="1"/>
    </x:xf>
    <x:xf numFmtId="0" fontId="9" fillId="7" borderId="14" xfId="0" applyNumberFormat="1" applyFont="1" applyFill="1" applyBorder="1" applyAlignment="1">
      <x:alignment vertical="center" wrapText="1"/>
    </x:xf>
    <x:xf numFmtId="205" fontId="11" fillId="7" borderId="14" xfId="0" applyNumberFormat="1" applyFont="1" applyFill="1" applyBorder="1" applyAlignment="1">
      <x:alignment vertical="center" wrapText="1"/>
    </x:xf>
    <x:xf numFmtId="0" fontId="9" fillId="7" borderId="15" xfId="0" applyNumberFormat="1" applyFont="1" applyFill="1" applyBorder="1" applyAlignment="1">
      <x:alignment vertical="center" wrapText="1"/>
    </x:xf>
    <x:xf numFmtId="0" fontId="9" fillId="7" borderId="11" xfId="0" applyNumberFormat="1" applyFont="1" applyFill="1" applyBorder="1" applyAlignment="1">
      <x:alignment vertical="center" wrapText="1"/>
    </x:xf>
    <x:xf numFmtId="0" fontId="9" fillId="7" borderId="17" xfId="0" applyNumberFormat="1" applyFont="1" applyFill="1" applyBorder="1" applyAlignment="1">
      <x:alignment vertical="center" wrapText="1"/>
    </x:xf>
    <x:xf numFmtId="200" fontId="12" fillId="0" borderId="11" xfId="0" applyNumberFormat="1" applyFont="1" applyFill="1" applyBorder="1" applyAlignment="1">
      <x:alignment vertical="center" wrapText="1"/>
    </x:xf>
    <x:xf numFmtId="200" fontId="12" fillId="0" borderId="14" xfId="0" applyNumberFormat="1" applyFont="1" applyFill="1" applyBorder="1" applyAlignment="1">
      <x:alignment vertical="center" wrapText="1"/>
    </x:xf>
    <x:xf numFmtId="200" fontId="12" fillId="0" borderId="17" xfId="0" applyNumberFormat="1" applyFont="1" applyFill="1" applyBorder="1" applyAlignment="1">
      <x:alignment vertical="center" wrapText="1"/>
    </x:xf>
    <x:xf numFmtId="0" fontId="8" fillId="0" borderId="11" xfId="0" applyNumberFormat="1" applyFont="1" applyFill="1" applyBorder="1" applyAlignment="1">
      <x:alignment vertical="center" wrapText="1"/>
    </x:xf>
    <x:xf numFmtId="0" fontId="8" fillId="0" borderId="14" xfId="0" applyNumberFormat="1" applyFont="1" applyFill="1" applyBorder="1" applyAlignment="1">
      <x:alignment vertical="center" wrapText="1"/>
    </x:xf>
    <x:xf numFmtId="0" fontId="8" fillId="0" borderId="17" xfId="0" applyNumberFormat="1" applyFont="1" applyFill="1" applyBorder="1" applyAlignment="1">
      <x:alignment vertical="center" wrapText="1"/>
    </x:xf>
    <x:xf numFmtId="0" fontId="4" fillId="6" borderId="0" xfId="0" applyNumberFormat="1" applyFont="1" applyFill="1" applyBorder="1"/>
    <x:xf numFmtId="0" fontId="4" fillId="6" borderId="1" xfId="0" applyNumberFormat="1" applyFont="1" applyFill="1" applyBorder="1"/>
    <x:xf numFmtId="0" fontId="4" fillId="9" borderId="1" xfId="0" applyNumberFormat="1" applyFont="1" applyFill="1" applyBorder="1" applyAlignment="1">
      <x:alignment wrapText="1"/>
    </x:xf>
    <x:xf numFmtId="0" fontId="4" fillId="10" borderId="1" xfId="0" applyNumberFormat="1" applyFont="1" applyFill="1" applyBorder="1" applyAlignment="1">
      <x:alignment wrapText="1"/>
    </x:xf>
    <x:xf numFmtId="0" fontId="0" fillId="11" borderId="0" xfId="0" applyNumberFormat="1" applyFont="1" applyFill="1" applyBorder="1"/>
    <x:xf numFmtId="0" fontId="1" fillId="11" borderId="0" xfId="0" applyNumberFormat="1" applyFont="1" applyFill="1" applyBorder="1"/>
    <x:xf numFmtId="0" fontId="1" fillId="11" borderId="0" xfId="0" applyNumberFormat="1" applyFont="1" applyFill="1" applyBorder="1" applyAlignment="1">
      <x:alignment horizontal="left"/>
    </x:xf>
    <x:xf numFmtId="0" fontId="1" fillId="11" borderId="0" xfId="0" applyNumberFormat="1" applyFont="1" applyFill="1" applyBorder="1" applyAlignment="1">
      <x:alignment horizontal="left" vertical="center"/>
    </x:xf>
    <x:xf numFmtId="0" fontId="0" fillId="12" borderId="0" xfId="0" applyNumberFormat="1" applyFont="1" applyFill="1" applyBorder="1"/>
    <x:xf numFmtId="0" fontId="2" fillId="12" borderId="0" xfId="0" applyNumberFormat="1" applyFont="1" applyFill="1" applyBorder="1"/>
    <x:xf numFmtId="0" fontId="2" fillId="12" borderId="0" xfId="0" applyNumberFormat="1" applyFont="1" applyFill="1" applyBorder="1" applyAlignment="1">
      <x:alignment wrapText="1"/>
    </x:xf>
    <x:xf numFmtId="0" fontId="2" fillId="12" borderId="0" xfId="0" applyNumberFormat="1" applyFont="1" applyFill="1" applyBorder="1" applyAlignment="1">
      <x:alignment vertical="center" wrapText="1"/>
    </x:xf>
    <x:xf numFmtId="0" fontId="0" fillId="13" borderId="0" xfId="0" applyNumberFormat="1" applyFont="1" applyFill="1" applyBorder="1"/>
    <x:xf numFmtId="0" fontId="3" fillId="13" borderId="0" xfId="0" applyNumberFormat="1" applyFont="1" applyFill="1" applyBorder="1"/>
    <x:xf numFmtId="0" fontId="3" fillId="13" borderId="0" xfId="0" applyNumberFormat="1" applyFont="1" applyFill="1" applyBorder="1" applyAlignment="1">
      <x:alignment vertical="center"/>
    </x:xf>
    <x:xf numFmtId="0" fontId="0" fillId="14" borderId="0" xfId="0" applyNumberFormat="1" applyFont="1" applyFill="1" applyBorder="1"/>
    <x:xf numFmtId="0" fontId="8" fillId="14" borderId="0" xfId="0" applyNumberFormat="1" applyFont="1" applyFill="1" applyBorder="1"/>
    <x:xf numFmtId="0" fontId="8" fillId="14" borderId="1" xfId="0" applyNumberFormat="1" applyFont="1" applyFill="1" applyBorder="1"/>
    <x:xf numFmtId="0" fontId="8" fillId="14" borderId="1" xfId="0" applyNumberFormat="1" applyFont="1" applyFill="1" applyBorder="1" applyAlignment="1">
      <x:alignment wrapText="1"/>
    </x:xf>
    <x:xf numFmtId="0" fontId="8" fillId="14" borderId="1" xfId="0" applyNumberFormat="1" applyFont="1" applyFill="1" applyBorder="1" applyAlignment="1">
      <x:alignment horizontal="center" wrapText="1"/>
    </x:xf>
    <x:xf numFmtId="0" fontId="8" fillId="14" borderId="1" xfId="0" applyNumberFormat="1" applyFont="1" applyFill="1" applyBorder="1" applyAlignment="1">
      <x:alignment horizontal="center" vertical="center" wrapText="1"/>
    </x:xf>
    <x:xf numFmtId="206" fontId="9" fillId="0" borderId="11" xfId="0" applyNumberFormat="1" applyFont="1" applyFill="1" applyBorder="1" applyAlignment="1">
      <x:alignment vertical="center" wrapText="1"/>
    </x:xf>
    <x:xf numFmtId="206" fontId="9" fillId="0" borderId="14" xfId="0" applyNumberFormat="1" applyFont="1" applyFill="1" applyBorder="1" applyAlignment="1">
      <x:alignment vertical="center" wrapText="1"/>
    </x:xf>
    <x:xf numFmtId="206" fontId="9" fillId="0" borderId="17" xfId="0" applyNumberFormat="1" applyFont="1" applyFill="1" applyBorder="1" applyAlignment="1">
      <x:alignment vertical="center" wrapText="1"/>
    </x:xf>
    <x:xf numFmtId="206" fontId="11" fillId="0" borderId="11" xfId="0" applyNumberFormat="1" applyFont="1" applyFill="1" applyBorder="1" applyAlignment="1">
      <x:alignment vertical="center" wrapText="1"/>
    </x:xf>
    <x:xf numFmtId="206" fontId="11" fillId="0" borderId="14" xfId="0" applyNumberFormat="1" applyFont="1" applyFill="1" applyBorder="1" applyAlignment="1">
      <x:alignment vertical="center" wrapText="1"/>
    </x:xf>
    <x:xf numFmtId="206" fontId="11" fillId="0" borderId="17" xfId="0" applyNumberFormat="1" applyFont="1" applyFill="1" applyBorder="1" applyAlignment="1">
      <x:alignment vertical="center" wrapText="1"/>
    </x:xf>
    <x:xf numFmtId="206" fontId="11" fillId="15" borderId="11" xfId="0" applyNumberFormat="1" applyFont="1" applyFill="1" applyBorder="1" applyAlignment="1">
      <x:alignment vertical="center" wrapText="1"/>
    </x:xf>
    <x:xf numFmtId="206" fontId="11" fillId="15" borderId="14" xfId="0" applyNumberFormat="1" applyFont="1" applyFill="1" applyBorder="1" applyAlignment="1">
      <x:alignment vertical="center" wrapText="1"/>
    </x:xf>
    <x:xf numFmtId="206" fontId="11" fillId="15" borderId="17" xfId="0" applyNumberFormat="1" applyFont="1" applyFill="1" applyBorder="1" applyAlignment="1">
      <x:alignment vertical="center" wrapText="1"/>
    </x:xf>
    <x:xf numFmtId="0" fontId="0" fillId="15" borderId="0" xfId="0" applyNumberFormat="1" applyFont="1" applyFill="1" applyBorder="1"/>
    <x:xf numFmtId="0" fontId="7" fillId="15" borderId="0" xfId="0" applyNumberFormat="1" applyFont="1" applyFill="1" applyBorder="1"/>
    <x:xf numFmtId="0" fontId="7" fillId="15" borderId="2" xfId="0" applyNumberFormat="1" applyFont="1" applyFill="1" applyBorder="1"/>
    <x:xf numFmtId="0" fontId="7" fillId="15" borderId="3" xfId="0" applyNumberFormat="1" applyFont="1" applyFill="1" applyBorder="1"/>
    <x:xf numFmtId="0" fontId="7" fillId="15" borderId="4" xfId="0" applyNumberFormat="1" applyFont="1" applyFill="1" applyBorder="1"/>
    <x:xf numFmtId="0" fontId="7" fillId="15" borderId="5" xfId="0" applyNumberFormat="1" applyFont="1" applyFill="1" applyBorder="1"/>
    <x:xf numFmtId="0" fontId="7" fillId="15" xfId="0" applyNumberFormat="1" applyFont="1" applyFill="1" applyBorder="0"/>
    <x:xf numFmtId="0" fontId="7" fillId="15" borderId="6" xfId="0" applyNumberFormat="1" applyFont="1" applyFill="1" applyBorder="1"/>
    <x:xf numFmtId="0" fontId="7" fillId="15" borderId="7" xfId="0" applyNumberFormat="1" applyFont="1" applyFill="1" applyBorder="1"/>
    <x:xf numFmtId="0" fontId="7" fillId="15" borderId="8" xfId="0" applyNumberFormat="1" applyFont="1" applyFill="1" applyBorder="1"/>
    <x:xf numFmtId="0" fontId="7" fillId="15" borderId="9" xfId="0" applyNumberFormat="1" applyFont="1" applyFill="1" applyBorder="1"/>
    <x:xf numFmtId="0" fontId="7" fillId="15" borderId="2" xfId="0" applyNumberFormat="1" applyFont="1" applyFill="1" applyBorder="1" applyAlignment="1">
      <x:alignment wrapText="1"/>
    </x:xf>
    <x:xf numFmtId="0" fontId="7" fillId="15" borderId="3" xfId="0" applyNumberFormat="1" applyFont="1" applyFill="1" applyBorder="1" applyAlignment="1">
      <x:alignment wrapText="1"/>
    </x:xf>
    <x:xf numFmtId="0" fontId="7" fillId="15" borderId="4" xfId="0" applyNumberFormat="1" applyFont="1" applyFill="1" applyBorder="1" applyAlignment="1">
      <x:alignment wrapText="1"/>
    </x:xf>
    <x:xf numFmtId="0" fontId="7" fillId="15" borderId="5" xfId="0" applyNumberFormat="1" applyFont="1" applyFill="1" applyBorder="1" applyAlignment="1">
      <x:alignment wrapText="1"/>
    </x:xf>
    <x:xf numFmtId="0" fontId="7" fillId="15" xfId="0" applyNumberFormat="1" applyFont="1" applyFill="1" applyBorder="0" applyAlignment="1">
      <x:alignment wrapText="1"/>
    </x:xf>
    <x:xf numFmtId="0" fontId="7" fillId="15" borderId="6" xfId="0" applyNumberFormat="1" applyFont="1" applyFill="1" applyBorder="1" applyAlignment="1">
      <x:alignment wrapText="1"/>
    </x:xf>
    <x:xf numFmtId="0" fontId="7" fillId="15" borderId="7" xfId="0" applyNumberFormat="1" applyFont="1" applyFill="1" applyBorder="1" applyAlignment="1">
      <x:alignment wrapText="1"/>
    </x:xf>
    <x:xf numFmtId="0" fontId="7" fillId="15" borderId="8" xfId="0" applyNumberFormat="1" applyFont="1" applyFill="1" applyBorder="1" applyAlignment="1">
      <x:alignment wrapText="1"/>
    </x:xf>
    <x:xf numFmtId="0" fontId="7" fillId="15" borderId="9" xfId="0" applyNumberFormat="1" applyFont="1" applyFill="1" applyBorder="1" applyAlignment="1">
      <x:alignment wrapText="1"/>
    </x:xf>
    <x:xf numFmtId="0" fontId="7" fillId="15" borderId="2" xfId="0" applyNumberFormat="1" applyFont="1" applyFill="1" applyBorder="1" applyAlignment="1">
      <x:alignment vertical="top" wrapText="1"/>
    </x:xf>
    <x:xf numFmtId="0" fontId="7" fillId="15" borderId="3" xfId="0" applyNumberFormat="1" applyFont="1" applyFill="1" applyBorder="1" applyAlignment="1">
      <x:alignment vertical="top" wrapText="1"/>
    </x:xf>
    <x:xf numFmtId="0" fontId="7" fillId="15" borderId="4" xfId="0" applyNumberFormat="1" applyFont="1" applyFill="1" applyBorder="1" applyAlignment="1">
      <x:alignment vertical="top" wrapText="1"/>
    </x:xf>
    <x:xf numFmtId="0" fontId="7" fillId="15" borderId="5" xfId="0" applyNumberFormat="1" applyFont="1" applyFill="1" applyBorder="1" applyAlignment="1">
      <x:alignment vertical="top" wrapText="1"/>
    </x:xf>
    <x:xf numFmtId="0" fontId="7" fillId="15" xfId="0" applyNumberFormat="1" applyFont="1" applyFill="1" applyBorder="0" applyAlignment="1">
      <x:alignment vertical="top" wrapText="1"/>
    </x:xf>
    <x:xf numFmtId="0" fontId="7" fillId="15" borderId="6" xfId="0" applyNumberFormat="1" applyFont="1" applyFill="1" applyBorder="1" applyAlignment="1">
      <x:alignment vertical="top" wrapText="1"/>
    </x:xf>
    <x:xf numFmtId="0" fontId="7" fillId="15" borderId="7" xfId="0" applyNumberFormat="1" applyFont="1" applyFill="1" applyBorder="1" applyAlignment="1">
      <x:alignment vertical="top" wrapText="1"/>
    </x:xf>
    <x:xf numFmtId="0" fontId="7" fillId="15" borderId="8" xfId="0" applyNumberFormat="1" applyFont="1" applyFill="1" applyBorder="1" applyAlignment="1">
      <x:alignment vertical="top" wrapText="1"/>
    </x:xf>
    <x:xf numFmtId="0" fontId="7" fillId="15" borderId="9" xfId="0" applyNumberFormat="1" applyFont="1" applyFill="1" applyBorder="1" applyAlignment="1">
      <x:alignment vertical="top" wrapText="1"/>
    </x:xf>
    <x:xf numFmtId="207" fontId="9" fillId="0" borderId="11" xfId="0" applyNumberFormat="1" applyFont="1" applyFill="1" applyBorder="1" applyAlignment="1">
      <x:alignment vertical="center" wrapText="1"/>
    </x:xf>
    <x:xf numFmtId="207" fontId="9" fillId="0" borderId="14" xfId="0" applyNumberFormat="1" applyFont="1" applyFill="1" applyBorder="1" applyAlignment="1">
      <x:alignment vertical="center" wrapText="1"/>
    </x:xf>
    <x:xf numFmtId="207" fontId="9" fillId="0" borderId="17" xfId="0" applyNumberFormat="1" applyFont="1" applyFill="1" applyBorder="1" applyAlignment="1">
      <x:alignment vertical="center" wrapText="1"/>
    </x:xf>
    <x:xf numFmtId="208" fontId="9" fillId="0" borderId="11" xfId="0" applyNumberFormat="1" applyFont="1" applyFill="1" applyBorder="1" applyAlignment="1">
      <x:alignment vertical="center" wrapText="1"/>
    </x:xf>
    <x:xf numFmtId="208" fontId="9" fillId="0" borderId="14" xfId="0" applyNumberFormat="1" applyFont="1" applyFill="1" applyBorder="1" applyAlignment="1">
      <x:alignment vertical="center" wrapText="1"/>
    </x:xf>
    <x:xf numFmtId="208" fontId="9" fillId="0" borderId="17" xfId="0" applyNumberFormat="1" applyFont="1" applyFill="1" applyBorder="1" applyAlignment="1">
      <x:alignment vertical="center" wrapText="1"/>
    </x:xf>
    <x:xf numFmtId="208" fontId="9" fillId="15" borderId="11" xfId="0" applyNumberFormat="1" applyFont="1" applyFill="1" applyBorder="1" applyAlignment="1">
      <x:alignment vertical="center" wrapText="1"/>
    </x:xf>
    <x:xf numFmtId="0" fontId="9" fillId="15" borderId="11" xfId="0" applyNumberFormat="1" applyFont="1" applyFill="1" applyBorder="1" applyAlignment="1">
      <x:alignment vertical="center" wrapText="1"/>
    </x:xf>
    <x:xf numFmtId="0" fontId="9" fillId="15" borderId="12" xfId="0" applyNumberFormat="1" applyFont="1" applyFill="1" applyBorder="1" applyAlignment="1">
      <x:alignment vertical="center" wrapText="1"/>
    </x:xf>
    <x:xf numFmtId="208" fontId="9" fillId="15" borderId="14" xfId="0" applyNumberFormat="1" applyFont="1" applyFill="1" applyBorder="1" applyAlignment="1">
      <x:alignment vertical="center" wrapText="1"/>
    </x:xf>
    <x:xf numFmtId="0" fontId="9" fillId="15" borderId="14" xfId="0" applyNumberFormat="1" applyFont="1" applyFill="1" applyBorder="1" applyAlignment="1">
      <x:alignment vertical="center" wrapText="1"/>
    </x:xf>
    <x:xf numFmtId="0" fontId="9" fillId="15" borderId="15" xfId="0" applyNumberFormat="1" applyFont="1" applyFill="1" applyBorder="1" applyAlignment="1">
      <x:alignment vertical="center" wrapText="1"/>
    </x:xf>
    <x:xf numFmtId="208" fontId="9" fillId="15" borderId="17" xfId="0" applyNumberFormat="1" applyFont="1" applyFill="1" applyBorder="1" applyAlignment="1">
      <x:alignment vertical="center" wrapText="1"/>
    </x:xf>
    <x:xf numFmtId="0" fontId="9" fillId="15" borderId="17" xfId="0" applyNumberFormat="1" applyFont="1" applyFill="1" applyBorder="1" applyAlignment="1">
      <x:alignment vertical="center" wrapText="1"/>
    </x:xf>
    <x:xf numFmtId="0" fontId="9" fillId="15" borderId="18" xfId="0" applyNumberFormat="1" applyFont="1" applyFill="1" applyBorder="1" applyAlignment="1">
      <x:alignment vertical="center" wrapText="1"/>
    </x:xf>
    <x:xf numFmtId="208" fontId="13" fillId="15" borderId="11" xfId="0" applyNumberFormat="1" applyFont="1" applyFill="1" applyBorder="1" applyAlignment="1">
      <x:alignment vertical="center" wrapText="1"/>
    </x:xf>
    <x:xf numFmtId="0" fontId="13" fillId="15" borderId="11" xfId="0" applyNumberFormat="1" applyFont="1" applyFill="1" applyBorder="1" applyAlignment="1">
      <x:alignment vertical="center" wrapText="1"/>
    </x:xf>
    <x:xf numFmtId="0" fontId="13" fillId="15" borderId="12" xfId="0" applyNumberFormat="1" applyFont="1" applyFill="1" applyBorder="1" applyAlignment="1">
      <x:alignment vertical="center" wrapText="1"/>
    </x:xf>
    <x:xf numFmtId="208" fontId="13" fillId="15" borderId="14" xfId="0" applyNumberFormat="1" applyFont="1" applyFill="1" applyBorder="1" applyAlignment="1">
      <x:alignment vertical="center" wrapText="1"/>
    </x:xf>
    <x:xf numFmtId="0" fontId="13" fillId="15" borderId="14" xfId="0" applyNumberFormat="1" applyFont="1" applyFill="1" applyBorder="1" applyAlignment="1">
      <x:alignment vertical="center" wrapText="1"/>
    </x:xf>
    <x:xf numFmtId="0" fontId="13" fillId="15" borderId="15" xfId="0" applyNumberFormat="1" applyFont="1" applyFill="1" applyBorder="1" applyAlignment="1">
      <x:alignment vertical="center" wrapText="1"/>
    </x:xf>
    <x:xf numFmtId="208" fontId="13" fillId="15" borderId="17" xfId="0" applyNumberFormat="1" applyFont="1" applyFill="1" applyBorder="1" applyAlignment="1">
      <x:alignment vertical="center" wrapText="1"/>
    </x:xf>
    <x:xf numFmtId="0" fontId="13" fillId="15" borderId="17" xfId="0" applyNumberFormat="1" applyFont="1" applyFill="1" applyBorder="1" applyAlignment="1">
      <x:alignment vertical="center" wrapText="1"/>
    </x:xf>
    <x:xf numFmtId="0" fontId="13" fillId="15" borderId="18" xfId="0" applyNumberFormat="1" applyFont="1" applyFill="1" applyBorder="1" applyAlignment="1">
      <x:alignment vertical="center" wrapText="1"/>
    </x:xf>
    <x:xf numFmtId="0" fontId="0" fillId="9" borderId="0" xfId="0" applyNumberFormat="1" applyFont="1" applyFill="1" applyBorder="1"/>
    <x:xf numFmtId="0" fontId="14" fillId="9" borderId="0" xfId="0" applyNumberFormat="1" applyFont="1" applyFill="1" applyBorder="1"/>
    <x:xf numFmtId="0" fontId="14" fillId="9" borderId="1" xfId="0" applyNumberFormat="1" applyFont="1" applyFill="1" applyBorder="1"/>
    <x:xf numFmtId="208" fontId="14" fillId="9" borderId="1" xfId="0" applyNumberFormat="1" applyFont="1" applyFill="1" applyBorder="1"/>
    <x:xf numFmtId="209" fontId="14" fillId="9" borderId="1" xfId="0" applyNumberFormat="1" applyFont="1" applyFill="1" applyBorder="1"/>
    <x:xf numFmtId="210" fontId="14" fillId="9" borderId="1" xfId="0" applyNumberFormat="1" applyFont="1" applyFill="1" applyBorder="1"/>
    <x:xf numFmtId="209" fontId="9" fillId="0" borderId="12" xfId="0" applyNumberFormat="1" applyFont="1" applyFill="1" applyBorder="1" applyAlignment="1">
      <x:alignment vertical="center" wrapText="1"/>
    </x:xf>
    <x:xf numFmtId="209" fontId="9" fillId="0" borderId="15" xfId="0" applyNumberFormat="1" applyFont="1" applyFill="1" applyBorder="1" applyAlignment="1">
      <x:alignment vertical="center" wrapText="1"/>
    </x:xf>
    <x:xf numFmtId="209" fontId="9" fillId="0" borderId="18" xfId="0" applyNumberFormat="1" applyFont="1" applyFill="1" applyBorder="1" applyAlignment="1">
      <x:alignment vertical="center" wrapText="1"/>
    </x:xf>
    <x:xf numFmtId="0" fontId="0" fillId="10" borderId="0" xfId="0" applyNumberFormat="1" applyFont="1" applyFill="1" applyBorder="1"/>
    <x:xf numFmtId="0" fontId="4" fillId="10" borderId="0" xfId="0" applyNumberFormat="1" applyFont="1" applyFill="1" applyBorder="1"/>
    <x:xf numFmtId="0" fontId="4" fillId="10" borderId="1" xfId="0" applyNumberFormat="1" applyFont="1" applyFill="1" applyBorder="1"/>
    <x:xf numFmtId="0" fontId="15" fillId="9" borderId="0" xfId="0" applyNumberFormat="1" applyFont="1" applyFill="1" applyBorder="1"/>
    <x:xf numFmtId="0" fontId="15" fillId="9" borderId="1" xfId="0" applyNumberFormat="1" applyFont="1" applyFill="1" applyBorder="1"/>
    <x:xf numFmtId="0" fontId="15" fillId="9" borderId="1" xfId="0" applyNumberFormat="1" applyFont="1" applyFill="1" applyBorder="1" applyAlignment="1">
      <x:alignment horizontal="center"/>
    </x:xf>
    <x:xf numFmtId="0" fontId="16" fillId="9" borderId="0" xfId="0" applyNumberFormat="1" applyFont="1" applyFill="1" applyBorder="1"/>
    <x:xf numFmtId="0" fontId="16" fillId="9" borderId="1" xfId="0" applyNumberFormat="1" applyFont="1" applyFill="1" applyBorder="1"/>
    <x:xf numFmtId="209" fontId="16" fillId="9" borderId="1" xfId="0" applyNumberFormat="1" applyFont="1" applyFill="1" applyBorder="1"/>
    <x:xf numFmtId="209" fontId="16" fillId="9" borderId="1" xfId="0" applyNumberFormat="1" applyFont="1" applyFill="1" applyBorder="1" applyAlignment="1">
      <x:alignment horizontal="center"/>
    </x:xf>
    <x:xf numFmtId="0" fontId="9" fillId="9" borderId="11" xfId="0" applyNumberFormat="1" applyFont="1" applyFill="1" applyBorder="1" applyAlignment="1">
      <x:alignment vertical="center" wrapText="1"/>
    </x:xf>
    <x:xf numFmtId="211" fontId="9" fillId="0" borderId="11" xfId="0" applyNumberFormat="1" applyFont="1" applyFill="1" applyBorder="1" applyAlignment="1">
      <x:alignment vertical="center" wrapText="1"/>
    </x:xf>
    <x:xf numFmtId="211" fontId="9" fillId="0" borderId="14" xfId="0" applyNumberFormat="1" applyFont="1" applyFill="1" applyBorder="1" applyAlignment="1">
      <x:alignment vertical="center" wrapText="1"/>
    </x:xf>
    <x:xf numFmtId="211" fontId="9" fillId="0" borderId="17" xfId="0" applyNumberFormat="1" applyFont="1" applyFill="1" applyBorder="1" applyAlignment="1">
      <x:alignment vertical="center" wrapText="1"/>
    </x:xf>
    <x:xf numFmtId="0" fontId="4" fillId="9" borderId="0" xfId="0" applyNumberFormat="1" applyFont="1" applyFill="1" applyBorder="1"/>
    <x:xf numFmtId="0" fontId="4" fillId="9" borderId="1" xfId="0" applyNumberFormat="1" applyFont="1" applyFill="1" applyBorder="1"/>
    <x:xf numFmtId="0" fontId="4" fillId="16" borderId="1" xfId="0" applyNumberFormat="1" applyFont="1" applyFill="1" applyBorder="1" applyAlignment="1">
      <x:alignment wrapText="1"/>
    </x:xf>
    <x:xf numFmtId="0" fontId="0" fillId="17" borderId="0" xfId="0" applyNumberFormat="1" applyFont="1" applyFill="1" applyBorder="1"/>
    <x:xf numFmtId="0" fontId="0" fillId="18" borderId="0" xfId="0" applyNumberFormat="1" applyFont="1" applyFill="1" applyBorder="1"/>
    <x:xf numFmtId="0" fontId="1" fillId="18" borderId="0" xfId="0" applyNumberFormat="1" applyFont="1" applyFill="1" applyBorder="1"/>
    <x:xf numFmtId="0" fontId="1" fillId="18" borderId="0" xfId="0" applyNumberFormat="1" applyFont="1" applyFill="1" applyBorder="1" applyAlignment="1">
      <x:alignment horizontal="left"/>
    </x:xf>
    <x:xf numFmtId="0" fontId="1" fillId="18" borderId="0" xfId="0" applyNumberFormat="1" applyFont="1" applyFill="1" applyBorder="1" applyAlignment="1">
      <x:alignment horizontal="left" vertical="center"/>
    </x:xf>
    <x:xf numFmtId="0" fontId="0" fillId="19" borderId="0" xfId="0" applyNumberFormat="1" applyFont="1" applyFill="1" applyBorder="1"/>
    <x:xf numFmtId="0" fontId="2" fillId="19" borderId="0" xfId="0" applyNumberFormat="1" applyFont="1" applyFill="1" applyBorder="1"/>
    <x:xf numFmtId="0" fontId="2" fillId="19" borderId="0" xfId="0" applyNumberFormat="1" applyFont="1" applyFill="1" applyBorder="1" applyAlignment="1">
      <x:alignment wrapText="1"/>
    </x:xf>
    <x:xf numFmtId="0" fontId="2" fillId="19" borderId="0" xfId="0" applyNumberFormat="1" applyFont="1" applyFill="1" applyBorder="1" applyAlignment="1">
      <x:alignment vertical="center" wrapText="1"/>
    </x:xf>
    <x:xf numFmtId="0" fontId="4" fillId="17" borderId="0" xfId="0" applyNumberFormat="1" applyFont="1" applyFill="1" applyBorder="1"/>
    <x:xf numFmtId="0" fontId="4" fillId="17" borderId="1" xfId="0" applyNumberFormat="1" applyFont="1" applyFill="1" applyBorder="1"/>
    <x:xf numFmtId="203" fontId="4" fillId="17" borderId="1" xfId="0" applyNumberFormat="1" applyFont="1" applyFill="1" applyBorder="1"/>
    <x:xf numFmtId="212" fontId="4" fillId="17" borderId="1" xfId="0" applyNumberFormat="1" applyFont="1" applyFill="1" applyBorder="1"/>
    <x:xf numFmtId="0" fontId="0" fillId="20" borderId="0" xfId="0" applyNumberFormat="1" applyFont="1" applyFill="1" applyBorder="1"/>
    <x:xf numFmtId="0" fontId="8" fillId="20" borderId="0" xfId="0" applyNumberFormat="1" applyFont="1" applyFill="1" applyBorder="1"/>
    <x:xf numFmtId="0" fontId="8" fillId="20" borderId="1" xfId="0" applyNumberFormat="1" applyFont="1" applyFill="1" applyBorder="1"/>
    <x:xf numFmtId="0" fontId="8" fillId="20" borderId="1" xfId="0" applyNumberFormat="1" applyFont="1" applyFill="1" applyBorder="1" applyAlignment="1">
      <x:alignment wrapText="1"/>
    </x:xf>
    <x:xf numFmtId="0" fontId="8" fillId="20" borderId="1" xfId="0" applyNumberFormat="1" applyFont="1" applyFill="1" applyBorder="1" applyAlignment="1">
      <x:alignment horizontal="center" wrapText="1"/>
    </x:xf>
    <x:xf numFmtId="0" fontId="8" fillId="20" borderId="1" xfId="0" applyNumberFormat="1" applyFont="1" applyFill="1" applyBorder="1" applyAlignment="1">
      <x:alignment horizontal="center" vertical="center" wrapText="1"/>
    </x:xf>
    <x:xf numFmtId="213" fontId="8" fillId="20" borderId="1" xfId="0" applyNumberFormat="1" applyFont="1" applyFill="1" applyBorder="1" applyAlignment="1">
      <x:alignment horizontal="center" vertical="center" wrapText="1"/>
    </x:xf>
    <x:xf numFmtId="213" fontId="8" fillId="20" borderId="1" xfId="0" applyNumberFormat="1" applyFont="1" applyFill="1" applyBorder="1" applyAlignment="1">
      <x:alignment horizontal="right" vertical="center" wrapText="1"/>
    </x:xf>
    <x:xf numFmtId="212" fontId="9" fillId="0" borderId="12" xfId="0" applyNumberFormat="1" applyFont="1" applyFill="1" applyBorder="1" applyAlignment="1">
      <x:alignment vertical="center" wrapText="1"/>
    </x:xf>
    <x:xf numFmtId="212" fontId="9" fillId="0" borderId="15" xfId="0" applyNumberFormat="1" applyFont="1" applyFill="1" applyBorder="1" applyAlignment="1">
      <x:alignment vertical="center" wrapText="1"/>
    </x:xf>
    <x:xf numFmtId="212" fontId="9" fillId="0" borderId="18" xfId="0" applyNumberFormat="1" applyFont="1" applyFill="1" applyBorder="1" applyAlignment="1">
      <x:alignment vertical="center" wrapText="1"/>
    </x:xf>
    <x:xf numFmtId="0" fontId="0" fillId="21" borderId="0" xfId="0" applyNumberFormat="1" applyFont="1" applyFill="1" applyBorder="1"/>
    <x:xf numFmtId="0" fontId="3" fillId="21" borderId="0" xfId="0" applyNumberFormat="1" applyFont="1" applyFill="1" applyBorder="1"/>
    <x:xf numFmtId="0" fontId="3" fillId="21" borderId="0" xfId="0" applyNumberFormat="1" applyFont="1" applyFill="1" applyBorder="1" applyAlignment="1">
      <x:alignment vertical="center"/>
    </x:xf>
    <x:xf numFmtId="207" fontId="12" fillId="0" borderId="11" xfId="0" applyNumberFormat="1" applyFont="1" applyFill="1" applyBorder="1" applyAlignment="1">
      <x:alignment vertical="center" wrapText="1"/>
    </x:xf>
    <x:xf numFmtId="207" fontId="12" fillId="0" borderId="14" xfId="0" applyNumberFormat="1" applyFont="1" applyFill="1" applyBorder="1" applyAlignment="1">
      <x:alignment vertical="center" wrapText="1"/>
    </x:xf>
    <x:xf numFmtId="0" fontId="9" fillId="16" borderId="13" xfId="0" applyNumberFormat="1" applyFont="1" applyFill="1" applyBorder="1" applyAlignment="1">
      <x:alignment vertical="center" wrapText="1"/>
    </x:xf>
    <x:xf numFmtId="0" fontId="9" fillId="16" borderId="14" xfId="0" applyNumberFormat="1" applyFont="1" applyFill="1" applyBorder="1" applyAlignment="1">
      <x:alignment vertical="center" wrapText="1"/>
    </x:xf>
    <x:xf numFmtId="207" fontId="9" fillId="16" borderId="14" xfId="0" applyNumberFormat="1" applyFont="1" applyFill="1" applyBorder="1" applyAlignment="1">
      <x:alignment vertical="center" wrapText="1"/>
    </x:xf>
    <x:xf numFmtId="0" fontId="9" fillId="16" borderId="15" xfId="0" applyNumberFormat="1" applyFont="1" applyFill="1" applyBorder="1" applyAlignment="1">
      <x:alignment vertical="center" wrapText="1"/>
    </x:xf>
    <x:xf numFmtId="201" fontId="9" fillId="16" borderId="14" xfId="0" applyNumberFormat="1" applyFont="1" applyFill="1" applyBorder="1" applyAlignment="1">
      <x:alignment vertical="center" wrapText="1"/>
    </x:xf>
    <x:xf numFmtId="0" fontId="8" fillId="16" borderId="13" xfId="0" applyNumberFormat="1" applyFont="1" applyFill="1" applyBorder="1" applyAlignment="1">
      <x:alignment vertical="center" wrapText="1"/>
    </x:xf>
    <x:xf numFmtId="0" fontId="8" fillId="16" borderId="14" xfId="0" applyNumberFormat="1" applyFont="1" applyFill="1" applyBorder="1" applyAlignment="1">
      <x:alignment vertical="center" wrapText="1"/>
    </x:xf>
    <x:xf numFmtId="207" fontId="8" fillId="16" borderId="14" xfId="0" applyNumberFormat="1" applyFont="1" applyFill="1" applyBorder="1" applyAlignment="1">
      <x:alignment vertical="center" wrapText="1"/>
    </x:xf>
    <x:xf numFmtId="0" fontId="8" fillId="16" borderId="15" xfId="0" applyNumberFormat="1" applyFont="1" applyFill="1" applyBorder="1" applyAlignment="1">
      <x:alignment vertical="center" wrapText="1"/>
    </x:xf>
    <x:xf numFmtId="201" fontId="8" fillId="16" borderId="14" xfId="0" applyNumberFormat="1" applyFont="1" applyFill="1" applyBorder="1" applyAlignment="1">
      <x:alignment vertical="center" wrapText="1"/>
    </x:xf>
    <x:xf numFmtId="0" fontId="8" fillId="16" borderId="19" xfId="0" applyNumberFormat="1" applyFont="1" applyFill="1" applyBorder="1" applyAlignment="1">
      <x:alignment vertical="center" wrapText="1"/>
    </x:xf>
    <x:xf numFmtId="0" fontId="8" fillId="16" borderId="20" xfId="0" applyNumberFormat="1" applyFont="1" applyFill="1" applyBorder="1" applyAlignment="1">
      <x:alignment vertical="center" wrapText="1"/>
    </x:xf>
    <x:xf numFmtId="207" fontId="8" fillId="16" borderId="20" xfId="0" applyNumberFormat="1" applyFont="1" applyFill="1" applyBorder="1" applyAlignment="1">
      <x:alignment vertical="center" wrapText="1"/>
    </x:xf>
    <x:xf numFmtId="0" fontId="8" fillId="16" borderId="21" xfId="0" applyNumberFormat="1" applyFont="1" applyFill="1" applyBorder="1" applyAlignment="1">
      <x:alignment vertical="center" wrapText="1"/>
    </x:xf>
    <x:xf numFmtId="0" fontId="8" fillId="16" borderId="22" xfId="0" applyNumberFormat="1" applyFont="1" applyFill="1" applyBorder="1" applyAlignment="1">
      <x:alignment vertical="center" wrapText="1"/>
    </x:xf>
    <x:xf numFmtId="201" fontId="8" fillId="16" borderId="22" xfId="0" applyNumberFormat="1" applyFont="1" applyFill="1" applyBorder="1" applyAlignment="1">
      <x:alignment vertical="center" wrapText="1"/>
    </x:xf>
    <x:xf numFmtId="0" fontId="9" fillId="16" borderId="16" xfId="0" applyNumberFormat="1" applyFont="1" applyFill="1" applyBorder="1" applyAlignment="1">
      <x:alignment vertical="center" wrapText="1"/>
    </x:xf>
    <x:xf numFmtId="0" fontId="9" fillId="16" borderId="17" xfId="0" applyNumberFormat="1" applyFont="1" applyFill="1" applyBorder="1" applyAlignment="1">
      <x:alignment vertical="center" wrapText="1"/>
    </x:xf>
    <x:xf numFmtId="201" fontId="9" fillId="16" borderId="17" xfId="0" applyNumberFormat="1" applyFont="1" applyFill="1" applyBorder="1" applyAlignment="1">
      <x:alignment vertical="center" wrapText="1"/>
    </x:xf>
    <x:xf numFmtId="0" fontId="9" fillId="16" borderId="18" xfId="0" applyNumberFormat="1" applyFont="1" applyFill="1" applyBorder="1" applyAlignment="1">
      <x:alignment vertical="center" wrapText="1"/>
    </x:xf>
    <x:xf numFmtId="0" fontId="8" fillId="16" borderId="16" xfId="0" applyNumberFormat="1" applyFont="1" applyFill="1" applyBorder="1" applyAlignment="1">
      <x:alignment vertical="center" wrapText="1"/>
    </x:xf>
    <x:xf numFmtId="0" fontId="8" fillId="16" borderId="17" xfId="0" applyNumberFormat="1" applyFont="1" applyFill="1" applyBorder="1" applyAlignment="1">
      <x:alignment vertical="center" wrapText="1"/>
    </x:xf>
    <x:xf numFmtId="201" fontId="8" fillId="16" borderId="17" xfId="0" applyNumberFormat="1" applyFont="1" applyFill="1" applyBorder="1" applyAlignment="1">
      <x:alignment vertical="center" wrapText="1"/>
    </x:xf>
    <x:xf numFmtId="0" fontId="8" fillId="16" borderId="18" xfId="0" applyNumberFormat="1" applyFont="1" applyFill="1" applyBorder="1" applyAlignment="1">
      <x:alignment vertical="center" wrapText="1"/>
    </x:xf>
    <x:xf numFmtId="207" fontId="12" fillId="16" borderId="14" xfId="0" applyNumberFormat="1" applyFont="1" applyFill="1" applyBorder="1" applyAlignment="1">
      <x:alignment vertical="center" wrapText="1"/>
    </x:xf>
    <x:xf numFmtId="207" fontId="9" fillId="16" borderId="17" xfId="0" applyNumberFormat="1" applyFont="1" applyFill="1" applyBorder="1" applyAlignment="1">
      <x:alignment vertical="center" wrapText="1"/>
    </x:xf>
    <x:xf numFmtId="207" fontId="8" fillId="16" borderId="17" xfId="0" applyNumberFormat="1" applyFont="1" applyFill="1" applyBorder="1" applyAlignment="1">
      <x:alignment vertical="center" wrapText="1"/>
    </x:xf>
    <x:xf numFmtId="207" fontId="8" fillId="16" borderId="22" xfId="0" applyNumberFormat="1" applyFont="1" applyFill="1" applyBorder="1" applyAlignment="1">
      <x:alignment vertical="center" wrapText="1"/>
    </x:xf>
    <x:xf numFmtId="205" fontId="12" fillId="0" borderId="11" xfId="0" applyNumberFormat="1" applyFont="1" applyFill="1" applyBorder="1" applyAlignment="1">
      <x:alignment vertical="center" wrapText="1"/>
    </x:xf>
    <x:xf numFmtId="0" fontId="9" fillId="16" borderId="10" xfId="0" applyNumberFormat="1" applyFont="1" applyFill="1" applyBorder="1" applyAlignment="1">
      <x:alignment vertical="center" wrapText="1"/>
    </x:xf>
    <x:xf numFmtId="0" fontId="9" fillId="16" borderId="11" xfId="0" applyNumberFormat="1" applyFont="1" applyFill="1" applyBorder="1" applyAlignment="1">
      <x:alignment vertical="center" wrapText="1"/>
    </x:xf>
    <x:xf numFmtId="207" fontId="9" fillId="16" borderId="11" xfId="0" applyNumberFormat="1" applyFont="1" applyFill="1" applyBorder="1" applyAlignment="1">
      <x:alignment vertical="center" wrapText="1"/>
    </x:xf>
    <x:xf numFmtId="0" fontId="9" fillId="16" borderId="12" xfId="0" applyNumberFormat="1" applyFont="1" applyFill="1" applyBorder="1" applyAlignment="1">
      <x:alignment vertical="center" wrapText="1"/>
    </x:xf>
    <x:xf numFmtId="0" fontId="8" fillId="16" borderId="10" xfId="0" applyNumberFormat="1" applyFont="1" applyFill="1" applyBorder="1" applyAlignment="1">
      <x:alignment vertical="center" wrapText="1"/>
    </x:xf>
    <x:xf numFmtId="0" fontId="8" fillId="16" borderId="11" xfId="0" applyNumberFormat="1" applyFont="1" applyFill="1" applyBorder="1" applyAlignment="1">
      <x:alignment vertical="center" wrapText="1"/>
    </x:xf>
    <x:xf numFmtId="207" fontId="8" fillId="16" borderId="11" xfId="0" applyNumberFormat="1" applyFont="1" applyFill="1" applyBorder="1" applyAlignment="1">
      <x:alignment vertical="center" wrapText="1"/>
    </x:xf>
    <x:xf numFmtId="0" fontId="8" fillId="16" borderId="12" xfId="0" applyNumberFormat="1" applyFont="1" applyFill="1" applyBorder="1" applyAlignment="1">
      <x:alignment vertical="center" wrapText="1"/>
    </x:xf>
    <x:xf numFmtId="0" fontId="8" fillId="16" borderId="23" xfId="0" applyNumberFormat="1" applyFont="1" applyFill="1" applyBorder="1" applyAlignment="1">
      <x:alignment vertical="center" wrapText="1"/>
    </x:xf>
    <x:xf numFmtId="0" fontId="8" fillId="16" borderId="24" xfId="0" applyNumberFormat="1" applyFont="1" applyFill="1" applyBorder="1" applyAlignment="1">
      <x:alignment vertical="center" wrapText="1"/>
    </x:xf>
    <x:xf numFmtId="0" fontId="0" fillId="22" borderId="0" xfId="0" applyNumberFormat="1" applyFont="1" applyFill="1" applyBorder="1"/>
    <x:xf numFmtId="0" fontId="7" fillId="22" borderId="0" xfId="0" applyNumberFormat="1" applyFont="1" applyFill="1" applyBorder="1"/>
    <x:xf numFmtId="0" fontId="7" fillId="22" borderId="2" xfId="0" applyNumberFormat="1" applyFont="1" applyFill="1" applyBorder="1"/>
    <x:xf numFmtId="0" fontId="7" fillId="22" borderId="3" xfId="0" applyNumberFormat="1" applyFont="1" applyFill="1" applyBorder="1"/>
    <x:xf numFmtId="0" fontId="7" fillId="22" borderId="4" xfId="0" applyNumberFormat="1" applyFont="1" applyFill="1" applyBorder="1"/>
    <x:xf numFmtId="0" fontId="7" fillId="22" borderId="7" xfId="0" applyNumberFormat="1" applyFont="1" applyFill="1" applyBorder="1"/>
    <x:xf numFmtId="0" fontId="7" fillId="22" borderId="8" xfId="0" applyNumberFormat="1" applyFont="1" applyFill="1" applyBorder="1"/>
    <x:xf numFmtId="0" fontId="7" fillId="22" borderId="9" xfId="0" applyNumberFormat="1" applyFont="1" applyFill="1" applyBorder="1"/>
    <x:xf numFmtId="0" fontId="7" fillId="22" borderId="2" xfId="0" applyNumberFormat="1" applyFont="1" applyFill="1" applyBorder="1" applyAlignment="1">
      <x:alignment wrapText="1"/>
    </x:xf>
    <x:xf numFmtId="0" fontId="7" fillId="22" borderId="3" xfId="0" applyNumberFormat="1" applyFont="1" applyFill="1" applyBorder="1" applyAlignment="1">
      <x:alignment wrapText="1"/>
    </x:xf>
    <x:xf numFmtId="0" fontId="7" fillId="22" borderId="4" xfId="0" applyNumberFormat="1" applyFont="1" applyFill="1" applyBorder="1" applyAlignment="1">
      <x:alignment wrapText="1"/>
    </x:xf>
    <x:xf numFmtId="0" fontId="7" fillId="22" borderId="7" xfId="0" applyNumberFormat="1" applyFont="1" applyFill="1" applyBorder="1" applyAlignment="1">
      <x:alignment wrapText="1"/>
    </x:xf>
    <x:xf numFmtId="0" fontId="7" fillId="22" borderId="8" xfId="0" applyNumberFormat="1" applyFont="1" applyFill="1" applyBorder="1" applyAlignment="1">
      <x:alignment wrapText="1"/>
    </x:xf>
    <x:xf numFmtId="0" fontId="7" fillId="22" borderId="9" xfId="0" applyNumberFormat="1" applyFont="1" applyFill="1" applyBorder="1" applyAlignment="1">
      <x:alignment wrapText="1"/>
    </x:xf>
    <x:xf numFmtId="0" fontId="7" fillId="22" borderId="2" xfId="0" applyNumberFormat="1" applyFont="1" applyFill="1" applyBorder="1" applyAlignment="1">
      <x:alignment vertical="top" wrapText="1"/>
    </x:xf>
    <x:xf numFmtId="0" fontId="7" fillId="22" borderId="3" xfId="0" applyNumberFormat="1" applyFont="1" applyFill="1" applyBorder="1" applyAlignment="1">
      <x:alignment vertical="top" wrapText="1"/>
    </x:xf>
    <x:xf numFmtId="0" fontId="7" fillId="22" borderId="4" xfId="0" applyNumberFormat="1" applyFont="1" applyFill="1" applyBorder="1" applyAlignment="1">
      <x:alignment vertical="top" wrapText="1"/>
    </x:xf>
    <x:xf numFmtId="0" fontId="7" fillId="22" borderId="7" xfId="0" applyNumberFormat="1" applyFont="1" applyFill="1" applyBorder="1" applyAlignment="1">
      <x:alignment vertical="top" wrapText="1"/>
    </x:xf>
    <x:xf numFmtId="0" fontId="7" fillId="22" borderId="8" xfId="0" applyNumberFormat="1" applyFont="1" applyFill="1" applyBorder="1" applyAlignment="1">
      <x:alignment vertical="top" wrapText="1"/>
    </x:xf>
    <x:xf numFmtId="0" fontId="7" fillId="22" borderId="9" xfId="0" applyNumberFormat="1" applyFont="1" applyFill="1" applyBorder="1" applyAlignment="1">
      <x:alignment vertical="top" wrapText="1"/>
    </x:xf>
    <x:xf numFmtId="205" fontId="12" fillId="0" borderId="14" xfId="0" applyNumberFormat="1" applyFont="1" applyFill="1" applyBorder="1" applyAlignment="1">
      <x:alignment vertical="center" wrapText="1"/>
    </x:xf>
    <x:xf numFmtId="205" fontId="12" fillId="0" borderId="17" xfId="0" applyNumberFormat="1" applyFont="1" applyFill="1" applyBorder="1" applyAlignment="1">
      <x:alignment vertical="center" wrapText="1"/>
    </x:xf>
    <x:xf numFmtId="207" fontId="12" fillId="16" borderId="11" xfId="0" applyNumberFormat="1" applyFont="1" applyFill="1" applyBorder="1" applyAlignment="1">
      <x:alignment vertical="center" wrapText="1"/>
    </x:xf>
    <x:xf numFmtId="0" fontId="7" fillId="22" borderId="5" xfId="0" applyNumberFormat="1" applyFont="1" applyFill="1" applyBorder="1"/>
    <x:xf numFmtId="0" fontId="7" fillId="22" xfId="0" applyNumberFormat="1" applyFont="1" applyFill="1" applyBorder="0"/>
    <x:xf numFmtId="0" fontId="7" fillId="22" borderId="6" xfId="0" applyNumberFormat="1" applyFont="1" applyFill="1" applyBorder="1"/>
    <x:xf numFmtId="0" fontId="7" fillId="22" borderId="5" xfId="0" applyNumberFormat="1" applyFont="1" applyFill="1" applyBorder="1" applyAlignment="1">
      <x:alignment wrapText="1"/>
    </x:xf>
    <x:xf numFmtId="0" fontId="7" fillId="22" xfId="0" applyNumberFormat="1" applyFont="1" applyFill="1" applyBorder="0" applyAlignment="1">
      <x:alignment wrapText="1"/>
    </x:xf>
    <x:xf numFmtId="0" fontId="7" fillId="22" borderId="6" xfId="0" applyNumberFormat="1" applyFont="1" applyFill="1" applyBorder="1" applyAlignment="1">
      <x:alignment wrapText="1"/>
    </x:xf>
    <x:xf numFmtId="0" fontId="7" fillId="22" borderId="5" xfId="0" applyNumberFormat="1" applyFont="1" applyFill="1" applyBorder="1" applyAlignment="1">
      <x:alignment vertical="top" wrapText="1"/>
    </x:xf>
    <x:xf numFmtId="0" fontId="7" fillId="22" xfId="0" applyNumberFormat="1" applyFont="1" applyFill="1" applyBorder="0" applyAlignment="1">
      <x:alignment vertical="top" wrapText="1"/>
    </x:xf>
    <x:xf numFmtId="0" fontId="7" fillId="22" borderId="6" xfId="0" applyNumberFormat="1" applyFont="1" applyFill="1" applyBorder="1" applyAlignment="1">
      <x:alignment vertical="top" wrapText="1"/>
    </x:xf>
    <x:xf numFmtId="207" fontId="12" fillId="0" borderId="17" xfId="0" applyNumberFormat="1" applyFont="1" applyFill="1" applyBorder="1" applyAlignment="1">
      <x:alignment vertical="center" wrapText="1"/>
    </x:xf>
    <x:xf numFmtId="201" fontId="9" fillId="0" borderId="12" xfId="0" applyNumberFormat="1" applyFont="1" applyFill="1" applyBorder="1" applyAlignment="1">
      <x:alignment vertical="center" wrapText="1"/>
    </x:xf>
    <x:xf numFmtId="201" fontId="9" fillId="0" borderId="15" xfId="0" applyNumberFormat="1" applyFont="1" applyFill="1" applyBorder="1" applyAlignment="1">
      <x:alignment vertical="center" wrapText="1"/>
    </x:xf>
    <x:xf numFmtId="201" fontId="9" fillId="0" borderId="18" xfId="0" applyNumberFormat="1" applyFont="1" applyFill="1" applyBorder="1" applyAlignment="1">
      <x:alignment vertical="center" wrapText="1"/>
    </x:xf>
    <x:xf numFmtId="203" fontId="12" fillId="0" borderId="14" xfId="0" applyNumberFormat="1" applyFont="1" applyFill="1" applyBorder="1" applyAlignment="1">
      <x:alignment vertical="center" wrapText="1"/>
    </x:xf>
    <x:xf numFmtId="203" fontId="12" fillId="0" borderId="17" xfId="0" applyNumberFormat="1" applyFont="1" applyFill="1" applyBorder="1" applyAlignment="1">
      <x:alignment vertical="center" wrapText="1"/>
    </x:xf>
    <x:xf numFmtId="204" fontId="12" fillId="0" borderId="14" xfId="0" applyNumberFormat="1" applyFont="1" applyFill="1" applyBorder="1" applyAlignment="1">
      <x:alignment vertical="center" wrapText="1"/>
    </x:xf>
    <x:xf numFmtId="204" fontId="12" fillId="0" borderId="17" xfId="0" applyNumberFormat="1" applyFont="1" applyFill="1" applyBorder="1" applyAlignment="1">
      <x:alignment vertical="center" wrapText="1"/>
    </x:xf>
    <x:xf numFmtId="214" fontId="12" fillId="0" borderId="14" xfId="0" applyNumberFormat="1" applyFont="1" applyFill="1" applyBorder="1" applyAlignment="1">
      <x:alignment vertical="center" wrapText="1"/>
    </x:xf>
    <x:xf numFmtId="214" fontId="12" fillId="0" borderId="17" xfId="0" applyNumberFormat="1" applyFont="1" applyFill="1" applyBorder="1" applyAlignment="1">
      <x:alignment vertical="center" wrapText="1"/>
    </x:xf>
    <x:xf numFmtId="203" fontId="12" fillId="0" borderId="11" xfId="0" applyNumberFormat="1" applyFont="1" applyFill="1" applyBorder="1" applyAlignment="1">
      <x:alignment vertical="center" wrapText="1"/>
    </x:xf>
    <x:xf numFmtId="0" fontId="17" fillId="0" borderId="11" xfId="0" applyNumberFormat="1" applyFont="1" applyFill="1" applyBorder="1" applyAlignment="1">
      <x:alignment vertical="center" wrapText="1"/>
    </x:xf>
    <x:xf numFmtId="0" fontId="17" fillId="0" borderId="14" xfId="0" applyNumberFormat="1" applyFont="1" applyFill="1" applyBorder="1" applyAlignment="1">
      <x:alignment vertical="center" wrapText="1"/>
    </x:xf>
    <x:xf numFmtId="0" fontId="17" fillId="0" borderId="17" xfId="0" applyNumberFormat="1" applyFont="1" applyFill="1" applyBorder="1" applyAlignment="1">
      <x:alignment vertical="center" wrapText="1"/>
    </x:xf>
    <x:xf numFmtId="0" fontId="0" fillId="16" borderId="0" xfId="0" applyNumberFormat="1" applyFont="1" applyFill="1" applyBorder="1"/>
    <x:xf numFmtId="0" fontId="4" fillId="16" borderId="0" xfId="0" applyNumberFormat="1" applyFont="1" applyFill="1" applyBorder="1"/>
    <x:xf numFmtId="0" fontId="4" fillId="16" borderId="1" xfId="0" applyNumberFormat="1" applyFont="1" applyFill="1" applyBorder="1"/>
    <x:xf numFmtId="0" fontId="9" fillId="17" borderId="10" xfId="0" applyNumberFormat="1" applyFont="1" applyFill="1" applyBorder="1" applyAlignment="1">
      <x:alignment vertical="center" wrapText="1"/>
    </x:xf>
    <x:xf numFmtId="0" fontId="9" fillId="17" borderId="13" xfId="0" applyNumberFormat="1" applyFont="1" applyFill="1" applyBorder="1" applyAlignment="1">
      <x:alignment vertical="center" wrapText="1"/>
    </x:xf>
    <x:xf numFmtId="0" fontId="9" fillId="17" borderId="16" xfId="0" applyNumberFormat="1" applyFont="1" applyFill="1" applyBorder="1" applyAlignment="1">
      <x:alignment vertical="center" wrapText="1"/>
    </x:xf>
    <x:xf numFmtId="0" fontId="12" fillId="16" borderId="15" xfId="0" applyNumberFormat="1" applyFont="1" applyFill="1" applyBorder="1" applyAlignment="1">
      <x:alignment vertical="center" wrapText="1"/>
    </x:xf>
    <x:xf numFmtId="0" fontId="12" fillId="16" borderId="18" xfId="0" applyNumberFormat="1" applyFont="1" applyFill="1" applyBorder="1" applyAlignment="1">
      <x:alignment vertical="center" wrapText="1"/>
    </x:xf>
    <x:xf numFmtId="207" fontId="12" fillId="16" borderId="15" xfId="0" applyNumberFormat="1" applyFont="1" applyFill="1" applyBorder="1" applyAlignment="1">
      <x:alignment vertical="center" wrapText="1"/>
    </x:xf>
    <x:xf numFmtId="207" fontId="12" fillId="16" borderId="18" xfId="0" applyNumberFormat="1" applyFont="1" applyFill="1" applyBorder="1" applyAlignment="1">
      <x:alignment vertical="center" wrapText="1"/>
    </x:xf>
    <x:xf numFmtId="205" fontId="12" fillId="16" borderId="15" xfId="0" applyNumberFormat="1" applyFont="1" applyFill="1" applyBorder="1" applyAlignment="1">
      <x:alignment vertical="center" wrapText="1"/>
    </x:xf>
    <x:xf numFmtId="201" fontId="12" fillId="16" borderId="15" xfId="0" applyNumberFormat="1" applyFont="1" applyFill="1" applyBorder="1" applyAlignment="1">
      <x:alignment vertical="center" wrapText="1"/>
    </x:xf>
    <x:xf numFmtId="0" fontId="9" fillId="0" borderId="25" xfId="0" applyNumberFormat="1" applyFont="1" applyFill="1" applyBorder="1"/>
    <x:xf numFmtId="0" fontId="9" fillId="0" borderId="26" xfId="0" applyNumberFormat="1" applyFont="1" applyFill="1" applyBorder="1"/>
    <x:xf numFmtId="0" fontId="9" fillId="0" borderId="27" xfId="0" applyNumberFormat="1" applyFont="1" applyFill="1" applyBorder="1"/>
    <x:xf numFmtId="0" fontId="9" fillId="0" borderId="25" xfId="0" applyNumberFormat="1" applyFont="1" applyFill="1" applyBorder="1" applyAlignment="1">
      <x:alignment wrapText="1"/>
    </x:xf>
    <x:xf numFmtId="0" fontId="9" fillId="0" borderId="26" xfId="0" applyNumberFormat="1" applyFont="1" applyFill="1" applyBorder="1" applyAlignment="1">
      <x:alignment wrapText="1"/>
    </x:xf>
    <x:xf numFmtId="0" fontId="9" fillId="0" borderId="27" xfId="0" applyNumberFormat="1" applyFont="1" applyFill="1" applyBorder="1" applyAlignment="1">
      <x:alignment wrapText="1"/>
    </x:xf>
    <x:xf numFmtId="0" fontId="9" fillId="0" borderId="25" xfId="0" applyNumberFormat="1" applyFont="1" applyFill="1" applyBorder="1" applyAlignment="1">
      <x:alignment vertical="center" wrapText="1"/>
    </x:xf>
    <x:xf numFmtId="0" fontId="9" fillId="0" borderId="26" xfId="0" applyNumberFormat="1" applyFont="1" applyFill="1" applyBorder="1" applyAlignment="1">
      <x:alignment vertical="center" wrapText="1"/>
    </x:xf>
    <x:xf numFmtId="0" fontId="9" fillId="0" borderId="27" xfId="0" applyNumberFormat="1" applyFont="1" applyFill="1" applyBorder="1" applyAlignment="1">
      <x:alignment vertical="center" wrapText="1"/>
    </x:xf>
    <x:xf numFmtId="0" fontId="12" fillId="0" borderId="26" xfId="0" applyNumberFormat="1" applyFont="1" applyFill="1" applyBorder="1" applyAlignment="1">
      <x:alignment vertical="center" wrapText="1"/>
    </x:xf>
    <x:xf numFmtId="0" fontId="9" fillId="22" borderId="26" xfId="0" applyNumberFormat="1" applyFont="1" applyFill="1" applyBorder="1" applyAlignment="1">
      <x:alignment vertical="center" wrapText="1"/>
    </x:xf>
    <x:xf numFmtId="0" fontId="12" fillId="0" borderId="12" xfId="0" applyNumberFormat="1" applyFont="1" applyFill="1" applyBorder="1" applyAlignment="1">
      <x:alignment vertical="center" wrapText="1"/>
    </x:xf>
    <x:xf numFmtId="0" fontId="12" fillId="0" borderId="15" xfId="0" applyNumberFormat="1" applyFont="1" applyFill="1" applyBorder="1" applyAlignment="1">
      <x:alignment vertical="center" wrapText="1"/>
    </x:xf>
    <x:xf numFmtId="0" fontId="12" fillId="0" borderId="18" xfId="0" applyNumberFormat="1" applyFont="1" applyFill="1" applyBorder="1" applyAlignment="1">
      <x:alignment vertical="center" wrapText="1"/>
    </x:xf>
    <x:xf numFmtId="207" fontId="12" fillId="0" borderId="12" xfId="0" applyNumberFormat="1" applyFont="1" applyFill="1" applyBorder="1" applyAlignment="1">
      <x:alignment vertical="center" wrapText="1"/>
    </x:xf>
    <x:xf numFmtId="207" fontId="12" fillId="0" borderId="15" xfId="0" applyNumberFormat="1" applyFont="1" applyFill="1" applyBorder="1" applyAlignment="1">
      <x:alignment vertical="center" wrapText="1"/>
    </x:xf>
    <x:xf numFmtId="207" fontId="12" fillId="0" borderId="18" xfId="0" applyNumberFormat="1" applyFont="1" applyFill="1" applyBorder="1" applyAlignment="1">
      <x:alignment vertical="center" wrapText="1"/>
    </x:xf>
    <x:xf numFmtId="0" fontId="0" fillId="23" borderId="0" xfId="0" applyNumberFormat="1" applyFont="1" applyFill="1" applyBorder="1"/>
    <x:xf numFmtId="0" fontId="0" fillId="24" borderId="0" xfId="0" applyNumberFormat="1" applyFont="1" applyFill="1" applyBorder="1"/>
    <x:xf numFmtId="0" fontId="0" fillId="25" borderId="0" xfId="0" applyNumberFormat="1" applyFont="1" applyFill="1" applyBorder="1"/>
    <x:xf numFmtId="0" fontId="1" fillId="25" borderId="0" xfId="0" applyNumberFormat="1" applyFont="1" applyFill="1" applyBorder="1"/>
    <x:xf numFmtId="0" fontId="1" fillId="25" borderId="0" xfId="0" applyNumberFormat="1" applyFont="1" applyFill="1" applyBorder="1" applyAlignment="1">
      <x:alignment horizontal="left"/>
    </x:xf>
    <x:xf numFmtId="0" fontId="1" fillId="25" borderId="0" xfId="0" applyNumberFormat="1" applyFont="1" applyFill="1" applyBorder="1" applyAlignment="1">
      <x:alignment horizontal="left" vertical="center"/>
    </x:xf>
    <x:xf numFmtId="0" fontId="0" fillId="26" borderId="0" xfId="0" applyNumberFormat="1" applyFont="1" applyFill="1" applyBorder="1"/>
    <x:xf numFmtId="0" fontId="2" fillId="26" borderId="0" xfId="0" applyNumberFormat="1" applyFont="1" applyFill="1" applyBorder="1"/>
    <x:xf numFmtId="0" fontId="2" fillId="26" borderId="0" xfId="0" applyNumberFormat="1" applyFont="1" applyFill="1" applyBorder="1" applyAlignment="1">
      <x:alignment wrapText="1"/>
    </x:xf>
    <x:xf numFmtId="0" fontId="2" fillId="26" borderId="0" xfId="0" applyNumberFormat="1" applyFont="1" applyFill="1" applyBorder="1" applyAlignment="1">
      <x:alignment vertical="center" wrapText="1"/>
    </x:xf>
    <x:xf numFmtId="0" fontId="0" fillId="27" borderId="0" xfId="0" applyNumberFormat="1" applyFont="1" applyFill="1" applyBorder="1"/>
    <x:xf numFmtId="0" fontId="3" fillId="27" borderId="0" xfId="0" applyNumberFormat="1" applyFont="1" applyFill="1" applyBorder="1"/>
    <x:xf numFmtId="0" fontId="3" fillId="27" borderId="0" xfId="0" applyNumberFormat="1" applyFont="1" applyFill="1" applyBorder="1" applyAlignment="1">
      <x:alignment vertical="center"/>
    </x:xf>
    <x:xf numFmtId="0" fontId="0" fillId="28" borderId="0" xfId="0" applyNumberFormat="1" applyFont="1" applyFill="1" applyBorder="1"/>
    <x:xf numFmtId="0" fontId="8" fillId="28" borderId="0" xfId="0" applyNumberFormat="1" applyFont="1" applyFill="1" applyBorder="1"/>
    <x:xf numFmtId="0" fontId="8" fillId="28" borderId="1" xfId="0" applyNumberFormat="1" applyFont="1" applyFill="1" applyBorder="1"/>
    <x:xf numFmtId="0" fontId="8" fillId="28" borderId="1" xfId="0" applyNumberFormat="1" applyFont="1" applyFill="1" applyBorder="1" applyAlignment="1">
      <x:alignment wrapText="1"/>
    </x:xf>
    <x:xf numFmtId="0" fontId="8" fillId="28" borderId="1" xfId="0" applyNumberFormat="1" applyFont="1" applyFill="1" applyBorder="1" applyAlignment="1">
      <x:alignment horizontal="center" wrapText="1"/>
    </x:xf>
    <x:xf numFmtId="0" fontId="8" fillId="28" borderId="1" xfId="0" applyNumberFormat="1" applyFont="1" applyFill="1" applyBorder="1" applyAlignment="1">
      <x:alignment horizontal="center" vertical="center" wrapText="1"/>
    </x:xf>
    <x:xf numFmtId="215" fontId="9" fillId="0" borderId="10" xfId="0" applyNumberFormat="1" applyFont="1" applyFill="1" applyBorder="1" applyAlignment="1">
      <x:alignment vertical="center" wrapText="1"/>
    </x:xf>
    <x:xf numFmtId="215" fontId="9" fillId="0" borderId="13" xfId="0" applyNumberFormat="1" applyFont="1" applyFill="1" applyBorder="1" applyAlignment="1">
      <x:alignment vertical="center" wrapText="1"/>
    </x:xf>
    <x:xf numFmtId="215" fontId="9" fillId="0" borderId="16" xfId="0" applyNumberFormat="1" applyFont="1" applyFill="1" applyBorder="1" applyAlignment="1">
      <x:alignment vertical="center" wrapText="1"/>
    </x:xf>
    <x:xf numFmtId="216" fontId="9" fillId="0" borderId="11" xfId="0" applyNumberFormat="1" applyFont="1" applyFill="1" applyBorder="1" applyAlignment="1">
      <x:alignment vertical="center" wrapText="1"/>
    </x:xf>
    <x:xf numFmtId="216" fontId="9" fillId="0" borderId="14" xfId="0" applyNumberFormat="1" applyFont="1" applyFill="1" applyBorder="1" applyAlignment="1">
      <x:alignment vertical="center" wrapText="1"/>
    </x:xf>
    <x:xf numFmtId="216" fontId="9" fillId="0" borderId="17" xfId="0" applyNumberFormat="1" applyFont="1" applyFill="1" applyBorder="1" applyAlignment="1">
      <x:alignment vertical="center" wrapText="1"/>
    </x:xf>
    <x:xf numFmtId="0" fontId="10" fillId="0" borderId="12" xfId="0" applyNumberFormat="1" applyFont="1" applyFill="1" applyBorder="1" applyAlignment="1">
      <x:alignment vertical="center" wrapText="1"/>
    </x:xf>
    <x:xf numFmtId="0" fontId="10" fillId="0" borderId="15" xfId="0" applyNumberFormat="1" applyFont="1" applyFill="1" applyBorder="1" applyAlignment="1">
      <x:alignment vertical="center" wrapText="1"/>
    </x:xf>
    <x:xf numFmtId="0" fontId="10" fillId="0" borderId="18" xfId="0" applyNumberFormat="1" applyFont="1" applyFill="1" applyBorder="1" applyAlignment="1">
      <x:alignment vertical="center" wrapText="1"/>
    </x:xf>
    <x:xf numFmtId="217" fontId="9" fillId="0" borderId="14" xfId="0" applyNumberFormat="1" applyFont="1" applyFill="1" applyBorder="1" applyAlignment="1">
      <x:alignment vertical="center" wrapText="1"/>
    </x:xf>
    <x:xf numFmtId="217" fontId="12" fillId="0" borderId="17" xfId="0" applyNumberFormat="1" applyFont="1" applyFill="1" applyBorder="1" applyAlignment="1">
      <x:alignment vertical="center" wrapText="1"/>
    </x:xf>
    <x:xf numFmtId="218" fontId="8" fillId="28" borderId="1" xfId="0" applyNumberFormat="1" applyFont="1" applyFill="1" applyBorder="1" applyAlignment="1">
      <x:alignment horizontal="center" vertical="center" wrapText="1"/>
    </x:xf>
    <x:xf numFmtId="0" fontId="13" fillId="0" borderId="11" xfId="0" applyNumberFormat="1" applyFont="1" applyFill="1" applyBorder="1" applyAlignment="1">
      <x:alignment vertical="center" wrapText="1"/>
    </x:xf>
    <x:xf numFmtId="0" fontId="13" fillId="29" borderId="11" xfId="0" applyNumberFormat="1" applyFont="1" applyFill="1" applyBorder="1" applyAlignment="1">
      <x:alignment vertical="center" wrapText="1"/>
    </x:xf>
    <x:xf numFmtId="201" fontId="13" fillId="29" borderId="11"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29" borderId="14" xfId="0" applyNumberFormat="1" applyFont="1" applyFill="1" applyBorder="1" applyAlignment="1">
      <x:alignment vertical="center" wrapText="1"/>
    </x:xf>
    <x:xf numFmtId="201" fontId="13" fillId="29" borderId="14" xfId="0" applyNumberFormat="1" applyFont="1" applyFill="1" applyBorder="1" applyAlignment="1">
      <x:alignment vertical="center" wrapText="1"/>
    </x:xf>
    <x:xf numFmtId="207" fontId="13" fillId="29" borderId="14" xfId="0" applyNumberFormat="1" applyFont="1" applyFill="1" applyBorder="1" applyAlignment="1">
      <x:alignment vertical="center" wrapText="1"/>
    </x:xf>
    <x:xf numFmtId="0" fontId="13" fillId="0" borderId="17" xfId="0" applyNumberFormat="1" applyFont="1" applyFill="1" applyBorder="1" applyAlignment="1">
      <x:alignment vertical="center" wrapText="1"/>
    </x:xf>
    <x:xf numFmtId="0" fontId="13" fillId="29" borderId="17" xfId="0" applyNumberFormat="1" applyFont="1" applyFill="1" applyBorder="1" applyAlignment="1">
      <x:alignment vertical="center" wrapText="1"/>
    </x:xf>
    <x:xf numFmtId="201" fontId="13" fillId="29" borderId="17" xfId="0" applyNumberFormat="1" applyFont="1" applyFill="1" applyBorder="1" applyAlignment="1">
      <x:alignment vertical="center" wrapText="1"/>
    </x:xf>
    <x:xf numFmtId="0" fontId="0" fillId="30" borderId="0" xfId="0" applyNumberFormat="1" applyFont="1" applyFill="1" applyBorder="1"/>
    <x:xf numFmtId="0" fontId="3" fillId="30" borderId="0" xfId="0" applyNumberFormat="1" applyFont="1" applyFill="1" applyBorder="1"/>
    <x:xf numFmtId="0" fontId="3" fillId="30" borderId="0" xfId="0" applyNumberFormat="1" applyFont="1" applyFill="1" applyBorder="1" applyAlignment="1">
      <x:alignment vertical="center"/>
    </x:xf>
    <x:xf numFmtId="0" fontId="0" fillId="31" borderId="0" xfId="0" applyNumberFormat="1" applyFont="1" applyFill="1" applyBorder="1"/>
    <x:xf numFmtId="0" fontId="3" fillId="31" borderId="0" xfId="0" applyNumberFormat="1" applyFont="1" applyFill="1" applyBorder="1"/>
    <x:xf numFmtId="0" fontId="3" fillId="31" borderId="0" xfId="0" applyNumberFormat="1" applyFont="1" applyFill="1" applyBorder="1" applyAlignment="1">
      <x:alignment vertical="center"/>
    </x:xf>
    <x:xf numFmtId="214" fontId="13" fillId="29" borderId="14" xfId="0" applyNumberFormat="1" applyFont="1" applyFill="1" applyBorder="1" applyAlignment="1">
      <x:alignment vertical="center" wrapText="1"/>
    </x:xf>
    <x:xf numFmtId="0" fontId="9" fillId="23" borderId="13" xfId="0" applyNumberFormat="1" applyFont="1" applyFill="1" applyBorder="1" applyAlignment="1">
      <x:alignment vertical="center" wrapText="1"/>
    </x:xf>
    <x:xf numFmtId="0" fontId="9" fillId="23" borderId="14" xfId="0" applyNumberFormat="1" applyFont="1" applyFill="1" applyBorder="1" applyAlignment="1">
      <x:alignment vertical="center" wrapText="1"/>
    </x:xf>
    <x:xf numFmtId="201" fontId="9" fillId="23" borderId="14" xfId="0" applyNumberFormat="1" applyFont="1" applyFill="1" applyBorder="1" applyAlignment="1">
      <x:alignment vertical="center" wrapText="1"/>
    </x:xf>
    <x:xf numFmtId="0" fontId="9" fillId="23" borderId="15" xfId="0" applyNumberFormat="1" applyFont="1" applyFill="1" applyBorder="1" applyAlignment="1">
      <x:alignment vertical="center" wrapText="1"/>
    </x:xf>
    <x:xf numFmtId="0" fontId="8" fillId="23" borderId="13" xfId="0" applyNumberFormat="1" applyFont="1" applyFill="1" applyBorder="1" applyAlignment="1">
      <x:alignment vertical="center" wrapText="1"/>
    </x:xf>
    <x:xf numFmtId="0" fontId="8" fillId="23" borderId="14" xfId="0" applyNumberFormat="1" applyFont="1" applyFill="1" applyBorder="1" applyAlignment="1">
      <x:alignment vertical="center" wrapText="1"/>
    </x:xf>
    <x:xf numFmtId="201" fontId="8" fillId="23" borderId="14" xfId="0" applyNumberFormat="1" applyFont="1" applyFill="1" applyBorder="1" applyAlignment="1">
      <x:alignment vertical="center" wrapText="1"/>
    </x:xf>
    <x:xf numFmtId="0" fontId="8" fillId="23" borderId="15" xfId="0" applyNumberFormat="1" applyFont="1" applyFill="1" applyBorder="1" applyAlignment="1">
      <x:alignment vertical="center" wrapText="1"/>
    </x:xf>
    <x:xf numFmtId="0" fontId="8" fillId="23" borderId="28" xfId="0" applyNumberFormat="1" applyFont="1" applyFill="1" applyBorder="1" applyAlignment="1">
      <x:alignment vertical="center" wrapText="1"/>
    </x:xf>
    <x:xf numFmtId="0" fontId="8" fillId="23" borderId="29" xfId="0" applyNumberFormat="1" applyFont="1" applyFill="1" applyBorder="1" applyAlignment="1">
      <x:alignment vertical="center" wrapText="1"/>
    </x:xf>
    <x:xf numFmtId="201" fontId="8" fillId="23" borderId="29" xfId="0" applyNumberFormat="1" applyFont="1" applyFill="1" applyBorder="1" applyAlignment="1">
      <x:alignment vertical="center" wrapText="1"/>
    </x:xf>
    <x:xf numFmtId="0" fontId="0" fillId="29" borderId="0" xfId="0" applyNumberFormat="1" applyFont="1" applyFill="1" applyBorder="1"/>
    <x:xf numFmtId="0" fontId="7" fillId="29" borderId="0" xfId="0" applyNumberFormat="1" applyFont="1" applyFill="1" applyBorder="1"/>
    <x:xf numFmtId="0" fontId="7" fillId="29" borderId="2" xfId="0" applyNumberFormat="1" applyFont="1" applyFill="1" applyBorder="1"/>
    <x:xf numFmtId="0" fontId="7" fillId="29" borderId="3" xfId="0" applyNumberFormat="1" applyFont="1" applyFill="1" applyBorder="1"/>
    <x:xf numFmtId="0" fontId="7" fillId="29" borderId="4" xfId="0" applyNumberFormat="1" applyFont="1" applyFill="1" applyBorder="1"/>
    <x:xf numFmtId="0" fontId="7" fillId="29" borderId="5" xfId="0" applyNumberFormat="1" applyFont="1" applyFill="1" applyBorder="1"/>
    <x:xf numFmtId="0" fontId="7" fillId="29" xfId="0" applyNumberFormat="1" applyFont="1" applyFill="1" applyBorder="0"/>
    <x:xf numFmtId="0" fontId="7" fillId="29" borderId="6" xfId="0" applyNumberFormat="1" applyFont="1" applyFill="1" applyBorder="1"/>
    <x:xf numFmtId="0" fontId="7" fillId="29" borderId="7" xfId="0" applyNumberFormat="1" applyFont="1" applyFill="1" applyBorder="1"/>
    <x:xf numFmtId="0" fontId="7" fillId="29" borderId="8" xfId="0" applyNumberFormat="1" applyFont="1" applyFill="1" applyBorder="1"/>
    <x:xf numFmtId="0" fontId="7" fillId="29" borderId="9" xfId="0" applyNumberFormat="1" applyFont="1" applyFill="1" applyBorder="1"/>
    <x:xf numFmtId="0" fontId="7" fillId="29" borderId="2" xfId="0" applyNumberFormat="1" applyFont="1" applyFill="1" applyBorder="1" applyAlignment="1">
      <x:alignment wrapText="1"/>
    </x:xf>
    <x:xf numFmtId="0" fontId="7" fillId="29" borderId="3" xfId="0" applyNumberFormat="1" applyFont="1" applyFill="1" applyBorder="1" applyAlignment="1">
      <x:alignment wrapText="1"/>
    </x:xf>
    <x:xf numFmtId="0" fontId="7" fillId="29" borderId="4" xfId="0" applyNumberFormat="1" applyFont="1" applyFill="1" applyBorder="1" applyAlignment="1">
      <x:alignment wrapText="1"/>
    </x:xf>
    <x:xf numFmtId="0" fontId="7" fillId="29" borderId="5" xfId="0" applyNumberFormat="1" applyFont="1" applyFill="1" applyBorder="1" applyAlignment="1">
      <x:alignment wrapText="1"/>
    </x:xf>
    <x:xf numFmtId="0" fontId="7" fillId="29" xfId="0" applyNumberFormat="1" applyFont="1" applyFill="1" applyBorder="0" applyAlignment="1">
      <x:alignment wrapText="1"/>
    </x:xf>
    <x:xf numFmtId="0" fontId="7" fillId="29" borderId="6" xfId="0" applyNumberFormat="1" applyFont="1" applyFill="1" applyBorder="1" applyAlignment="1">
      <x:alignment wrapText="1"/>
    </x:xf>
    <x:xf numFmtId="0" fontId="7" fillId="29" borderId="7" xfId="0" applyNumberFormat="1" applyFont="1" applyFill="1" applyBorder="1" applyAlignment="1">
      <x:alignment wrapText="1"/>
    </x:xf>
    <x:xf numFmtId="0" fontId="7" fillId="29" borderId="8" xfId="0" applyNumberFormat="1" applyFont="1" applyFill="1" applyBorder="1" applyAlignment="1">
      <x:alignment wrapText="1"/>
    </x:xf>
    <x:xf numFmtId="0" fontId="7" fillId="29" borderId="9" xfId="0" applyNumberFormat="1" applyFont="1" applyFill="1" applyBorder="1" applyAlignment="1">
      <x:alignment wrapText="1"/>
    </x:xf>
    <x:xf numFmtId="0" fontId="7" fillId="29" borderId="2" xfId="0" applyNumberFormat="1" applyFont="1" applyFill="1" applyBorder="1" applyAlignment="1">
      <x:alignment vertical="top" wrapText="1"/>
    </x:xf>
    <x:xf numFmtId="0" fontId="7" fillId="29" borderId="3" xfId="0" applyNumberFormat="1" applyFont="1" applyFill="1" applyBorder="1" applyAlignment="1">
      <x:alignment vertical="top" wrapText="1"/>
    </x:xf>
    <x:xf numFmtId="0" fontId="7" fillId="29" borderId="4" xfId="0" applyNumberFormat="1" applyFont="1" applyFill="1" applyBorder="1" applyAlignment="1">
      <x:alignment vertical="top" wrapText="1"/>
    </x:xf>
    <x:xf numFmtId="0" fontId="7" fillId="29" borderId="5" xfId="0" applyNumberFormat="1" applyFont="1" applyFill="1" applyBorder="1" applyAlignment="1">
      <x:alignment vertical="top" wrapText="1"/>
    </x:xf>
    <x:xf numFmtId="0" fontId="7" fillId="29" xfId="0" applyNumberFormat="1" applyFont="1" applyFill="1" applyBorder="0" applyAlignment="1">
      <x:alignment vertical="top" wrapText="1"/>
    </x:xf>
    <x:xf numFmtId="0" fontId="7" fillId="29" borderId="6" xfId="0" applyNumberFormat="1" applyFont="1" applyFill="1" applyBorder="1" applyAlignment="1">
      <x:alignment vertical="top" wrapText="1"/>
    </x:xf>
    <x:xf numFmtId="0" fontId="7" fillId="29" borderId="7" xfId="0" applyNumberFormat="1" applyFont="1" applyFill="1" applyBorder="1" applyAlignment="1">
      <x:alignment vertical="top" wrapText="1"/>
    </x:xf>
    <x:xf numFmtId="0" fontId="7" fillId="29" borderId="8" xfId="0" applyNumberFormat="1" applyFont="1" applyFill="1" applyBorder="1" applyAlignment="1">
      <x:alignment vertical="top" wrapText="1"/>
    </x:xf>
    <x:xf numFmtId="0" fontId="7" fillId="29" borderId="9" xfId="0" applyNumberFormat="1" applyFont="1" applyFill="1" applyBorder="1" applyAlignment="1">
      <x:alignment vertical="top" wrapText="1"/>
    </x:xf>
    <x:xf numFmtId="213" fontId="8" fillId="28" borderId="1" xfId="0" applyNumberFormat="1" applyFont="1" applyFill="1" applyBorder="1" applyAlignment="1">
      <x:alignment horizontal="center" vertical="center" wrapText="1"/>
    </x:xf>
    <x:xf numFmtId="207" fontId="12" fillId="23" borderId="14" xfId="0" applyNumberFormat="1" applyFont="1" applyFill="1" applyBorder="1" applyAlignment="1">
      <x:alignment vertical="center" wrapText="1"/>
    </x:xf>
    <x:xf numFmtId="207" fontId="9" fillId="23" borderId="14" xfId="0" applyNumberFormat="1" applyFont="1" applyFill="1" applyBorder="1" applyAlignment="1">
      <x:alignment vertical="center" wrapText="1"/>
    </x:xf>
    <x:xf numFmtId="207" fontId="8" fillId="23" borderId="14" xfId="0" applyNumberFormat="1" applyFont="1" applyFill="1" applyBorder="1" applyAlignment="1">
      <x:alignment vertical="center" wrapText="1"/>
    </x:xf>
    <x:xf numFmtId="207" fontId="8" fillId="23" borderId="29" xfId="0" applyNumberFormat="1" applyFont="1" applyFill="1" applyBorder="1" applyAlignment="1">
      <x:alignment vertical="center" wrapText="1"/>
    </x:xf>
    <x:xf numFmtId="203" fontId="12" fillId="23" borderId="14" xfId="0" applyNumberFormat="1" applyFont="1" applyFill="1" applyBorder="1" applyAlignment="1">
      <x:alignment vertical="center" wrapText="1"/>
    </x:xf>
    <x:xf numFmtId="203" fontId="9" fillId="23" borderId="14" xfId="0" applyNumberFormat="1" applyFont="1" applyFill="1" applyBorder="1" applyAlignment="1">
      <x:alignment vertical="center" wrapText="1"/>
    </x:xf>
    <x:xf numFmtId="203" fontId="8" fillId="23" borderId="14" xfId="0" applyNumberFormat="1" applyFont="1" applyFill="1" applyBorder="1" applyAlignment="1">
      <x:alignment vertical="center" wrapText="1"/>
    </x:xf>
    <x:xf numFmtId="0" fontId="8" fillId="23" borderId="19" xfId="0" applyNumberFormat="1" applyFont="1" applyFill="1" applyBorder="1" applyAlignment="1">
      <x:alignment vertical="center" wrapText="1"/>
    </x:xf>
    <x:xf numFmtId="0" fontId="8" fillId="23" borderId="20" xfId="0" applyNumberFormat="1" applyFont="1" applyFill="1" applyBorder="1" applyAlignment="1">
      <x:alignment vertical="center" wrapText="1"/>
    </x:xf>
    <x:xf numFmtId="207" fontId="8" fillId="23" borderId="20" xfId="0" applyNumberFormat="1" applyFont="1" applyFill="1" applyBorder="1" applyAlignment="1">
      <x:alignment vertical="center" wrapText="1"/>
    </x:xf>
    <x:xf numFmtId="0" fontId="8" fillId="23" borderId="21" xfId="0" applyNumberFormat="1" applyFont="1" applyFill="1" applyBorder="1" applyAlignment="1">
      <x:alignment vertical="center" wrapText="1"/>
    </x:xf>
    <x:xf numFmtId="0" fontId="8" fillId="23" borderId="22" xfId="0" applyNumberFormat="1" applyFont="1" applyFill="1" applyBorder="1" applyAlignment="1">
      <x:alignment vertical="center" wrapText="1"/>
    </x:xf>
    <x:xf numFmtId="203" fontId="8" fillId="23" borderId="22" xfId="0" applyNumberFormat="1" applyFont="1" applyFill="1" applyBorder="1" applyAlignment="1">
      <x:alignment vertical="center" wrapText="1"/>
    </x:xf>
    <x:xf numFmtId="0" fontId="9" fillId="23" borderId="16" xfId="0" applyNumberFormat="1" applyFont="1" applyFill="1" applyBorder="1" applyAlignment="1">
      <x:alignment vertical="center" wrapText="1"/>
    </x:xf>
    <x:xf numFmtId="0" fontId="9" fillId="23" borderId="17" xfId="0" applyNumberFormat="1" applyFont="1" applyFill="1" applyBorder="1" applyAlignment="1">
      <x:alignment vertical="center" wrapText="1"/>
    </x:xf>
    <x:xf numFmtId="201" fontId="12" fillId="23" borderId="17" xfId="0" applyNumberFormat="1" applyFont="1" applyFill="1" applyBorder="1" applyAlignment="1">
      <x:alignment vertical="center" wrapText="1"/>
    </x:xf>
    <x:xf numFmtId="201" fontId="9" fillId="23" borderId="17" xfId="0" applyNumberFormat="1" applyFont="1" applyFill="1" applyBorder="1" applyAlignment="1">
      <x:alignment vertical="center" wrapText="1"/>
    </x:xf>
    <x:xf numFmtId="0" fontId="9" fillId="23" borderId="18" xfId="0" applyNumberFormat="1" applyFont="1" applyFill="1" applyBorder="1" applyAlignment="1">
      <x:alignment vertical="center" wrapText="1"/>
    </x:xf>
    <x:xf numFmtId="0" fontId="8" fillId="23" borderId="16" xfId="0" applyNumberFormat="1" applyFont="1" applyFill="1" applyBorder="1" applyAlignment="1">
      <x:alignment vertical="center" wrapText="1"/>
    </x:xf>
    <x:xf numFmtId="0" fontId="8" fillId="23" borderId="17" xfId="0" applyNumberFormat="1" applyFont="1" applyFill="1" applyBorder="1" applyAlignment="1">
      <x:alignment vertical="center" wrapText="1"/>
    </x:xf>
    <x:xf numFmtId="201" fontId="8" fillId="23" borderId="17" xfId="0" applyNumberFormat="1" applyFont="1" applyFill="1" applyBorder="1" applyAlignment="1">
      <x:alignment vertical="center" wrapText="1"/>
    </x:xf>
    <x:xf numFmtId="0" fontId="8" fillId="23" borderId="18" xfId="0" applyNumberFormat="1" applyFont="1" applyFill="1" applyBorder="1" applyAlignment="1">
      <x:alignment vertical="center" wrapText="1"/>
    </x:xf>
    <x:xf numFmtId="201" fontId="8" fillId="23" borderId="22" xfId="0" applyNumberFormat="1" applyFont="1" applyFill="1" applyBorder="1" applyAlignment="1">
      <x:alignment vertical="center" wrapText="1"/>
    </x:xf>
    <x:xf numFmtId="214" fontId="9" fillId="0" borderId="14" xfId="0" applyNumberFormat="1" applyFont="1" applyFill="1" applyBorder="1" applyAlignment="1">
      <x:alignment vertical="center" wrapText="1"/>
    </x:xf>
    <x:xf numFmtId="203" fontId="9" fillId="23" borderId="17" xfId="0" applyNumberFormat="1" applyFont="1" applyFill="1" applyBorder="1" applyAlignment="1">
      <x:alignment vertical="center" wrapText="1"/>
    </x:xf>
    <x:xf numFmtId="203" fontId="8" fillId="23" borderId="17" xfId="0" applyNumberFormat="1" applyFont="1" applyFill="1" applyBorder="1" applyAlignment="1">
      <x:alignment vertical="center" wrapText="1"/>
    </x:xf>
    <x:xf numFmtId="201" fontId="8" fillId="28" borderId="1" xfId="0" applyNumberFormat="1" applyFont="1" applyFill="1" applyBorder="1" applyAlignment="1">
      <x:alignment horizontal="center" vertical="center" wrapText="1"/>
    </x:xf>
    <x:xf numFmtId="201" fontId="0" fillId="0" borderId="0" xfId="0" applyNumberFormat="1" applyFont="1" applyFill="1" applyBorder="1"/>
    <x:xf numFmtId="201" fontId="9" fillId="0" borderId="0" xfId="0" applyNumberFormat="1" applyFont="1" applyFill="1" applyBorder="1"/>
    <x:xf numFmtId="201" fontId="9" fillId="0" borderId="10" xfId="0" applyNumberFormat="1" applyFont="1" applyFill="1" applyBorder="1"/>
    <x:xf numFmtId="201" fontId="9" fillId="0" borderId="13" xfId="0" applyNumberFormat="1" applyFont="1" applyFill="1" applyBorder="1"/>
    <x:xf numFmtId="201" fontId="9" fillId="0" borderId="16" xfId="0" applyNumberFormat="1" applyFont="1" applyFill="1" applyBorder="1"/>
    <x:xf numFmtId="201" fontId="9" fillId="0" borderId="10" xfId="0" applyNumberFormat="1" applyFont="1" applyFill="1" applyBorder="1" applyAlignment="1">
      <x:alignment wrapText="1"/>
    </x:xf>
    <x:xf numFmtId="201" fontId="9" fillId="0" borderId="13" xfId="0" applyNumberFormat="1" applyFont="1" applyFill="1" applyBorder="1" applyAlignment="1">
      <x:alignment wrapText="1"/>
    </x:xf>
    <x:xf numFmtId="201" fontId="9" fillId="0" borderId="16" xfId="0" applyNumberFormat="1" applyFont="1" applyFill="1" applyBorder="1" applyAlignment="1">
      <x:alignment wrapText="1"/>
    </x:xf>
    <x:xf numFmtId="201" fontId="9" fillId="0" borderId="10" xfId="0" applyNumberFormat="1" applyFont="1" applyFill="1" applyBorder="1" applyAlignment="1">
      <x:alignment vertical="center" wrapText="1"/>
    </x:xf>
    <x:xf numFmtId="201" fontId="9" fillId="0" borderId="13" xfId="0" applyNumberFormat="1" applyFont="1" applyFill="1" applyBorder="1" applyAlignment="1">
      <x:alignment vertical="center" wrapText="1"/>
    </x:xf>
    <x:xf numFmtId="201" fontId="9" fillId="0" borderId="16" xfId="0" applyNumberFormat="1" applyFont="1" applyFill="1" applyBorder="1" applyAlignment="1">
      <x:alignment vertical="center" wrapText="1"/>
    </x:xf>
    <x:xf numFmtId="203" fontId="17" fillId="23" borderId="14" xfId="0" applyNumberFormat="1" applyFont="1" applyFill="1" applyBorder="1" applyAlignment="1">
      <x:alignment vertical="center" wrapText="1"/>
    </x:xf>
    <x:xf numFmtId="203" fontId="8" fillId="23" borderId="20" xfId="0" applyNumberFormat="1" applyFont="1" applyFill="1" applyBorder="1" applyAlignment="1">
      <x:alignment vertical="center" wrapText="1"/>
    </x:xf>
    <x:xf numFmtId="207" fontId="8" fillId="23" borderId="22" xfId="0" applyNumberFormat="1" applyFont="1" applyFill="1" applyBorder="1" applyAlignment="1">
      <x:alignment vertical="center" wrapText="1"/>
    </x:xf>
    <x:xf numFmtId="0" fontId="9" fillId="23" borderId="10" xfId="0" applyNumberFormat="1" applyFont="1" applyFill="1" applyBorder="1" applyAlignment="1">
      <x:alignment vertical="center" wrapText="1"/>
    </x:xf>
    <x:xf numFmtId="0" fontId="9" fillId="23" borderId="11" xfId="0" applyNumberFormat="1" applyFont="1" applyFill="1" applyBorder="1" applyAlignment="1">
      <x:alignment vertical="center" wrapText="1"/>
    </x:xf>
    <x:xf numFmtId="203" fontId="9" fillId="23" borderId="11" xfId="0" applyNumberFormat="1" applyFont="1" applyFill="1" applyBorder="1" applyAlignment="1">
      <x:alignment vertical="center" wrapText="1"/>
    </x:xf>
    <x:xf numFmtId="0" fontId="9" fillId="23" borderId="12" xfId="0" applyNumberFormat="1" applyFont="1" applyFill="1" applyBorder="1" applyAlignment="1">
      <x:alignment vertical="center" wrapText="1"/>
    </x:xf>
    <x:xf numFmtId="0" fontId="8" fillId="23" borderId="10" xfId="0" applyNumberFormat="1" applyFont="1" applyFill="1" applyBorder="1" applyAlignment="1">
      <x:alignment vertical="center" wrapText="1"/>
    </x:xf>
    <x:xf numFmtId="0" fontId="8" fillId="23" borderId="11" xfId="0" applyNumberFormat="1" applyFont="1" applyFill="1" applyBorder="1" applyAlignment="1">
      <x:alignment vertical="center" wrapText="1"/>
    </x:xf>
    <x:xf numFmtId="203" fontId="8" fillId="23" borderId="11" xfId="0" applyNumberFormat="1" applyFont="1" applyFill="1" applyBorder="1" applyAlignment="1">
      <x:alignment vertical="center" wrapText="1"/>
    </x:xf>
    <x:xf numFmtId="0" fontId="8" fillId="23" borderId="12" xfId="0" applyNumberFormat="1" applyFont="1" applyFill="1" applyBorder="1" applyAlignment="1">
      <x:alignment vertical="center" wrapText="1"/>
    </x:xf>
    <x:xf numFmtId="0" fontId="0" fillId="0" borderId="1" xfId="0" applyNumberFormat="1" applyFont="1" applyFill="1" applyBorder="1"/>
    <x:xf numFmtId="0" fontId="0" fillId="0" borderId="1" xfId="0" applyNumberFormat="1" applyFont="1" applyFill="1" applyBorder="1" applyAlignment="1">
      <x:alignment vertical="center"/>
    </x:xf>
    <x:xf numFmtId="0" fontId="0" fillId="28" borderId="1" xfId="0" applyNumberFormat="1" applyFont="1" applyFill="1" applyBorder="1" applyAlignment="1">
      <x:alignment vertical="center"/>
    </x:xf>
    <x:xf numFmtId="0" fontId="8" fillId="28" borderId="1" xfId="0" applyNumberFormat="1" applyFont="1" applyFill="1" applyBorder="1" applyAlignment="1">
      <x:alignment vertical="center"/>
    </x:xf>
    <x:xf numFmtId="0" fontId="8" fillId="28" borderId="1" xfId="0" applyNumberFormat="1" applyFont="1" applyFill="1" applyBorder="1" applyAlignment="1">
      <x:alignment horizontal="center" vertical="center"/>
    </x:xf>
    <x:xf numFmtId="0" fontId="12" fillId="0" borderId="1" xfId="0" applyNumberFormat="1" applyFont="1" applyFill="1" applyBorder="1" applyAlignment="1">
      <x:alignment vertical="center"/>
    </x:xf>
    <x:xf numFmtId="0" fontId="18" fillId="28" borderId="1" xfId="0" applyNumberFormat="1" applyFont="1" applyFill="1" applyBorder="1" applyAlignment="1">
      <x:alignment horizontal="center" vertical="center"/>
    </x:xf>
    <x:xf numFmtId="207" fontId="12" fillId="0" borderId="1" xfId="0" applyNumberFormat="1" applyFont="1" applyFill="1" applyBorder="1" applyAlignment="1">
      <x:alignment vertical="center"/>
    </x:xf>
    <x:xf numFmtId="207" fontId="18" fillId="28" borderId="1" xfId="0" applyNumberFormat="1" applyFont="1" applyFill="1" applyBorder="1" applyAlignment="1">
      <x:alignment horizontal="center" vertical="center"/>
    </x:xf>
    <x:xf numFmtId="203" fontId="12" fillId="0" borderId="1" xfId="0" applyNumberFormat="1" applyFont="1" applyFill="1" applyBorder="1" applyAlignment="1">
      <x:alignment vertical="center"/>
    </x:xf>
    <x:xf numFmtId="201" fontId="12" fillId="0" borderId="1" xfId="0" applyNumberFormat="1" applyFont="1" applyFill="1" applyBorder="1" applyAlignment="1">
      <x:alignment vertical="center"/>
    </x:xf>
    <x:xf numFmtId="214" fontId="12" fillId="0" borderId="1" xfId="0" applyNumberFormat="1" applyFont="1" applyFill="1" applyBorder="1" applyAlignment="1">
      <x:alignment vertical="center"/>
    </x:xf>
    <x:xf numFmtId="0" fontId="7" fillId="26" borderId="0" xfId="0" applyNumberFormat="1" applyFont="1" applyFill="1" applyBorder="1"/>
    <x:xf numFmtId="0" fontId="7" fillId="26" borderId="2" xfId="0" applyNumberFormat="1" applyFont="1" applyFill="1" applyBorder="1"/>
    <x:xf numFmtId="0" fontId="7" fillId="26" borderId="3" xfId="0" applyNumberFormat="1" applyFont="1" applyFill="1" applyBorder="1"/>
    <x:xf numFmtId="0" fontId="7" fillId="26" borderId="4" xfId="0" applyNumberFormat="1" applyFont="1" applyFill="1" applyBorder="1"/>
    <x:xf numFmtId="0" fontId="7" fillId="26" borderId="5" xfId="0" applyNumberFormat="1" applyFont="1" applyFill="1" applyBorder="1"/>
    <x:xf numFmtId="0" fontId="7" fillId="26" xfId="0" applyNumberFormat="1" applyFont="1" applyFill="1" applyBorder="0"/>
    <x:xf numFmtId="0" fontId="7" fillId="26" borderId="6" xfId="0" applyNumberFormat="1" applyFont="1" applyFill="1" applyBorder="1"/>
    <x:xf numFmtId="0" fontId="7" fillId="26" borderId="7" xfId="0" applyNumberFormat="1" applyFont="1" applyFill="1" applyBorder="1"/>
    <x:xf numFmtId="0" fontId="7" fillId="26" borderId="8" xfId="0" applyNumberFormat="1" applyFont="1" applyFill="1" applyBorder="1"/>
    <x:xf numFmtId="0" fontId="7" fillId="26" borderId="9" xfId="0" applyNumberFormat="1" applyFont="1" applyFill="1" applyBorder="1"/>
    <x:xf numFmtId="0" fontId="7" fillId="26" borderId="2" xfId="0" applyNumberFormat="1" applyFont="1" applyFill="1" applyBorder="1" applyAlignment="1">
      <x:alignment wrapText="1"/>
    </x:xf>
    <x:xf numFmtId="0" fontId="7" fillId="26" borderId="3" xfId="0" applyNumberFormat="1" applyFont="1" applyFill="1" applyBorder="1" applyAlignment="1">
      <x:alignment wrapText="1"/>
    </x:xf>
    <x:xf numFmtId="0" fontId="7" fillId="26" borderId="4" xfId="0" applyNumberFormat="1" applyFont="1" applyFill="1" applyBorder="1" applyAlignment="1">
      <x:alignment wrapText="1"/>
    </x:xf>
    <x:xf numFmtId="0" fontId="7" fillId="26" borderId="5" xfId="0" applyNumberFormat="1" applyFont="1" applyFill="1" applyBorder="1" applyAlignment="1">
      <x:alignment wrapText="1"/>
    </x:xf>
    <x:xf numFmtId="0" fontId="7" fillId="26" xfId="0" applyNumberFormat="1" applyFont="1" applyFill="1" applyBorder="0" applyAlignment="1">
      <x:alignment wrapText="1"/>
    </x:xf>
    <x:xf numFmtId="0" fontId="7" fillId="26" borderId="6" xfId="0" applyNumberFormat="1" applyFont="1" applyFill="1" applyBorder="1" applyAlignment="1">
      <x:alignment wrapText="1"/>
    </x:xf>
    <x:xf numFmtId="0" fontId="7" fillId="26" borderId="7" xfId="0" applyNumberFormat="1" applyFont="1" applyFill="1" applyBorder="1" applyAlignment="1">
      <x:alignment wrapText="1"/>
    </x:xf>
    <x:xf numFmtId="0" fontId="7" fillId="26" borderId="8" xfId="0" applyNumberFormat="1" applyFont="1" applyFill="1" applyBorder="1" applyAlignment="1">
      <x:alignment wrapText="1"/>
    </x:xf>
    <x:xf numFmtId="0" fontId="7" fillId="26" borderId="9" xfId="0" applyNumberFormat="1" applyFont="1" applyFill="1" applyBorder="1" applyAlignment="1">
      <x:alignment wrapText="1"/>
    </x:xf>
    <x:xf numFmtId="0" fontId="7" fillId="26" borderId="2" xfId="0" applyNumberFormat="1" applyFont="1" applyFill="1" applyBorder="1" applyAlignment="1">
      <x:alignment vertical="top" wrapText="1"/>
    </x:xf>
    <x:xf numFmtId="0" fontId="7" fillId="26" borderId="3" xfId="0" applyNumberFormat="1" applyFont="1" applyFill="1" applyBorder="1" applyAlignment="1">
      <x:alignment vertical="top" wrapText="1"/>
    </x:xf>
    <x:xf numFmtId="0" fontId="7" fillId="26" borderId="4" xfId="0" applyNumberFormat="1" applyFont="1" applyFill="1" applyBorder="1" applyAlignment="1">
      <x:alignment vertical="top" wrapText="1"/>
    </x:xf>
    <x:xf numFmtId="0" fontId="7" fillId="26" borderId="5" xfId="0" applyNumberFormat="1" applyFont="1" applyFill="1" applyBorder="1" applyAlignment="1">
      <x:alignment vertical="top" wrapText="1"/>
    </x:xf>
    <x:xf numFmtId="0" fontId="7" fillId="26" xfId="0" applyNumberFormat="1" applyFont="1" applyFill="1" applyBorder="0" applyAlignment="1">
      <x:alignment vertical="top" wrapText="1"/>
    </x:xf>
    <x:xf numFmtId="0" fontId="7" fillId="26" borderId="6" xfId="0" applyNumberFormat="1" applyFont="1" applyFill="1" applyBorder="1" applyAlignment="1">
      <x:alignment vertical="top" wrapText="1"/>
    </x:xf>
    <x:xf numFmtId="0" fontId="7" fillId="26" borderId="7" xfId="0" applyNumberFormat="1" applyFont="1" applyFill="1" applyBorder="1" applyAlignment="1">
      <x:alignment vertical="top" wrapText="1"/>
    </x:xf>
    <x:xf numFmtId="0" fontId="7" fillId="26" borderId="8" xfId="0" applyNumberFormat="1" applyFont="1" applyFill="1" applyBorder="1" applyAlignment="1">
      <x:alignment vertical="top" wrapText="1"/>
    </x:xf>
    <x:xf numFmtId="0" fontId="7" fillId="26" borderId="9" xfId="0" applyNumberFormat="1" applyFont="1" applyFill="1" applyBorder="1" applyAlignment="1">
      <x:alignment vertical="top" wrapText="1"/>
    </x:xf>
    <x:xf numFmtId="0" fontId="19" fillId="23" borderId="0" xfId="0" applyNumberFormat="1" applyFont="1" applyFill="1" applyBorder="1"/>
    <x:xf numFmtId="0" fontId="19" fillId="23" borderId="30" xfId="0" applyNumberFormat="1" applyFont="1" applyFill="1" applyBorder="1"/>
    <x:xf numFmtId="0" fontId="19" fillId="23" borderId="31" xfId="0" applyNumberFormat="1" applyFont="1" applyFill="1" applyBorder="1"/>
    <x:xf numFmtId="0" fontId="19" fillId="23" borderId="32" xfId="0" applyNumberFormat="1" applyFont="1" applyFill="1" applyBorder="1"/>
    <x:xf numFmtId="0" fontId="19" fillId="23" borderId="33" xfId="0" applyNumberFormat="1" applyFont="1" applyFill="1" applyBorder="1"/>
    <x:xf numFmtId="0" fontId="19" fillId="23" borderId="34" xfId="0" applyNumberFormat="1" applyFont="1" applyFill="1" applyBorder="1"/>
    <x:xf numFmtId="0" fontId="19" fillId="23" borderId="35" xfId="0" applyNumberFormat="1" applyFont="1" applyFill="1" applyBorder="1"/>
    <x:xf numFmtId="0" fontId="19" fillId="23" borderId="30" xfId="0" applyNumberFormat="1" applyFont="1" applyFill="1" applyBorder="1" applyAlignment="1">
      <x:alignment wrapText="1"/>
    </x:xf>
    <x:xf numFmtId="0" fontId="19" fillId="23" borderId="31" xfId="0" applyNumberFormat="1" applyFont="1" applyFill="1" applyBorder="1" applyAlignment="1">
      <x:alignment wrapText="1"/>
    </x:xf>
    <x:xf numFmtId="0" fontId="19" fillId="23" borderId="32" xfId="0" applyNumberFormat="1" applyFont="1" applyFill="1" applyBorder="1" applyAlignment="1">
      <x:alignment wrapText="1"/>
    </x:xf>
    <x:xf numFmtId="0" fontId="19" fillId="23" borderId="33" xfId="0" applyNumberFormat="1" applyFont="1" applyFill="1" applyBorder="1" applyAlignment="1">
      <x:alignment wrapText="1"/>
    </x:xf>
    <x:xf numFmtId="0" fontId="19" fillId="23" borderId="34" xfId="0" applyNumberFormat="1" applyFont="1" applyFill="1" applyBorder="1" applyAlignment="1">
      <x:alignment wrapText="1"/>
    </x:xf>
    <x:xf numFmtId="0" fontId="19" fillId="23" borderId="35" xfId="0" applyNumberFormat="1" applyFont="1" applyFill="1" applyBorder="1" applyAlignment="1">
      <x:alignment wrapText="1"/>
    </x:xf>
    <x:xf numFmtId="0" fontId="19" fillId="23" borderId="30" xfId="0" applyNumberFormat="1" applyFont="1" applyFill="1" applyBorder="1" applyAlignment="1">
      <x:alignment horizontal="center" wrapText="1"/>
    </x:xf>
    <x:xf numFmtId="0" fontId="19" fillId="23" borderId="31" xfId="0" applyNumberFormat="1" applyFont="1" applyFill="1" applyBorder="1" applyAlignment="1">
      <x:alignment horizontal="center" wrapText="1"/>
    </x:xf>
    <x:xf numFmtId="0" fontId="19" fillId="23" borderId="32" xfId="0" applyNumberFormat="1" applyFont="1" applyFill="1" applyBorder="1" applyAlignment="1">
      <x:alignment horizontal="center" wrapText="1"/>
    </x:xf>
    <x:xf numFmtId="0" fontId="19" fillId="23" borderId="33" xfId="0" applyNumberFormat="1" applyFont="1" applyFill="1" applyBorder="1" applyAlignment="1">
      <x:alignment horizontal="center" wrapText="1"/>
    </x:xf>
    <x:xf numFmtId="0" fontId="19" fillId="23" borderId="34" xfId="0" applyNumberFormat="1" applyFont="1" applyFill="1" applyBorder="1" applyAlignment="1">
      <x:alignment horizontal="center" wrapText="1"/>
    </x:xf>
    <x:xf numFmtId="0" fontId="19" fillId="23" borderId="35" xfId="0" applyNumberFormat="1" applyFont="1" applyFill="1" applyBorder="1" applyAlignment="1">
      <x:alignment horizontal="center" wrapText="1"/>
    </x:xf>
    <x:xf numFmtId="0" fontId="19" fillId="23" borderId="30" xfId="0" applyNumberFormat="1" applyFont="1" applyFill="1" applyBorder="1" applyAlignment="1">
      <x:alignment horizontal="center" vertical="center" wrapText="1"/>
    </x:xf>
    <x:xf numFmtId="0" fontId="19" fillId="23" borderId="31" xfId="0" applyNumberFormat="1" applyFont="1" applyFill="1" applyBorder="1" applyAlignment="1">
      <x:alignment horizontal="center" vertical="center" wrapText="1"/>
    </x:xf>
    <x:xf numFmtId="0" fontId="19" fillId="23" borderId="32" xfId="0" applyNumberFormat="1" applyFont="1" applyFill="1" applyBorder="1" applyAlignment="1">
      <x:alignment horizontal="center" vertical="center" wrapText="1"/>
    </x:xf>
    <x:xf numFmtId="0" fontId="19" fillId="23" borderId="33" xfId="0" applyNumberFormat="1" applyFont="1" applyFill="1" applyBorder="1" applyAlignment="1">
      <x:alignment horizontal="center" vertical="center" wrapText="1"/>
    </x:xf>
    <x:xf numFmtId="0" fontId="19" fillId="23" borderId="34" xfId="0" applyNumberFormat="1" applyFont="1" applyFill="1" applyBorder="1" applyAlignment="1">
      <x:alignment horizontal="center" vertical="center" wrapText="1"/>
    </x:xf>
    <x:xf numFmtId="0" fontId="19" fillId="23" borderId="35" xfId="0" applyNumberFormat="1" applyFont="1" applyFill="1" applyBorder="1" applyAlignment="1">
      <x:alignment horizontal="center" vertical="center" wrapText="1"/>
    </x:xf>
    <x:xf numFmtId="0" fontId="8" fillId="28" borderId="1" xfId="0" applyNumberFormat="1" applyFont="1" applyFill="1" applyBorder="1" applyAlignment="1">
      <x:alignment horizontal="center"/>
    </x:xf>
    <x:xf numFmtId="0" fontId="0" fillId="32" borderId="0" xfId="0" applyNumberFormat="1" applyFont="1" applyFill="1" applyBorder="1"/>
    <x:xf numFmtId="0" fontId="20" fillId="32" borderId="0" xfId="0" applyNumberFormat="1" applyFont="1" applyFill="1" applyBorder="1"/>
    <x:xf numFmtId="0" fontId="20" fillId="32" borderId="1" xfId="0" applyNumberFormat="1" applyFont="1" applyFill="1" applyBorder="1"/>
    <x:xf numFmtId="0" fontId="20" fillId="32" borderId="1" xfId="0" applyNumberFormat="1" applyFont="1" applyFill="1" applyBorder="1" applyAlignment="1">
      <x:alignment horizontal="center"/>
    </x:xf>
    <x:xf numFmtId="0" fontId="20" fillId="32" borderId="1" xfId="0" applyNumberFormat="1" applyFont="1" applyFill="1" applyBorder="1" applyAlignment="1">
      <x:alignment horizontal="center" vertical="center"/>
    </x:xf>
    <x:xf numFmtId="0" fontId="18" fillId="32" borderId="1" xfId="0" applyNumberFormat="1" applyFont="1" applyFill="1" applyBorder="1" applyAlignment="1">
      <x:alignment horizontal="center" vertical="center"/>
    </x:xf>
    <x:xf numFmtId="207" fontId="18" fillId="32" borderId="1" xfId="0" applyNumberFormat="1" applyFont="1" applyFill="1" applyBorder="1" applyAlignment="1">
      <x:alignment horizontal="center" vertical="center"/>
    </x:xf>
    <x:xf numFmtId="203" fontId="18" fillId="32" borderId="1" xfId="0" applyNumberFormat="1" applyFont="1" applyFill="1" applyBorder="1" applyAlignment="1">
      <x:alignment horizontal="center" vertical="center"/>
    </x:xf>
    <x:xf numFmtId="201" fontId="18" fillId="32" borderId="1" xfId="0" applyNumberFormat="1" applyFont="1" applyFill="1" applyBorder="1" applyAlignment="1">
      <x:alignment horizontal="center" vertical="center"/>
    </x:xf>
    <x:xf numFmtId="207" fontId="12" fillId="0" borderId="26" xfId="0" applyNumberFormat="1" applyFont="1" applyFill="1" applyBorder="1" applyAlignment="1">
      <x:alignment vertical="center" wrapText="1"/>
    </x:xf>
    <x:xf numFmtId="201" fontId="12" fillId="0" borderId="26" xfId="0" applyNumberFormat="1" applyFont="1" applyFill="1" applyBorder="1" applyAlignment="1">
      <x:alignment vertical="center" wrapText="1"/>
    </x:xf>
    <x:xf numFmtId="205" fontId="12" fillId="0" borderId="26" xfId="0" applyNumberFormat="1" applyFont="1" applyFill="1" applyBorder="1" applyAlignment="1">
      <x:alignment vertical="center" wrapText="1"/>
    </x:xf>
    <x:xf numFmtId="203" fontId="12" fillId="0" borderId="26" xfId="0" applyNumberFormat="1" applyFont="1" applyFill="1" applyBorder="1" applyAlignment="1">
      <x:alignment vertical="center" wrapText="1"/>
    </x:xf>
    <x:xf numFmtId="0" fontId="12" fillId="0" borderId="0" xfId="0" applyNumberFormat="1" applyFont="1" applyFill="1" applyBorder="1"/>
    <x:xf numFmtId="205" fontId="12" fillId="0" borderId="0" xfId="0" applyNumberFormat="1" applyFont="1" applyFill="1" applyBorder="1"/>
    <x:xf numFmtId="207" fontId="12" fillId="0" borderId="0" xfId="0" applyNumberFormat="1" applyFont="1" applyFill="1" applyBorder="1"/>
    <x:xf numFmtId="203" fontId="12" fillId="0" borderId="0" xfId="0" applyNumberFormat="1" applyFont="1" applyFill="1" applyBorder="1"/>
    <x:xf numFmtId="205" fontId="9" fillId="0" borderId="0" xfId="0" applyNumberFormat="1" applyFont="1" applyFill="1" applyBorder="1"/>
    <x:xf numFmtId="205" fontId="9" fillId="0" borderId="11" xfId="0" applyNumberFormat="1" applyFont="1" applyFill="1" applyBorder="1"/>
    <x:xf numFmtId="205" fontId="9" fillId="0" borderId="12" xfId="0" applyNumberFormat="1" applyFont="1" applyFill="1" applyBorder="1"/>
    <x:xf numFmtId="205" fontId="9" fillId="0" borderId="14" xfId="0" applyNumberFormat="1" applyFont="1" applyFill="1" applyBorder="1"/>
    <x:xf numFmtId="205" fontId="9" fillId="0" borderId="15" xfId="0" applyNumberFormat="1" applyFont="1" applyFill="1" applyBorder="1"/>
    <x:xf numFmtId="205" fontId="9" fillId="0" borderId="17" xfId="0" applyNumberFormat="1" applyFont="1" applyFill="1" applyBorder="1"/>
    <x:xf numFmtId="205" fontId="9" fillId="0" borderId="18" xfId="0" applyNumberFormat="1" applyFont="1" applyFill="1" applyBorder="1"/>
    <x:xf numFmtId="205" fontId="9" fillId="0" borderId="11" xfId="0" applyNumberFormat="1" applyFont="1" applyFill="1" applyBorder="1" applyAlignment="1">
      <x:alignment wrapText="1"/>
    </x:xf>
    <x:xf numFmtId="205" fontId="9" fillId="0" borderId="12" xfId="0" applyNumberFormat="1" applyFont="1" applyFill="1" applyBorder="1" applyAlignment="1">
      <x:alignment wrapText="1"/>
    </x:xf>
    <x:xf numFmtId="205" fontId="9" fillId="0" borderId="14" xfId="0" applyNumberFormat="1" applyFont="1" applyFill="1" applyBorder="1" applyAlignment="1">
      <x:alignment wrapText="1"/>
    </x:xf>
    <x:xf numFmtId="205" fontId="9" fillId="0" borderId="15" xfId="0" applyNumberFormat="1" applyFont="1" applyFill="1" applyBorder="1" applyAlignment="1">
      <x:alignment wrapText="1"/>
    </x:xf>
    <x:xf numFmtId="205" fontId="9" fillId="0" borderId="17" xfId="0" applyNumberFormat="1" applyFont="1" applyFill="1" applyBorder="1" applyAlignment="1">
      <x:alignment wrapText="1"/>
    </x:xf>
    <x:xf numFmtId="205" fontId="9" fillId="0" borderId="18" xfId="0" applyNumberFormat="1" applyFont="1" applyFill="1" applyBorder="1" applyAlignment="1">
      <x:alignment wrapText="1"/>
    </x:xf>
    <x:xf numFmtId="205" fontId="9" fillId="0" borderId="12" xfId="0" applyNumberFormat="1" applyFont="1" applyFill="1" applyBorder="1" applyAlignment="1">
      <x:alignment vertical="center" wrapText="1"/>
    </x:xf>
    <x:xf numFmtId="205" fontId="9" fillId="0" borderId="15" xfId="0" applyNumberFormat="1" applyFont="1" applyFill="1" applyBorder="1" applyAlignment="1">
      <x:alignment vertical="center" wrapText="1"/>
    </x:xf>
    <x:xf numFmtId="205" fontId="9" fillId="0" borderId="18" xfId="0" applyNumberFormat="1" applyFont="1" applyFill="1" applyBorder="1" applyAlignment="1">
      <x:alignment vertical="center" wrapText="1"/>
    </x:xf>
    <x:xf numFmtId="207" fontId="9" fillId="0" borderId="0" xfId="0" applyNumberFormat="1" applyFont="1" applyFill="1" applyBorder="1"/>
    <x:xf numFmtId="207" fontId="9" fillId="0" borderId="11" xfId="0" applyNumberFormat="1" applyFont="1" applyFill="1" applyBorder="1"/>
    <x:xf numFmtId="207" fontId="9" fillId="0" borderId="12" xfId="0" applyNumberFormat="1" applyFont="1" applyFill="1" applyBorder="1"/>
    <x:xf numFmtId="207" fontId="9" fillId="0" borderId="14" xfId="0" applyNumberFormat="1" applyFont="1" applyFill="1" applyBorder="1"/>
    <x:xf numFmtId="207" fontId="9" fillId="0" borderId="15" xfId="0" applyNumberFormat="1" applyFont="1" applyFill="1" applyBorder="1"/>
    <x:xf numFmtId="207" fontId="9" fillId="0" borderId="17" xfId="0" applyNumberFormat="1" applyFont="1" applyFill="1" applyBorder="1"/>
    <x:xf numFmtId="207" fontId="9" fillId="0" borderId="18" xfId="0" applyNumberFormat="1" applyFont="1" applyFill="1" applyBorder="1"/>
    <x:xf numFmtId="207" fontId="9" fillId="0" borderId="11" xfId="0" applyNumberFormat="1" applyFont="1" applyFill="1" applyBorder="1" applyAlignment="1">
      <x:alignment wrapText="1"/>
    </x:xf>
    <x:xf numFmtId="207" fontId="9" fillId="0" borderId="12" xfId="0" applyNumberFormat="1" applyFont="1" applyFill="1" applyBorder="1" applyAlignment="1">
      <x:alignment wrapText="1"/>
    </x:xf>
    <x:xf numFmtId="207" fontId="9" fillId="0" borderId="14" xfId="0" applyNumberFormat="1" applyFont="1" applyFill="1" applyBorder="1" applyAlignment="1">
      <x:alignment wrapText="1"/>
    </x:xf>
    <x:xf numFmtId="207" fontId="9" fillId="0" borderId="15" xfId="0" applyNumberFormat="1" applyFont="1" applyFill="1" applyBorder="1" applyAlignment="1">
      <x:alignment wrapText="1"/>
    </x:xf>
    <x:xf numFmtId="207" fontId="9" fillId="0" borderId="17" xfId="0" applyNumberFormat="1" applyFont="1" applyFill="1" applyBorder="1" applyAlignment="1">
      <x:alignment wrapText="1"/>
    </x:xf>
    <x:xf numFmtId="207" fontId="9" fillId="0" borderId="18" xfId="0" applyNumberFormat="1" applyFont="1" applyFill="1" applyBorder="1" applyAlignment="1">
      <x:alignment wrapText="1"/>
    </x:xf>
    <x:xf numFmtId="207" fontId="9" fillId="0" borderId="12" xfId="0" applyNumberFormat="1" applyFont="1" applyFill="1" applyBorder="1" applyAlignment="1">
      <x:alignment vertical="center" wrapText="1"/>
    </x:xf>
    <x:xf numFmtId="207" fontId="9" fillId="0" borderId="15" xfId="0" applyNumberFormat="1" applyFont="1" applyFill="1" applyBorder="1" applyAlignment="1">
      <x:alignment vertical="center" wrapText="1"/>
    </x:xf>
    <x:xf numFmtId="207" fontId="9" fillId="0" borderId="18" xfId="0" applyNumberFormat="1" applyFont="1" applyFill="1" applyBorder="1" applyAlignment="1">
      <x:alignment vertical="center" wrapText="1"/>
    </x:xf>
    <x:xf numFmtId="203" fontId="9" fillId="0" borderId="0" xfId="0" applyNumberFormat="1" applyFont="1" applyFill="1" applyBorder="1"/>
    <x:xf numFmtId="203" fontId="9" fillId="0" borderId="12" xfId="0" applyNumberFormat="1" applyFont="1" applyFill="1" applyBorder="1"/>
    <x:xf numFmtId="203" fontId="9" fillId="0" borderId="15" xfId="0" applyNumberFormat="1" applyFont="1" applyFill="1" applyBorder="1"/>
    <x:xf numFmtId="203" fontId="9" fillId="0" borderId="18" xfId="0" applyNumberFormat="1" applyFont="1" applyFill="1" applyBorder="1"/>
    <x:xf numFmtId="203" fontId="9" fillId="0" borderId="12" xfId="0" applyNumberFormat="1" applyFont="1" applyFill="1" applyBorder="1" applyAlignment="1">
      <x:alignment wrapText="1"/>
    </x:xf>
    <x:xf numFmtId="203" fontId="9" fillId="0" borderId="15" xfId="0" applyNumberFormat="1" applyFont="1" applyFill="1" applyBorder="1" applyAlignment="1">
      <x:alignment wrapText="1"/>
    </x:xf>
    <x:xf numFmtId="203" fontId="9" fillId="0" borderId="18" xfId="0" applyNumberFormat="1" applyFont="1" applyFill="1" applyBorder="1" applyAlignment="1">
      <x:alignment wrapText="1"/>
    </x:xf>
    <x:xf numFmtId="203" fontId="9" fillId="0" borderId="12" xfId="0" applyNumberFormat="1" applyFont="1" applyFill="1" applyBorder="1" applyAlignment="1">
      <x:alignment vertical="center" wrapText="1"/>
    </x:xf>
    <x:xf numFmtId="203" fontId="9" fillId="0" borderId="15" xfId="0" applyNumberFormat="1" applyFont="1" applyFill="1" applyBorder="1" applyAlignment="1">
      <x:alignment vertical="center" wrapText="1"/>
    </x:xf>
    <x:xf numFmtId="203" fontId="9" fillId="0" borderId="18" xfId="0" applyNumberFormat="1" applyFont="1" applyFill="1" applyBorder="1" applyAlignment="1">
      <x:alignment vertical="center" wrapText="1"/>
    </x:xf>
    <x:xf numFmtId="0" fontId="21" fillId="26" borderId="0" xfId="0" applyNumberFormat="1" applyFont="1" applyFill="1" applyBorder="1"/>
    <x:xf numFmtId="0" fontId="21" fillId="26" borderId="36" xfId="0" applyNumberFormat="1" applyFont="1" applyFill="1" applyBorder="1"/>
    <x:xf numFmtId="0" fontId="21" fillId="26" borderId="37" xfId="0" applyNumberFormat="1" applyFont="1" applyFill="1" applyBorder="1"/>
    <x:xf numFmtId="0" fontId="21" fillId="26" borderId="38" xfId="0" applyNumberFormat="1" applyFont="1" applyFill="1" applyBorder="1"/>
    <x:xf numFmtId="0" fontId="21" fillId="26" borderId="39" xfId="0" applyNumberFormat="1" applyFont="1" applyFill="1" applyBorder="1"/>
    <x:xf numFmtId="0" fontId="21" fillId="26" xfId="0" applyNumberFormat="1" applyFont="1" applyFill="1" applyBorder="0"/>
    <x:xf numFmtId="0" fontId="21" fillId="26" borderId="40" xfId="0" applyNumberFormat="1" applyFont="1" applyFill="1" applyBorder="1"/>
    <x:xf numFmtId="0" fontId="21" fillId="26" borderId="41" xfId="0" applyNumberFormat="1" applyFont="1" applyFill="1" applyBorder="1"/>
    <x:xf numFmtId="0" fontId="21" fillId="26" borderId="42" xfId="0" applyNumberFormat="1" applyFont="1" applyFill="1" applyBorder="1"/>
    <x:xf numFmtId="0" fontId="21" fillId="26" borderId="43" xfId="0" applyNumberFormat="1" applyFont="1" applyFill="1" applyBorder="1"/>
    <x:xf numFmtId="0" fontId="21" fillId="26" borderId="36" xfId="0" applyNumberFormat="1" applyFont="1" applyFill="1" applyBorder="1" applyAlignment="1">
      <x:alignment wrapText="1"/>
    </x:xf>
    <x:xf numFmtId="0" fontId="21" fillId="26" borderId="37" xfId="0" applyNumberFormat="1" applyFont="1" applyFill="1" applyBorder="1" applyAlignment="1">
      <x:alignment wrapText="1"/>
    </x:xf>
    <x:xf numFmtId="0" fontId="21" fillId="26" borderId="38" xfId="0" applyNumberFormat="1" applyFont="1" applyFill="1" applyBorder="1" applyAlignment="1">
      <x:alignment wrapText="1"/>
    </x:xf>
    <x:xf numFmtId="0" fontId="21" fillId="26" borderId="39" xfId="0" applyNumberFormat="1" applyFont="1" applyFill="1" applyBorder="1" applyAlignment="1">
      <x:alignment wrapText="1"/>
    </x:xf>
    <x:xf numFmtId="0" fontId="21" fillId="26" xfId="0" applyNumberFormat="1" applyFont="1" applyFill="1" applyBorder="0" applyAlignment="1">
      <x:alignment wrapText="1"/>
    </x:xf>
    <x:xf numFmtId="0" fontId="21" fillId="26" borderId="40" xfId="0" applyNumberFormat="1" applyFont="1" applyFill="1" applyBorder="1" applyAlignment="1">
      <x:alignment wrapText="1"/>
    </x:xf>
    <x:xf numFmtId="0" fontId="21" fillId="26" borderId="41" xfId="0" applyNumberFormat="1" applyFont="1" applyFill="1" applyBorder="1" applyAlignment="1">
      <x:alignment wrapText="1"/>
    </x:xf>
    <x:xf numFmtId="0" fontId="21" fillId="26" borderId="42" xfId="0" applyNumberFormat="1" applyFont="1" applyFill="1" applyBorder="1" applyAlignment="1">
      <x:alignment wrapText="1"/>
    </x:xf>
    <x:xf numFmtId="0" fontId="21" fillId="26" borderId="43" xfId="0" applyNumberFormat="1" applyFont="1" applyFill="1" applyBorder="1" applyAlignment="1">
      <x:alignment wrapText="1"/>
    </x:xf>
    <x:xf numFmtId="0" fontId="21" fillId="26" borderId="36" xfId="0" applyNumberFormat="1" applyFont="1" applyFill="1" applyBorder="1" applyAlignment="1">
      <x:alignment vertical="top" wrapText="1"/>
    </x:xf>
    <x:xf numFmtId="0" fontId="21" fillId="26" borderId="37" xfId="0" applyNumberFormat="1" applyFont="1" applyFill="1" applyBorder="1" applyAlignment="1">
      <x:alignment vertical="top" wrapText="1"/>
    </x:xf>
    <x:xf numFmtId="0" fontId="21" fillId="26" borderId="38" xfId="0" applyNumberFormat="1" applyFont="1" applyFill="1" applyBorder="1" applyAlignment="1">
      <x:alignment vertical="top" wrapText="1"/>
    </x:xf>
    <x:xf numFmtId="0" fontId="21" fillId="26" borderId="39" xfId="0" applyNumberFormat="1" applyFont="1" applyFill="1" applyBorder="1" applyAlignment="1">
      <x:alignment vertical="top" wrapText="1"/>
    </x:xf>
    <x:xf numFmtId="0" fontId="21" fillId="26" xfId="0" applyNumberFormat="1" applyFont="1" applyFill="1" applyBorder="0" applyAlignment="1">
      <x:alignment vertical="top" wrapText="1"/>
    </x:xf>
    <x:xf numFmtId="0" fontId="21" fillId="26" borderId="40" xfId="0" applyNumberFormat="1" applyFont="1" applyFill="1" applyBorder="1" applyAlignment="1">
      <x:alignment vertical="top" wrapText="1"/>
    </x:xf>
    <x:xf numFmtId="0" fontId="21" fillId="26" borderId="41" xfId="0" applyNumberFormat="1" applyFont="1" applyFill="1" applyBorder="1" applyAlignment="1">
      <x:alignment vertical="top" wrapText="1"/>
    </x:xf>
    <x:xf numFmtId="0" fontId="21" fillId="26" borderId="42" xfId="0" applyNumberFormat="1" applyFont="1" applyFill="1" applyBorder="1" applyAlignment="1">
      <x:alignment vertical="top" wrapText="1"/>
    </x:xf>
    <x:xf numFmtId="0" fontId="21" fillId="26" borderId="43" xfId="0" applyNumberFormat="1" applyFont="1" applyFill="1" applyBorder="1" applyAlignment="1">
      <x:alignment vertical="top" wrapText="1"/>
    </x:xf>
    <x:xf numFmtId="0" fontId="6" fillId="23" borderId="0" xfId="0" applyNumberFormat="1" applyFont="1" applyFill="1" applyBorder="1"/>
    <x:xf numFmtId="0" fontId="6" fillId="23" borderId="30" xfId="0" applyNumberFormat="1" applyFont="1" applyFill="1" applyBorder="1"/>
    <x:xf numFmtId="0" fontId="6" fillId="23" borderId="31" xfId="0" applyNumberFormat="1" applyFont="1" applyFill="1" applyBorder="1"/>
    <x:xf numFmtId="0" fontId="6" fillId="23" borderId="32" xfId="0" applyNumberFormat="1" applyFont="1" applyFill="1" applyBorder="1"/>
    <x:xf numFmtId="0" fontId="6" fillId="23" borderId="44" xfId="0" applyNumberFormat="1" applyFont="1" applyFill="1" applyBorder="1"/>
    <x:xf numFmtId="0" fontId="6" fillId="23" xfId="0" applyNumberFormat="1" applyFont="1" applyFill="1" applyBorder="0"/>
    <x:xf numFmtId="0" fontId="6" fillId="23" borderId="45" xfId="0" applyNumberFormat="1" applyFont="1" applyFill="1" applyBorder="1"/>
    <x:xf numFmtId="0" fontId="6" fillId="23" borderId="33" xfId="0" applyNumberFormat="1" applyFont="1" applyFill="1" applyBorder="1"/>
    <x:xf numFmtId="0" fontId="6" fillId="23" borderId="34" xfId="0" applyNumberFormat="1" applyFont="1" applyFill="1" applyBorder="1"/>
    <x:xf numFmtId="0" fontId="6" fillId="23" borderId="35" xfId="0" applyNumberFormat="1" applyFont="1" applyFill="1" applyBorder="1"/>
    <x:xf numFmtId="0" fontId="6" fillId="23" borderId="30" xfId="0" applyNumberFormat="1" applyFont="1" applyFill="1" applyBorder="1" applyAlignment="1">
      <x:alignment wrapText="1"/>
    </x:xf>
    <x:xf numFmtId="0" fontId="6" fillId="23" borderId="31" xfId="0" applyNumberFormat="1" applyFont="1" applyFill="1" applyBorder="1" applyAlignment="1">
      <x:alignment wrapText="1"/>
    </x:xf>
    <x:xf numFmtId="0" fontId="6" fillId="23" borderId="32" xfId="0" applyNumberFormat="1" applyFont="1" applyFill="1" applyBorder="1" applyAlignment="1">
      <x:alignment wrapText="1"/>
    </x:xf>
    <x:xf numFmtId="0" fontId="6" fillId="23" borderId="44" xfId="0" applyNumberFormat="1" applyFont="1" applyFill="1" applyBorder="1" applyAlignment="1">
      <x:alignment wrapText="1"/>
    </x:xf>
    <x:xf numFmtId="0" fontId="6" fillId="23" xfId="0" applyNumberFormat="1" applyFont="1" applyFill="1" applyBorder="0" applyAlignment="1">
      <x:alignment wrapText="1"/>
    </x:xf>
    <x:xf numFmtId="0" fontId="6" fillId="23" borderId="45" xfId="0" applyNumberFormat="1" applyFont="1" applyFill="1" applyBorder="1" applyAlignment="1">
      <x:alignment wrapText="1"/>
    </x:xf>
    <x:xf numFmtId="0" fontId="6" fillId="23" borderId="33" xfId="0" applyNumberFormat="1" applyFont="1" applyFill="1" applyBorder="1" applyAlignment="1">
      <x:alignment wrapText="1"/>
    </x:xf>
    <x:xf numFmtId="0" fontId="6" fillId="23" borderId="34" xfId="0" applyNumberFormat="1" applyFont="1" applyFill="1" applyBorder="1" applyAlignment="1">
      <x:alignment wrapText="1"/>
    </x:xf>
    <x:xf numFmtId="0" fontId="6" fillId="23" borderId="35" xfId="0" applyNumberFormat="1" applyFont="1" applyFill="1" applyBorder="1" applyAlignment="1">
      <x:alignment wrapText="1"/>
    </x:xf>
    <x:xf numFmtId="0" fontId="6" fillId="23" borderId="30" xfId="0" applyNumberFormat="1" applyFont="1" applyFill="1" applyBorder="1" applyAlignment="1">
      <x:alignment horizontal="center" wrapText="1"/>
    </x:xf>
    <x:xf numFmtId="0" fontId="6" fillId="23" borderId="31" xfId="0" applyNumberFormat="1" applyFont="1" applyFill="1" applyBorder="1" applyAlignment="1">
      <x:alignment horizontal="center" wrapText="1"/>
    </x:xf>
    <x:xf numFmtId="0" fontId="6" fillId="23" borderId="32" xfId="0" applyNumberFormat="1" applyFont="1" applyFill="1" applyBorder="1" applyAlignment="1">
      <x:alignment horizontal="center" wrapText="1"/>
    </x:xf>
    <x:xf numFmtId="0" fontId="6" fillId="23" borderId="44" xfId="0" applyNumberFormat="1" applyFont="1" applyFill="1" applyBorder="1" applyAlignment="1">
      <x:alignment horizontal="center" wrapText="1"/>
    </x:xf>
    <x:xf numFmtId="0" fontId="6" fillId="23" xfId="0" applyNumberFormat="1" applyFont="1" applyFill="1" applyBorder="0" applyAlignment="1">
      <x:alignment horizontal="center" wrapText="1"/>
    </x:xf>
    <x:xf numFmtId="0" fontId="6" fillId="23" borderId="45" xfId="0" applyNumberFormat="1" applyFont="1" applyFill="1" applyBorder="1" applyAlignment="1">
      <x:alignment horizontal="center" wrapText="1"/>
    </x:xf>
    <x:xf numFmtId="0" fontId="6" fillId="23" borderId="33" xfId="0" applyNumberFormat="1" applyFont="1" applyFill="1" applyBorder="1" applyAlignment="1">
      <x:alignment horizontal="center" wrapText="1"/>
    </x:xf>
    <x:xf numFmtId="0" fontId="6" fillId="23" borderId="34" xfId="0" applyNumberFormat="1" applyFont="1" applyFill="1" applyBorder="1" applyAlignment="1">
      <x:alignment horizontal="center" wrapText="1"/>
    </x:xf>
    <x:xf numFmtId="0" fontId="6" fillId="23" borderId="35" xfId="0" applyNumberFormat="1" applyFont="1" applyFill="1" applyBorder="1" applyAlignment="1">
      <x:alignment horizontal="center" wrapText="1"/>
    </x:xf>
    <x:xf numFmtId="0" fontId="6" fillId="23" borderId="30" xfId="0" applyNumberFormat="1" applyFont="1" applyFill="1" applyBorder="1" applyAlignment="1">
      <x:alignment horizontal="center" vertical="center" wrapText="1"/>
    </x:xf>
    <x:xf numFmtId="0" fontId="6" fillId="23" borderId="31" xfId="0" applyNumberFormat="1" applyFont="1" applyFill="1" applyBorder="1" applyAlignment="1">
      <x:alignment horizontal="center" vertical="center" wrapText="1"/>
    </x:xf>
    <x:xf numFmtId="0" fontId="6" fillId="23" borderId="32" xfId="0" applyNumberFormat="1" applyFont="1" applyFill="1" applyBorder="1" applyAlignment="1">
      <x:alignment horizontal="center" vertical="center" wrapText="1"/>
    </x:xf>
    <x:xf numFmtId="0" fontId="6" fillId="23" borderId="44" xfId="0" applyNumberFormat="1" applyFont="1" applyFill="1" applyBorder="1" applyAlignment="1">
      <x:alignment horizontal="center" vertical="center" wrapText="1"/>
    </x:xf>
    <x:xf numFmtId="0" fontId="6" fillId="23" xfId="0" applyNumberFormat="1" applyFont="1" applyFill="1" applyBorder="0" applyAlignment="1">
      <x:alignment horizontal="center" vertical="center" wrapText="1"/>
    </x:xf>
    <x:xf numFmtId="0" fontId="6" fillId="23" borderId="45" xfId="0" applyNumberFormat="1" applyFont="1" applyFill="1" applyBorder="1" applyAlignment="1">
      <x:alignment horizontal="center" vertical="center" wrapText="1"/>
    </x:xf>
    <x:xf numFmtId="0" fontId="6" fillId="23" borderId="33" xfId="0" applyNumberFormat="1" applyFont="1" applyFill="1" applyBorder="1" applyAlignment="1">
      <x:alignment horizontal="center" vertical="center" wrapText="1"/>
    </x:xf>
    <x:xf numFmtId="0" fontId="6" fillId="23" borderId="34" xfId="0" applyNumberFormat="1" applyFont="1" applyFill="1" applyBorder="1" applyAlignment="1">
      <x:alignment horizontal="center" vertical="center" wrapText="1"/>
    </x:xf>
    <x:xf numFmtId="0" fontId="6" fillId="23" borderId="35" xfId="0" applyNumberFormat="1" applyFont="1" applyFill="1" applyBorder="1" applyAlignment="1">
      <x:alignment horizontal="center" vertical="center" wrapText="1"/>
    </x:xf>
    <x:xf numFmtId="0" fontId="0" fillId="33" borderId="0" xfId="0" applyNumberFormat="1" applyFont="1" applyFill="1" applyBorder="1"/>
    <x:xf numFmtId="0" fontId="22" fillId="33" borderId="0" xfId="0" applyNumberFormat="1" applyFont="1" applyFill="1" applyBorder="1"/>
    <x:xf numFmtId="0" fontId="22" fillId="33" borderId="0" xfId="0" applyNumberFormat="1" applyFont="1" applyFill="1" applyBorder="1" applyAlignment="1">
      <x:alignment horizontal="left"/>
    </x:xf>
    <x:xf numFmtId="0" fontId="22" fillId="33" borderId="0" xfId="0" applyNumberFormat="1" applyFont="1" applyFill="1" applyBorder="1" applyAlignment="1">
      <x:alignment horizontal="left" vertical="center"/>
    </x:xf>
    <x:xf numFmtId="0" fontId="0" fillId="34" borderId="0" xfId="0" applyNumberFormat="1" applyFont="1" applyFill="1" applyBorder="1"/>
    <x:xf numFmtId="0" fontId="2" fillId="34" borderId="0" xfId="0" applyNumberFormat="1" applyFont="1" applyFill="1" applyBorder="1"/>
    <x:xf numFmtId="0" fontId="2" fillId="34" borderId="0" xfId="0" applyNumberFormat="1" applyFont="1" applyFill="1" applyBorder="1" applyAlignment="1">
      <x:alignment wrapText="1"/>
    </x:xf>
    <x:xf numFmtId="0" fontId="2" fillId="34" borderId="0" xfId="0" applyNumberFormat="1" applyFont="1" applyFill="1" applyBorder="1" applyAlignment="1">
      <x:alignment vertical="center" wrapText="1"/>
    </x:xf>
    <x:xf numFmtId="0" fontId="0" fillId="35" borderId="0" xfId="0" applyNumberFormat="1" applyFont="1" applyFill="1" applyBorder="1"/>
    <x:xf numFmtId="0" fontId="23" fillId="35" borderId="0" xfId="0" applyNumberFormat="1" applyFont="1" applyFill="1" applyBorder="1"/>
    <x:xf numFmtId="0" fontId="23" fillId="35" borderId="46" xfId="0" applyNumberFormat="1" applyFont="1" applyFill="1" applyBorder="1"/>
    <x:xf numFmtId="0" fontId="23" fillId="35" borderId="47" xfId="0" applyNumberFormat="1" applyFont="1" applyFill="1" applyBorder="1"/>
    <x:xf numFmtId="0" fontId="23" fillId="35" borderId="48" xfId="0" applyNumberFormat="1" applyFont="1" applyFill="1" applyBorder="1"/>
    <x:xf numFmtId="0" fontId="23" fillId="35" borderId="46" xfId="0" applyNumberFormat="1" applyFont="1" applyFill="1" applyBorder="1" applyAlignment="1">
      <x:alignment horizontal="left"/>
    </x:xf>
    <x:xf numFmtId="0" fontId="23" fillId="35" borderId="47" xfId="0" applyNumberFormat="1" applyFont="1" applyFill="1" applyBorder="1" applyAlignment="1">
      <x:alignment horizontal="left"/>
    </x:xf>
    <x:xf numFmtId="0" fontId="23" fillId="35" borderId="48" xfId="0" applyNumberFormat="1" applyFont="1" applyFill="1" applyBorder="1" applyAlignment="1">
      <x:alignment horizontal="left"/>
    </x:xf>
    <x:xf numFmtId="0" fontId="23" fillId="35" borderId="46" xfId="0" applyNumberFormat="1" applyFont="1" applyFill="1" applyBorder="1" applyAlignment="1">
      <x:alignment horizontal="left" vertical="center"/>
    </x:xf>
    <x:xf numFmtId="0" fontId="23" fillId="35" borderId="47" xfId="0" applyNumberFormat="1" applyFont="1" applyFill="1" applyBorder="1" applyAlignment="1">
      <x:alignment horizontal="left" vertical="center"/>
    </x:xf>
    <x:xf numFmtId="0" fontId="23" fillId="35" borderId="48" xfId="0" applyNumberFormat="1" applyFont="1" applyFill="1" applyBorder="1" applyAlignment="1">
      <x:alignment horizontal="left" vertical="center"/>
    </x:xf>
    <x:xf numFmtId="0" fontId="0" fillId="36" borderId="0" xfId="0" applyNumberFormat="1" applyFont="1" applyFill="1" applyBorder="1"/>
    <x:xf numFmtId="0" fontId="14" fillId="36" borderId="0" xfId="0" applyNumberFormat="1" applyFont="1" applyFill="1" applyBorder="1"/>
    <x:xf numFmtId="0" fontId="14" fillId="36" borderId="49" xfId="0" applyNumberFormat="1" applyFont="1" applyFill="1" applyBorder="1"/>
    <x:xf numFmtId="0" fontId="14" fillId="36" borderId="49" xfId="0" applyNumberFormat="1" applyFont="1" applyFill="1" applyBorder="1" applyAlignment="1">
      <x:alignment wrapText="1"/>
    </x:xf>
    <x:xf numFmtId="0" fontId="14" fillId="36" borderId="49" xfId="0" applyNumberFormat="1" applyFont="1" applyFill="1" applyBorder="1" applyAlignment="1">
      <x:alignment horizontal="center" wrapText="1"/>
    </x:xf>
    <x:xf numFmtId="0" fontId="14" fillId="36" borderId="49" xfId="0" applyNumberFormat="1" applyFont="1" applyFill="1" applyBorder="1" applyAlignment="1">
      <x:alignment horizontal="center" vertical="center" wrapText="1"/>
    </x:xf>
    <x:xf numFmtId="0" fontId="24" fillId="0" borderId="0" xfId="0" applyNumberFormat="1" applyFont="1" applyFill="1" applyBorder="1"/>
    <x:xf numFmtId="0" fontId="24" fillId="0" borderId="14" xfId="0" applyNumberFormat="1" applyFont="1" applyFill="1" applyBorder="1"/>
    <x:xf numFmtId="0" fontId="24" fillId="0" borderId="14" xfId="0" applyNumberFormat="1" applyFont="1" applyFill="1" applyBorder="1" applyAlignment="1">
      <x:alignment wrapText="1"/>
    </x:xf>
    <x:xf numFmtId="0" fontId="24" fillId="0" borderId="14" xfId="0" applyNumberFormat="1" applyFont="1" applyFill="1" applyBorder="1" applyAlignment="1">
      <x:alignment vertical="center" wrapText="1"/>
    </x:xf>
    <x:xf numFmtId="0" fontId="25" fillId="0" borderId="14" xfId="0" applyNumberFormat="1" applyFont="1" applyFill="1" applyBorder="1" applyAlignment="1">
      <x:alignment vertical="center" wrapText="1"/>
    </x:xf>
    <x:xf numFmtId="219" fontId="25" fillId="0" borderId="14" xfId="0" applyNumberFormat="1" applyFont="1" applyFill="1" applyBorder="1" applyAlignment="1">
      <x:alignment vertical="center" wrapText="1"/>
    </x:xf>
    <x:xf numFmtId="220" fontId="25" fillId="0" borderId="14" xfId="0" applyNumberFormat="1" applyFont="1" applyFill="1" applyBorder="1" applyAlignment="1">
      <x:alignment vertical="center" wrapText="1"/>
    </x:xf>
    <x:xf numFmtId="221" fontId="25" fillId="0" borderId="14" xfId="0" applyNumberFormat="1" applyFont="1" applyFill="1" applyBorder="1" applyAlignment="1">
      <x:alignment vertical="center" wrapText="1"/>
    </x:xf>
    <x:xf numFmtId="0" fontId="16" fillId="0" borderId="14" xfId="0" applyNumberFormat="1" applyFont="1" applyFill="1" applyBorder="1" applyAlignment="1">
      <x:alignment vertical="center" wrapText="1"/>
    </x:xf>
    <x:xf numFmtId="219" fontId="16" fillId="0" borderId="14" xfId="0" applyNumberFormat="1" applyFont="1" applyFill="1" applyBorder="1" applyAlignment="1">
      <x:alignment vertical="center" wrapText="1"/>
    </x:xf>
    <x:xf numFmtId="220" fontId="16" fillId="0" borderId="14" xfId="0" applyNumberFormat="1" applyFont="1" applyFill="1" applyBorder="1" applyAlignment="1">
      <x:alignment vertical="center" wrapText="1"/>
    </x:xf>
    <x:xf numFmtId="221" fontId="16" fillId="0" borderId="14" xfId="0" applyNumberFormat="1" applyFont="1" applyFill="1" applyBorder="1" applyAlignment="1">
      <x:alignment vertical="center" wrapText="1"/>
    </x:xf>
    <x:xf numFmtId="0" fontId="16" fillId="37" borderId="14" xfId="0" applyNumberFormat="1" applyFont="1" applyFill="1" applyBorder="1" applyAlignment="1">
      <x:alignment vertical="center" wrapText="1"/>
    </x:xf>
    <x:xf numFmtId="0" fontId="0" fillId="38" borderId="0" xfId="0" applyNumberFormat="1" applyFont="1" applyFill="1" applyBorder="1"/>
    <x:xf numFmtId="0" fontId="26" fillId="38" borderId="0" xfId="0" applyNumberFormat="1" applyFont="1" applyFill="1" applyBorder="1"/>
    <x:xf numFmtId="0" fontId="26" fillId="38" borderId="50" xfId="0" applyNumberFormat="1" applyFont="1" applyFill="1" applyBorder="1"/>
    <x:xf numFmtId="0" fontId="26" fillId="38" borderId="51" xfId="0" applyNumberFormat="1" applyFont="1" applyFill="1" applyBorder="1"/>
    <x:xf numFmtId="0" fontId="26" fillId="38" borderId="52" xfId="0" applyNumberFormat="1" applyFont="1" applyFill="1" applyBorder="1"/>
    <x:xf numFmtId="0" fontId="26" fillId="38" borderId="53" xfId="0" applyNumberFormat="1" applyFont="1" applyFill="1" applyBorder="1"/>
    <x:xf numFmtId="0" fontId="26" fillId="38" xfId="0" applyNumberFormat="1" applyFont="1" applyFill="1" applyBorder="0"/>
    <x:xf numFmtId="0" fontId="26" fillId="38" borderId="54" xfId="0" applyNumberFormat="1" applyFont="1" applyFill="1" applyBorder="1"/>
    <x:xf numFmtId="0" fontId="26" fillId="38" borderId="55" xfId="0" applyNumberFormat="1" applyFont="1" applyFill="1" applyBorder="1"/>
    <x:xf numFmtId="0" fontId="26" fillId="38" borderId="56" xfId="0" applyNumberFormat="1" applyFont="1" applyFill="1" applyBorder="1"/>
    <x:xf numFmtId="0" fontId="26" fillId="38" borderId="57" xfId="0" applyNumberFormat="1" applyFont="1" applyFill="1" applyBorder="1"/>
    <x:xf numFmtId="0" fontId="26" fillId="38" borderId="50" xfId="0" applyNumberFormat="1" applyFont="1" applyFill="1" applyBorder="1" applyAlignment="1">
      <x:alignment wrapText="1"/>
    </x:xf>
    <x:xf numFmtId="0" fontId="26" fillId="38" borderId="51" xfId="0" applyNumberFormat="1" applyFont="1" applyFill="1" applyBorder="1" applyAlignment="1">
      <x:alignment wrapText="1"/>
    </x:xf>
    <x:xf numFmtId="0" fontId="26" fillId="38" borderId="52" xfId="0" applyNumberFormat="1" applyFont="1" applyFill="1" applyBorder="1" applyAlignment="1">
      <x:alignment wrapText="1"/>
    </x:xf>
    <x:xf numFmtId="0" fontId="26" fillId="38" borderId="53" xfId="0" applyNumberFormat="1" applyFont="1" applyFill="1" applyBorder="1" applyAlignment="1">
      <x:alignment wrapText="1"/>
    </x:xf>
    <x:xf numFmtId="0" fontId="26" fillId="38" xfId="0" applyNumberFormat="1" applyFont="1" applyFill="1" applyBorder="0" applyAlignment="1">
      <x:alignment wrapText="1"/>
    </x:xf>
    <x:xf numFmtId="0" fontId="26" fillId="38" borderId="54" xfId="0" applyNumberFormat="1" applyFont="1" applyFill="1" applyBorder="1" applyAlignment="1">
      <x:alignment wrapText="1"/>
    </x:xf>
    <x:xf numFmtId="0" fontId="26" fillId="38" borderId="55" xfId="0" applyNumberFormat="1" applyFont="1" applyFill="1" applyBorder="1" applyAlignment="1">
      <x:alignment wrapText="1"/>
    </x:xf>
    <x:xf numFmtId="0" fontId="26" fillId="38" borderId="56" xfId="0" applyNumberFormat="1" applyFont="1" applyFill="1" applyBorder="1" applyAlignment="1">
      <x:alignment wrapText="1"/>
    </x:xf>
    <x:xf numFmtId="0" fontId="26" fillId="38" borderId="57" xfId="0" applyNumberFormat="1" applyFont="1" applyFill="1" applyBorder="1" applyAlignment="1">
      <x:alignment wrapText="1"/>
    </x:xf>
    <x:xf numFmtId="0" fontId="26" fillId="38" borderId="50" xfId="0" applyNumberFormat="1" applyFont="1" applyFill="1" applyBorder="1" applyAlignment="1">
      <x:alignment horizontal="left" wrapText="1"/>
    </x:xf>
    <x:xf numFmtId="0" fontId="26" fillId="38" borderId="51" xfId="0" applyNumberFormat="1" applyFont="1" applyFill="1" applyBorder="1" applyAlignment="1">
      <x:alignment horizontal="left" wrapText="1"/>
    </x:xf>
    <x:xf numFmtId="0" fontId="26" fillId="38" borderId="52" xfId="0" applyNumberFormat="1" applyFont="1" applyFill="1" applyBorder="1" applyAlignment="1">
      <x:alignment horizontal="left" wrapText="1"/>
    </x:xf>
    <x:xf numFmtId="0" fontId="26" fillId="38" borderId="53" xfId="0" applyNumberFormat="1" applyFont="1" applyFill="1" applyBorder="1" applyAlignment="1">
      <x:alignment horizontal="left" wrapText="1"/>
    </x:xf>
    <x:xf numFmtId="0" fontId="26" fillId="38" xfId="0" applyNumberFormat="1" applyFont="1" applyFill="1" applyBorder="0" applyAlignment="1">
      <x:alignment horizontal="left" wrapText="1"/>
    </x:xf>
    <x:xf numFmtId="0" fontId="26" fillId="38" borderId="54" xfId="0" applyNumberFormat="1" applyFont="1" applyFill="1" applyBorder="1" applyAlignment="1">
      <x:alignment horizontal="left" wrapText="1"/>
    </x:xf>
    <x:xf numFmtId="0" fontId="26" fillId="38" borderId="55" xfId="0" applyNumberFormat="1" applyFont="1" applyFill="1" applyBorder="1" applyAlignment="1">
      <x:alignment horizontal="left" wrapText="1"/>
    </x:xf>
    <x:xf numFmtId="0" fontId="26" fillId="38" borderId="56" xfId="0" applyNumberFormat="1" applyFont="1" applyFill="1" applyBorder="1" applyAlignment="1">
      <x:alignment horizontal="left" wrapText="1"/>
    </x:xf>
    <x:xf numFmtId="0" fontId="26" fillId="38" borderId="57" xfId="0" applyNumberFormat="1" applyFont="1" applyFill="1" applyBorder="1" applyAlignment="1">
      <x:alignment horizontal="left" wrapText="1"/>
    </x:xf>
    <x:xf numFmtId="0" fontId="26" fillId="38" borderId="50" xfId="0" applyNumberFormat="1" applyFont="1" applyFill="1" applyBorder="1" applyAlignment="1">
      <x:alignment horizontal="left" vertical="center" wrapText="1"/>
    </x:xf>
    <x:xf numFmtId="0" fontId="26" fillId="38" borderId="51" xfId="0" applyNumberFormat="1" applyFont="1" applyFill="1" applyBorder="1" applyAlignment="1">
      <x:alignment horizontal="left" vertical="center" wrapText="1"/>
    </x:xf>
    <x:xf numFmtId="0" fontId="26" fillId="38" borderId="52" xfId="0" applyNumberFormat="1" applyFont="1" applyFill="1" applyBorder="1" applyAlignment="1">
      <x:alignment horizontal="left" vertical="center" wrapText="1"/>
    </x:xf>
    <x:xf numFmtId="0" fontId="26" fillId="38" borderId="53" xfId="0" applyNumberFormat="1" applyFont="1" applyFill="1" applyBorder="1" applyAlignment="1">
      <x:alignment horizontal="left" vertical="center" wrapText="1"/>
    </x:xf>
    <x:xf numFmtId="0" fontId="26" fillId="38" xfId="0" applyNumberFormat="1" applyFont="1" applyFill="1" applyBorder="0" applyAlignment="1">
      <x:alignment horizontal="left" vertical="center" wrapText="1"/>
    </x:xf>
    <x:xf numFmtId="0" fontId="26" fillId="38" borderId="54" xfId="0" applyNumberFormat="1" applyFont="1" applyFill="1" applyBorder="1" applyAlignment="1">
      <x:alignment horizontal="left" vertical="center" wrapText="1"/>
    </x:xf>
    <x:xf numFmtId="0" fontId="26" fillId="38" borderId="55" xfId="0" applyNumberFormat="1" applyFont="1" applyFill="1" applyBorder="1" applyAlignment="1">
      <x:alignment horizontal="left" vertical="center" wrapText="1"/>
    </x:xf>
    <x:xf numFmtId="0" fontId="26" fillId="38" borderId="56" xfId="0" applyNumberFormat="1" applyFont="1" applyFill="1" applyBorder="1" applyAlignment="1">
      <x:alignment horizontal="left" vertical="center" wrapText="1"/>
    </x:xf>
    <x:xf numFmtId="0" fontId="26" fillId="38" borderId="57" xfId="0" applyNumberFormat="1" applyFont="1" applyFill="1" applyBorder="1" applyAlignment="1">
      <x:alignment horizontal="left" vertical="center" wrapText="1"/>
    </x:xf>
    <x:xf numFmtId="0" fontId="24" fillId="0" borderId="14" xfId="0" applyNumberFormat="1" applyFont="1" applyFill="1" applyBorder="1" applyAlignment="1">
      <x:alignment horizontal="center" vertical="center" wrapText="1"/>
    </x:xf>
    <x:xf numFmtId="0" fontId="24" fillId="37" borderId="14" xfId="0" applyNumberFormat="1" applyFont="1" applyFill="1" applyBorder="1" applyAlignment="1">
      <x:alignment vertical="center" wrapText="1"/>
    </x:xf>
    <x:xf numFmtId="0" fontId="27" fillId="37" borderId="14" xfId="0" applyNumberFormat="1" applyFont="1" applyFill="1" applyBorder="1" applyAlignment="1">
      <x:alignment vertical="center" wrapText="1"/>
    </x:xf>
    <x:xf numFmtId="0" fontId="0" fillId="39" borderId="0" xfId="0" applyNumberFormat="1" applyFont="1" applyFill="1" applyBorder="1"/>
    <x:xf numFmtId="0" fontId="24" fillId="39" borderId="0" xfId="0" applyNumberFormat="1" applyFont="1" applyFill="1" applyBorder="1"/>
    <x:xf numFmtId="0" fontId="24" fillId="39" borderId="58" xfId="0" applyNumberFormat="1" applyFont="1" applyFill="1" applyBorder="1"/>
    <x:xf numFmtId="0" fontId="24" fillId="39" borderId="59" xfId="0" applyNumberFormat="1" applyFont="1" applyFill="1" applyBorder="1"/>
    <x:xf numFmtId="0" fontId="24" fillId="39" borderId="60" xfId="0" applyNumberFormat="1" applyFont="1" applyFill="1" applyBorder="1"/>
    <x:xf numFmtId="0" fontId="24" fillId="39" borderId="61" xfId="0" applyNumberFormat="1" applyFont="1" applyFill="1" applyBorder="1"/>
    <x:xf numFmtId="0" fontId="24" fillId="39" xfId="0" applyNumberFormat="1" applyFont="1" applyFill="1" applyBorder="0"/>
    <x:xf numFmtId="0" fontId="24" fillId="39" borderId="62" xfId="0" applyNumberFormat="1" applyFont="1" applyFill="1" applyBorder="1"/>
    <x:xf numFmtId="0" fontId="24" fillId="39" borderId="63" xfId="0" applyNumberFormat="1" applyFont="1" applyFill="1" applyBorder="1"/>
    <x:xf numFmtId="0" fontId="24" fillId="39" borderId="64" xfId="0" applyNumberFormat="1" applyFont="1" applyFill="1" applyBorder="1"/>
    <x:xf numFmtId="0" fontId="24" fillId="39" borderId="65" xfId="0" applyNumberFormat="1" applyFont="1" applyFill="1" applyBorder="1"/>
    <x:xf numFmtId="0" fontId="24" fillId="39" borderId="58" xfId="0" applyNumberFormat="1" applyFont="1" applyFill="1" applyBorder="1" applyAlignment="1">
      <x:alignment wrapText="1"/>
    </x:xf>
    <x:xf numFmtId="0" fontId="24" fillId="39" borderId="59" xfId="0" applyNumberFormat="1" applyFont="1" applyFill="1" applyBorder="1" applyAlignment="1">
      <x:alignment wrapText="1"/>
    </x:xf>
    <x:xf numFmtId="0" fontId="24" fillId="39" borderId="60" xfId="0" applyNumberFormat="1" applyFont="1" applyFill="1" applyBorder="1" applyAlignment="1">
      <x:alignment wrapText="1"/>
    </x:xf>
    <x:xf numFmtId="0" fontId="24" fillId="39" borderId="61" xfId="0" applyNumberFormat="1" applyFont="1" applyFill="1" applyBorder="1" applyAlignment="1">
      <x:alignment wrapText="1"/>
    </x:xf>
    <x:xf numFmtId="0" fontId="24" fillId="39" xfId="0" applyNumberFormat="1" applyFont="1" applyFill="1" applyBorder="0" applyAlignment="1">
      <x:alignment wrapText="1"/>
    </x:xf>
    <x:xf numFmtId="0" fontId="24" fillId="39" borderId="62" xfId="0" applyNumberFormat="1" applyFont="1" applyFill="1" applyBorder="1" applyAlignment="1">
      <x:alignment wrapText="1"/>
    </x:xf>
    <x:xf numFmtId="0" fontId="24" fillId="39" borderId="63" xfId="0" applyNumberFormat="1" applyFont="1" applyFill="1" applyBorder="1" applyAlignment="1">
      <x:alignment wrapText="1"/>
    </x:xf>
    <x:xf numFmtId="0" fontId="24" fillId="39" borderId="64" xfId="0" applyNumberFormat="1" applyFont="1" applyFill="1" applyBorder="1" applyAlignment="1">
      <x:alignment wrapText="1"/>
    </x:xf>
    <x:xf numFmtId="0" fontId="24" fillId="39" borderId="65" xfId="0" applyNumberFormat="1" applyFont="1" applyFill="1" applyBorder="1" applyAlignment="1">
      <x:alignment wrapText="1"/>
    </x:xf>
    <x:xf numFmtId="0" fontId="24" fillId="39" borderId="58" xfId="0" applyNumberFormat="1" applyFont="1" applyFill="1" applyBorder="1" applyAlignment="1">
      <x:alignment vertical="center" wrapText="1"/>
    </x:xf>
    <x:xf numFmtId="0" fontId="24" fillId="39" borderId="59" xfId="0" applyNumberFormat="1" applyFont="1" applyFill="1" applyBorder="1" applyAlignment="1">
      <x:alignment vertical="center" wrapText="1"/>
    </x:xf>
    <x:xf numFmtId="0" fontId="24" fillId="39" borderId="60" xfId="0" applyNumberFormat="1" applyFont="1" applyFill="1" applyBorder="1" applyAlignment="1">
      <x:alignment vertical="center" wrapText="1"/>
    </x:xf>
    <x:xf numFmtId="0" fontId="24" fillId="39" borderId="61" xfId="0" applyNumberFormat="1" applyFont="1" applyFill="1" applyBorder="1" applyAlignment="1">
      <x:alignment vertical="center" wrapText="1"/>
    </x:xf>
    <x:xf numFmtId="0" fontId="24" fillId="39" xfId="0" applyNumberFormat="1" applyFont="1" applyFill="1" applyBorder="0" applyAlignment="1">
      <x:alignment vertical="center" wrapText="1"/>
    </x:xf>
    <x:xf numFmtId="0" fontId="24" fillId="39" borderId="62" xfId="0" applyNumberFormat="1" applyFont="1" applyFill="1" applyBorder="1" applyAlignment="1">
      <x:alignment vertical="center" wrapText="1"/>
    </x:xf>
    <x:xf numFmtId="0" fontId="24" fillId="39" borderId="63" xfId="0" applyNumberFormat="1" applyFont="1" applyFill="1" applyBorder="1" applyAlignment="1">
      <x:alignment vertical="center" wrapText="1"/>
    </x:xf>
    <x:xf numFmtId="0" fontId="24" fillId="39" borderId="64" xfId="0" applyNumberFormat="1" applyFont="1" applyFill="1" applyBorder="1" applyAlignment="1">
      <x:alignment vertical="center" wrapText="1"/>
    </x:xf>
    <x:xf numFmtId="0" fontId="24" fillId="39" borderId="65" xfId="0" applyNumberFormat="1" applyFont="1" applyFill="1" applyBorder="1" applyAlignment="1">
      <x:alignment vertical="center" wrapText="1"/>
    </x:xf>
    <x:xf numFmtId="0" fontId="1" fillId="33" borderId="0" xfId="0" applyNumberFormat="1" applyFont="1" applyFill="1" applyBorder="1"/>
    <x:xf numFmtId="0" fontId="1" fillId="33" borderId="0" xfId="0" applyNumberFormat="1" applyFont="1" applyFill="1" applyBorder="1" applyAlignment="1">
      <x:alignment vertical="center"/>
    </x:xf>
    <x:xf numFmtId="205" fontId="24" fillId="0" borderId="14" xfId="0" applyNumberFormat="1" applyFont="1" applyFill="1" applyBorder="1" applyAlignment="1">
      <x:alignment vertical="center" wrapText="1"/>
    </x:xf>
    <x:xf numFmtId="0" fontId="0" fillId="37" borderId="0" xfId="0" applyNumberFormat="1" applyFont="1" applyFill="1" applyBorder="1"/>
    <x:xf numFmtId="0" fontId="19" fillId="37" borderId="0" xfId="0" applyNumberFormat="1" applyFont="1" applyFill="1" applyBorder="1"/>
    <x:xf numFmtId="0" fontId="19" fillId="37" borderId="30" xfId="0" applyNumberFormat="1" applyFont="1" applyFill="1" applyBorder="1"/>
    <x:xf numFmtId="0" fontId="19" fillId="37" borderId="31" xfId="0" applyNumberFormat="1" applyFont="1" applyFill="1" applyBorder="1"/>
    <x:xf numFmtId="0" fontId="19" fillId="37" borderId="32" xfId="0" applyNumberFormat="1" applyFont="1" applyFill="1" applyBorder="1"/>
    <x:xf numFmtId="0" fontId="19" fillId="37" borderId="33" xfId="0" applyNumberFormat="1" applyFont="1" applyFill="1" applyBorder="1"/>
    <x:xf numFmtId="0" fontId="19" fillId="37" borderId="34" xfId="0" applyNumberFormat="1" applyFont="1" applyFill="1" applyBorder="1"/>
    <x:xf numFmtId="0" fontId="19" fillId="37" borderId="35" xfId="0" applyNumberFormat="1" applyFont="1" applyFill="1" applyBorder="1"/>
    <x:xf numFmtId="0" fontId="19" fillId="37" borderId="30" xfId="0" applyNumberFormat="1" applyFont="1" applyFill="1" applyBorder="1" applyAlignment="1">
      <x:alignment wrapText="1"/>
    </x:xf>
    <x:xf numFmtId="0" fontId="19" fillId="37" borderId="31" xfId="0" applyNumberFormat="1" applyFont="1" applyFill="1" applyBorder="1" applyAlignment="1">
      <x:alignment wrapText="1"/>
    </x:xf>
    <x:xf numFmtId="0" fontId="19" fillId="37" borderId="32" xfId="0" applyNumberFormat="1" applyFont="1" applyFill="1" applyBorder="1" applyAlignment="1">
      <x:alignment wrapText="1"/>
    </x:xf>
    <x:xf numFmtId="0" fontId="19" fillId="37" borderId="33" xfId="0" applyNumberFormat="1" applyFont="1" applyFill="1" applyBorder="1" applyAlignment="1">
      <x:alignment wrapText="1"/>
    </x:xf>
    <x:xf numFmtId="0" fontId="19" fillId="37" borderId="34" xfId="0" applyNumberFormat="1" applyFont="1" applyFill="1" applyBorder="1" applyAlignment="1">
      <x:alignment wrapText="1"/>
    </x:xf>
    <x:xf numFmtId="0" fontId="19" fillId="37" borderId="35" xfId="0" applyNumberFormat="1" applyFont="1" applyFill="1" applyBorder="1" applyAlignment="1">
      <x:alignment wrapText="1"/>
    </x:xf>
    <x:xf numFmtId="0" fontId="19" fillId="37" borderId="30" xfId="0" applyNumberFormat="1" applyFont="1" applyFill="1" applyBorder="1" applyAlignment="1">
      <x:alignment horizontal="center" wrapText="1"/>
    </x:xf>
    <x:xf numFmtId="0" fontId="19" fillId="37" borderId="31" xfId="0" applyNumberFormat="1" applyFont="1" applyFill="1" applyBorder="1" applyAlignment="1">
      <x:alignment horizontal="center" wrapText="1"/>
    </x:xf>
    <x:xf numFmtId="0" fontId="19" fillId="37" borderId="32" xfId="0" applyNumberFormat="1" applyFont="1" applyFill="1" applyBorder="1" applyAlignment="1">
      <x:alignment horizontal="center" wrapText="1"/>
    </x:xf>
    <x:xf numFmtId="0" fontId="19" fillId="37" borderId="33" xfId="0" applyNumberFormat="1" applyFont="1" applyFill="1" applyBorder="1" applyAlignment="1">
      <x:alignment horizontal="center" wrapText="1"/>
    </x:xf>
    <x:xf numFmtId="0" fontId="19" fillId="37" borderId="34" xfId="0" applyNumberFormat="1" applyFont="1" applyFill="1" applyBorder="1" applyAlignment="1">
      <x:alignment horizontal="center" wrapText="1"/>
    </x:xf>
    <x:xf numFmtId="0" fontId="19" fillId="37" borderId="35" xfId="0" applyNumberFormat="1" applyFont="1" applyFill="1" applyBorder="1" applyAlignment="1">
      <x:alignment horizontal="center" wrapText="1"/>
    </x:xf>
    <x:xf numFmtId="0" fontId="19" fillId="37" borderId="30" xfId="0" applyNumberFormat="1" applyFont="1" applyFill="1" applyBorder="1" applyAlignment="1">
      <x:alignment horizontal="center" vertical="center" wrapText="1"/>
    </x:xf>
    <x:xf numFmtId="0" fontId="19" fillId="37" borderId="31" xfId="0" applyNumberFormat="1" applyFont="1" applyFill="1" applyBorder="1" applyAlignment="1">
      <x:alignment horizontal="center" vertical="center" wrapText="1"/>
    </x:xf>
    <x:xf numFmtId="0" fontId="19" fillId="37" borderId="32" xfId="0" applyNumberFormat="1" applyFont="1" applyFill="1" applyBorder="1" applyAlignment="1">
      <x:alignment horizontal="center" vertical="center" wrapText="1"/>
    </x:xf>
    <x:xf numFmtId="0" fontId="19" fillId="37" borderId="33" xfId="0" applyNumberFormat="1" applyFont="1" applyFill="1" applyBorder="1" applyAlignment="1">
      <x:alignment horizontal="center" vertical="center" wrapText="1"/>
    </x:xf>
    <x:xf numFmtId="0" fontId="19" fillId="37" borderId="34" xfId="0" applyNumberFormat="1" applyFont="1" applyFill="1" applyBorder="1" applyAlignment="1">
      <x:alignment horizontal="center" vertical="center" wrapText="1"/>
    </x:xf>
    <x:xf numFmtId="0" fontId="19" fillId="37" borderId="35" xfId="0" applyNumberFormat="1" applyFont="1" applyFill="1" applyBorder="1" applyAlignment="1">
      <x:alignment horizontal="center" vertical="center" wrapText="1"/>
    </x:xf>
    <x:xf numFmtId="0" fontId="26" fillId="38" borderId="50" xfId="0" applyNumberFormat="1" applyFont="1" applyFill="1" applyBorder="1" applyAlignment="1">
      <x:alignment vertical="center" wrapText="1"/>
    </x:xf>
    <x:xf numFmtId="0" fontId="26" fillId="38" borderId="51" xfId="0" applyNumberFormat="1" applyFont="1" applyFill="1" applyBorder="1" applyAlignment="1">
      <x:alignment vertical="center" wrapText="1"/>
    </x:xf>
    <x:xf numFmtId="0" fontId="26" fillId="38" borderId="52" xfId="0" applyNumberFormat="1" applyFont="1" applyFill="1" applyBorder="1" applyAlignment="1">
      <x:alignment vertical="center" wrapText="1"/>
    </x:xf>
    <x:xf numFmtId="0" fontId="26" fillId="38" borderId="53" xfId="0" applyNumberFormat="1" applyFont="1" applyFill="1" applyBorder="1" applyAlignment="1">
      <x:alignment vertical="center" wrapText="1"/>
    </x:xf>
    <x:xf numFmtId="0" fontId="26" fillId="38" xfId="0" applyNumberFormat="1" applyFont="1" applyFill="1" applyBorder="0" applyAlignment="1">
      <x:alignment vertical="center" wrapText="1"/>
    </x:xf>
    <x:xf numFmtId="0" fontId="26" fillId="38" borderId="54" xfId="0" applyNumberFormat="1" applyFont="1" applyFill="1" applyBorder="1" applyAlignment="1">
      <x:alignment vertical="center" wrapText="1"/>
    </x:xf>
    <x:xf numFmtId="0" fontId="26" fillId="38" borderId="55" xfId="0" applyNumberFormat="1" applyFont="1" applyFill="1" applyBorder="1" applyAlignment="1">
      <x:alignment vertical="center" wrapText="1"/>
    </x:xf>
    <x:xf numFmtId="0" fontId="26" fillId="38" borderId="56" xfId="0" applyNumberFormat="1" applyFont="1" applyFill="1" applyBorder="1" applyAlignment="1">
      <x:alignment vertical="center" wrapText="1"/>
    </x:xf>
    <x:xf numFmtId="0" fontId="26" fillId="38" borderId="57" xfId="0" applyNumberFormat="1" applyFont="1" applyFill="1" applyBorder="1" applyAlignment="1">
      <x:alignment vertical="center" wrapText="1"/>
    </x:xf>
    <x:xf numFmtId="0" fontId="0" fillId="40" borderId="0" xfId="0" applyNumberFormat="1" applyFont="1" applyFill="1" applyBorder="1"/>
    <x:xf numFmtId="0" fontId="1" fillId="40" borderId="0" xfId="0" applyNumberFormat="1" applyFont="1" applyFill="1" applyBorder="1"/>
    <x:xf numFmtId="0" fontId="1" fillId="40" borderId="0" xfId="0" applyNumberFormat="1" applyFont="1" applyFill="1" applyBorder="1" applyAlignment="1">
      <x:alignment vertical="center"/>
    </x:xf>
    <x:xf numFmtId="0" fontId="0" fillId="41" borderId="0" xfId="0" applyNumberFormat="1" applyFont="1" applyFill="1" applyBorder="1"/>
    <x:xf numFmtId="0" fontId="28" fillId="41" borderId="0" xfId="0" applyNumberFormat="1" applyFont="1" applyFill="1" applyBorder="1"/>
    <x:xf numFmtId="0" fontId="28" fillId="41" borderId="0" xfId="0" applyNumberFormat="1" applyFont="1" applyFill="1" applyBorder="1" applyAlignment="1">
      <x:alignment wrapText="1"/>
    </x:xf>
    <x:xf numFmtId="0" fontId="29" fillId="0" borderId="0" xfId="0" applyNumberFormat="1" applyFont="1" applyFill="1" applyBorder="1"/>
    <x:xf numFmtId="0" fontId="29" fillId="0" borderId="0" xfId="0" applyNumberFormat="1" applyFont="1" applyFill="1" applyBorder="1" applyAlignment="1">
      <x:alignment wrapText="1"/>
    </x:xf>
    <x:xf numFmtId="0" fontId="30" fillId="40" borderId="0" xfId="0" applyNumberFormat="1" applyFont="1" applyFill="1" applyBorder="1"/>
    <x:xf numFmtId="0" fontId="30" fillId="40" borderId="14" xfId="0" applyNumberFormat="1" applyFont="1" applyFill="1" applyBorder="1"/>
    <x:xf numFmtId="0" fontId="30" fillId="40" borderId="14" xfId="0" applyNumberFormat="1" applyFont="1" applyFill="1" applyBorder="1" applyAlignment="1">
      <x:alignment wrapText="1"/>
    </x:xf>
    <x:xf numFmtId="0" fontId="30" fillId="40" borderId="14" xfId="0" applyNumberFormat="1" applyFont="1" applyFill="1" applyBorder="1" applyAlignment="1">
      <x:alignment horizontal="center" wrapText="1"/>
    </x:xf>
    <x:xf numFmtId="0" fontId="30" fillId="40" borderId="14" xfId="0" applyNumberFormat="1" applyFont="1" applyFill="1" applyBorder="1" applyAlignment="1">
      <x:alignment horizontal="center" vertical="center" wrapText="1"/>
    </x:xf>
    <x:xf numFmtId="0" fontId="31" fillId="0" borderId="0" xfId="0" applyNumberFormat="1" applyFont="1" applyFill="1" applyBorder="1"/>
    <x:xf numFmtId="0" fontId="31" fillId="0" borderId="66" xfId="0" applyNumberFormat="1" applyFont="1" applyFill="1" applyBorder="1"/>
    <x:xf numFmtId="0" fontId="31" fillId="0" borderId="67" xfId="0" applyNumberFormat="1" applyFont="1" applyFill="1" applyBorder="1"/>
    <x:xf numFmtId="0" fontId="31" fillId="0" borderId="68" xfId="0" applyNumberFormat="1" applyFont="1" applyFill="1" applyBorder="1"/>
    <x:xf numFmtId="221" fontId="31" fillId="0" borderId="66" xfId="0" applyNumberFormat="1" applyFont="1" applyFill="1" applyBorder="1"/>
    <x:xf numFmtId="221" fontId="31" fillId="0" borderId="67" xfId="0" applyNumberFormat="1" applyFont="1" applyFill="1" applyBorder="1"/>
    <x:xf numFmtId="221" fontId="31" fillId="0" borderId="68" xfId="0" applyNumberFormat="1" applyFont="1" applyFill="1" applyBorder="1"/>
    <x:xf numFmtId="222" fontId="31" fillId="0" borderId="66" xfId="0" applyNumberFormat="1" applyFont="1" applyFill="1" applyBorder="1"/>
    <x:xf numFmtId="222" fontId="31" fillId="0" borderId="67" xfId="0" applyNumberFormat="1" applyFont="1" applyFill="1" applyBorder="1"/>
    <x:xf numFmtId="222" fontId="31" fillId="0" borderId="68" xfId="0" applyNumberFormat="1" applyFont="1" applyFill="1" applyBorder="1"/>
    <x:xf numFmtId="219" fontId="31" fillId="0" borderId="66" xfId="0" applyNumberFormat="1" applyFont="1" applyFill="1" applyBorder="1"/>
    <x:xf numFmtId="219" fontId="31" fillId="0" borderId="67" xfId="0" applyNumberFormat="1" applyFont="1" applyFill="1" applyBorder="1"/>
    <x:xf numFmtId="219" fontId="31" fillId="0" borderId="68" xfId="0" applyNumberFormat="1" applyFont="1" applyFill="1" applyBorder="1"/>
    <x:xf numFmtId="223" fontId="31" fillId="0" borderId="66" xfId="0" applyNumberFormat="1" applyFont="1" applyFill="1" applyBorder="1"/>
    <x:xf numFmtId="223" fontId="31" fillId="0" borderId="67" xfId="0" applyNumberFormat="1" applyFont="1" applyFill="1" applyBorder="1"/>
    <x:xf numFmtId="223" fontId="31" fillId="0" borderId="68" xfId="0" applyNumberFormat="1" applyFont="1" applyFill="1" applyBorder="1"/>
    <x:xf numFmtId="0" fontId="32" fillId="0" borderId="66" xfId="0" applyNumberFormat="1" applyFont="1" applyFill="1" applyBorder="1"/>
    <x:xf numFmtId="0" fontId="32" fillId="0" borderId="67" xfId="0" applyNumberFormat="1" applyFont="1" applyFill="1" applyBorder="1"/>
    <x:xf numFmtId="0" fontId="32" fillId="0" borderId="68" xfId="0" applyNumberFormat="1" applyFont="1" applyFill="1" applyBorder="1"/>
    <x:xf numFmtId="0" fontId="3" fillId="40" borderId="0" xfId="0" applyNumberFormat="1" applyFont="1" applyFill="1" applyBorder="1"/>
    <x:xf numFmtId="0" fontId="3" fillId="40" borderId="0" xfId="0" applyNumberFormat="1" applyFont="1" applyFill="1" applyBorder="1" applyAlignment="1">
      <x:alignment vertical="center"/>
    </x:xf>
    <x:xf numFmtId="0" fontId="0" fillId="42" borderId="0" xfId="0" applyNumberFormat="1" applyFont="1" applyFill="1" applyBorder="1"/>
    <x:xf numFmtId="0" fontId="33" fillId="42" borderId="0" xfId="0" applyNumberFormat="1" applyFont="1" applyFill="1" applyBorder="1"/>
    <x:xf numFmtId="0" fontId="33" fillId="42" borderId="14" xfId="0" applyNumberFormat="1" applyFont="1" applyFill="1" applyBorder="1"/>
    <x:xf numFmtId="0" fontId="33" fillId="42" borderId="14" xfId="0" applyNumberFormat="1" applyFont="1" applyFill="1" applyBorder="1" applyAlignment="1">
      <x:alignment horizontal="center"/>
    </x:xf>
    <x:xf numFmtId="0" fontId="31" fillId="0" borderId="14" xfId="0" applyNumberFormat="1" applyFont="1" applyFill="1" applyBorder="1"/>
    <x:xf numFmtId="0" fontId="31" fillId="0" borderId="14" xfId="0" applyNumberFormat="1" applyFont="1" applyFill="1" applyBorder="1" applyAlignment="1">
      <x:alignment wrapText="1"/>
    </x:xf>
    <x:xf numFmtId="0" fontId="31" fillId="0" borderId="14" xfId="0" applyNumberFormat="1" applyFont="1" applyFill="1" applyBorder="1" applyAlignment="1">
      <x:alignment vertical="center" wrapText="1"/>
    </x:xf>
    <x:xf numFmtId="221" fontId="31" fillId="0" borderId="14" xfId="0" applyNumberFormat="1" applyFont="1" applyFill="1" applyBorder="1" applyAlignment="1">
      <x:alignment vertical="center" wrapText="1"/>
    </x:xf>
    <x:xf numFmtId="209" fontId="31" fillId="0" borderId="14" xfId="0" applyNumberFormat="1" applyFont="1" applyFill="1" applyBorder="1" applyAlignment="1">
      <x:alignment vertical="center" wrapText="1"/>
    </x:xf>
    <x:xf numFmtId="220" fontId="31" fillId="0" borderId="14" xfId="0" applyNumberFormat="1" applyFont="1" applyFill="1" applyBorder="1" applyAlignment="1">
      <x:alignment vertical="center" wrapText="1"/>
    </x:xf>
    <x:xf numFmtId="219" fontId="31" fillId="0" borderId="14" xfId="0" applyNumberFormat="1" applyFont="1" applyFill="1" applyBorder="1" applyAlignment="1">
      <x:alignment vertical="center" wrapText="1"/>
    </x:xf>
    <x:xf numFmtId="0" fontId="31" fillId="0" borderId="14" xfId="0" applyNumberFormat="1" applyFont="1" applyFill="1" applyBorder="1" applyAlignment="1">
      <x:alignment horizontal="center" wrapText="1"/>
    </x:xf>
    <x:xf numFmtId="0" fontId="31" fillId="0" borderId="14" xfId="0" applyNumberFormat="1" applyFont="1" applyFill="1" applyBorder="1" applyAlignment="1">
      <x:alignment horizontal="center" vertical="center" wrapText="1"/>
    </x:xf>
    <x:xf numFmtId="0" fontId="31" fillId="43" borderId="14" xfId="0" applyNumberFormat="1" applyFont="1" applyFill="1" applyBorder="1" applyAlignment="1">
      <x:alignment horizontal="center" vertical="center" wrapText="1"/>
    </x:xf>
    <x:xf numFmtId="0" fontId="34" fillId="43" borderId="14" xfId="0" applyNumberFormat="1" applyFont="1" applyFill="1" applyBorder="1" applyAlignment="1">
      <x:alignment horizontal="center" vertical="center" wrapText="1"/>
    </x:xf>
    <x:xf numFmtId="209" fontId="34" fillId="43" borderId="14" xfId="0" applyNumberFormat="1" applyFont="1" applyFill="1" applyBorder="1" applyAlignment="1">
      <x:alignment horizontal="center" vertical="center" wrapText="1"/>
    </x:xf>
    <x:xf numFmtId="0" fontId="31" fillId="44" borderId="14" xfId="0" applyNumberFormat="1" applyFont="1" applyFill="1" applyBorder="1" applyAlignment="1">
      <x:alignment horizontal="center" vertical="center" wrapText="1"/>
    </x:xf>
    <x:xf numFmtId="0" fontId="14" fillId="44" borderId="14" xfId="0" applyNumberFormat="1" applyFont="1" applyFill="1" applyBorder="1" applyAlignment="1">
      <x:alignment horizontal="center" vertical="center" wrapText="1"/>
    </x:xf>
    <x:xf numFmtId="209" fontId="14" fillId="44" borderId="14" xfId="0" applyNumberFormat="1" applyFont="1" applyFill="1" applyBorder="1" applyAlignment="1">
      <x:alignment horizontal="center" vertical="center" wrapText="1"/>
    </x:xf>
    <x:xf numFmtId="209" fontId="31" fillId="0" borderId="14" xfId="0" applyNumberFormat="1" applyFont="1" applyFill="1" applyBorder="1" applyAlignment="1">
      <x:alignment horizontal="center" vertical="center" wrapText="1"/>
    </x:xf>
    <x:xf numFmtId="224" fontId="31" fillId="0" borderId="14" xfId="0" applyNumberFormat="1" applyFont="1" applyFill="1" applyBorder="1" applyAlignment="1">
      <x:alignment horizontal="center" vertical="center" wrapText="1"/>
    </x:xf>
    <x:xf numFmtId="0" fontId="35" fillId="44" borderId="14" xfId="0" applyNumberFormat="1" applyFont="1" applyFill="1" applyBorder="1" applyAlignment="1">
      <x:alignment horizontal="center" vertical="center" wrapText="1"/>
    </x:xf>
    <x:xf numFmtId="0" fontId="36" fillId="43" borderId="14" xfId="0" applyNumberFormat="1" applyFont="1" applyFill="1" applyBorder="1" applyAlignment="1">
      <x:alignment horizontal="center" vertical="center" wrapText="1"/>
    </x:xf>
    <x:xf numFmtId="0" fontId="37" fillId="41" borderId="0" xfId="0" applyNumberFormat="1" applyFont="1" applyFill="1" applyBorder="1"/>
    <x:xf numFmtId="0" fontId="37" fillId="41" borderId="69" xfId="0" applyNumberFormat="1" applyFont="1" applyFill="1" applyBorder="1"/>
    <x:xf numFmtId="0" fontId="37" fillId="41" borderId="70" xfId="0" applyNumberFormat="1" applyFont="1" applyFill="1" applyBorder="1"/>
    <x:xf numFmtId="0" fontId="37" fillId="41" borderId="71" xfId="0" applyNumberFormat="1" applyFont="1" applyFill="1" applyBorder="1"/>
    <x:xf numFmtId="0" fontId="37" fillId="41" borderId="72" xfId="0" applyNumberFormat="1" applyFont="1" applyFill="1" applyBorder="1"/>
    <x:xf numFmtId="0" fontId="37" fillId="41" xfId="0" applyNumberFormat="1" applyFont="1" applyFill="1" applyBorder="0"/>
    <x:xf numFmtId="0" fontId="37" fillId="41" borderId="73" xfId="0" applyNumberFormat="1" applyFont="1" applyFill="1" applyBorder="1"/>
    <x:xf numFmtId="0" fontId="37" fillId="41" borderId="74" xfId="0" applyNumberFormat="1" applyFont="1" applyFill="1" applyBorder="1"/>
    <x:xf numFmtId="0" fontId="37" fillId="41" borderId="75" xfId="0" applyNumberFormat="1" applyFont="1" applyFill="1" applyBorder="1"/>
    <x:xf numFmtId="0" fontId="37" fillId="41" borderId="76" xfId="0" applyNumberFormat="1" applyFont="1" applyFill="1" applyBorder="1"/>
    <x:xf numFmtId="0" fontId="37" fillId="41" borderId="69" xfId="0" applyNumberFormat="1" applyFont="1" applyFill="1" applyBorder="1" applyAlignment="1">
      <x:alignment wrapText="1"/>
    </x:xf>
    <x:xf numFmtId="0" fontId="37" fillId="41" borderId="70" xfId="0" applyNumberFormat="1" applyFont="1" applyFill="1" applyBorder="1" applyAlignment="1">
      <x:alignment wrapText="1"/>
    </x:xf>
    <x:xf numFmtId="0" fontId="37" fillId="41" borderId="71" xfId="0" applyNumberFormat="1" applyFont="1" applyFill="1" applyBorder="1" applyAlignment="1">
      <x:alignment wrapText="1"/>
    </x:xf>
    <x:xf numFmtId="0" fontId="37" fillId="41" borderId="72" xfId="0" applyNumberFormat="1" applyFont="1" applyFill="1" applyBorder="1" applyAlignment="1">
      <x:alignment wrapText="1"/>
    </x:xf>
    <x:xf numFmtId="0" fontId="37" fillId="41" xfId="0" applyNumberFormat="1" applyFont="1" applyFill="1" applyBorder="0" applyAlignment="1">
      <x:alignment wrapText="1"/>
    </x:xf>
    <x:xf numFmtId="0" fontId="37" fillId="41" borderId="73" xfId="0" applyNumberFormat="1" applyFont="1" applyFill="1" applyBorder="1" applyAlignment="1">
      <x:alignment wrapText="1"/>
    </x:xf>
    <x:xf numFmtId="0" fontId="37" fillId="41" borderId="74" xfId="0" applyNumberFormat="1" applyFont="1" applyFill="1" applyBorder="1" applyAlignment="1">
      <x:alignment wrapText="1"/>
    </x:xf>
    <x:xf numFmtId="0" fontId="37" fillId="41" borderId="75" xfId="0" applyNumberFormat="1" applyFont="1" applyFill="1" applyBorder="1" applyAlignment="1">
      <x:alignment wrapText="1"/>
    </x:xf>
    <x:xf numFmtId="0" fontId="37" fillId="41" borderId="76" xfId="0" applyNumberFormat="1" applyFont="1" applyFill="1" applyBorder="1" applyAlignment="1">
      <x:alignment wrapText="1"/>
    </x:xf>
    <x:xf numFmtId="0" fontId="37" fillId="41" borderId="69" xfId="0" applyNumberFormat="1" applyFont="1" applyFill="1" applyBorder="1" applyAlignment="1">
      <x:alignment vertical="top" wrapText="1"/>
    </x:xf>
    <x:xf numFmtId="0" fontId="37" fillId="41" borderId="70" xfId="0" applyNumberFormat="1" applyFont="1" applyFill="1" applyBorder="1" applyAlignment="1">
      <x:alignment vertical="top" wrapText="1"/>
    </x:xf>
    <x:xf numFmtId="0" fontId="37" fillId="41" borderId="71" xfId="0" applyNumberFormat="1" applyFont="1" applyFill="1" applyBorder="1" applyAlignment="1">
      <x:alignment vertical="top" wrapText="1"/>
    </x:xf>
    <x:xf numFmtId="0" fontId="37" fillId="41" borderId="72" xfId="0" applyNumberFormat="1" applyFont="1" applyFill="1" applyBorder="1" applyAlignment="1">
      <x:alignment vertical="top" wrapText="1"/>
    </x:xf>
    <x:xf numFmtId="0" fontId="37" fillId="41" xfId="0" applyNumberFormat="1" applyFont="1" applyFill="1" applyBorder="0" applyAlignment="1">
      <x:alignment vertical="top" wrapText="1"/>
    </x:xf>
    <x:xf numFmtId="0" fontId="37" fillId="41" borderId="73" xfId="0" applyNumberFormat="1" applyFont="1" applyFill="1" applyBorder="1" applyAlignment="1">
      <x:alignment vertical="top" wrapText="1"/>
    </x:xf>
    <x:xf numFmtId="0" fontId="37" fillId="41" borderId="74" xfId="0" applyNumberFormat="1" applyFont="1" applyFill="1" applyBorder="1" applyAlignment="1">
      <x:alignment vertical="top" wrapText="1"/>
    </x:xf>
    <x:xf numFmtId="0" fontId="37" fillId="41" borderId="75" xfId="0" applyNumberFormat="1" applyFont="1" applyFill="1" applyBorder="1" applyAlignment="1">
      <x:alignment vertical="top" wrapText="1"/>
    </x:xf>
    <x:xf numFmtId="0" fontId="37" fillId="41" borderId="76" xfId="0" applyNumberFormat="1" applyFont="1" applyFill="1" applyBorder="1" applyAlignment="1">
      <x:alignment vertical="top" wrapText="1"/>
    </x:xf>
    <x:xf numFmtId="0" fontId="38" fillId="42" borderId="0" xfId="0" applyNumberFormat="1" applyFont="1" applyFill="1" applyBorder="1"/>
    <x:xf numFmtId="0" fontId="38" fillId="42" borderId="14" xfId="0" applyNumberFormat="1" applyFont="1" applyFill="1" applyBorder="1"/>
    <x:xf numFmtId="0" fontId="38" fillId="42" borderId="14" xfId="0" applyNumberFormat="1" applyFont="1" applyFill="1" applyBorder="1" applyAlignment="1">
      <x:alignment wrapText="1"/>
    </x:xf>
    <x:xf numFmtId="0" fontId="38" fillId="42" borderId="14" xfId="0" applyNumberFormat="1" applyFont="1" applyFill="1" applyBorder="1" applyAlignment="1">
      <x:alignment horizontal="center" wrapText="1"/>
    </x:xf>
    <x:xf numFmtId="0" fontId="39" fillId="0" borderId="0" xfId="0" applyNumberFormat="1" applyFont="1" applyFill="1" applyBorder="1"/>
    <x:xf numFmtId="0" fontId="39" fillId="0" borderId="66" xfId="0" applyNumberFormat="1" applyFont="1" applyFill="1" applyBorder="1"/>
    <x:xf numFmtId="0" fontId="39" fillId="0" borderId="67" xfId="0" applyNumberFormat="1" applyFont="1" applyFill="1" applyBorder="1"/>
    <x:xf numFmtId="0" fontId="39" fillId="0" borderId="68" xfId="0" applyNumberFormat="1" applyFont="1" applyFill="1" applyBorder="1"/>
    <x:xf numFmtId="225" fontId="39" fillId="0" borderId="66" xfId="0" applyNumberFormat="1" applyFont="1" applyFill="1" applyBorder="1"/>
    <x:xf numFmtId="225" fontId="39" fillId="0" borderId="67" xfId="0" applyNumberFormat="1" applyFont="1" applyFill="1" applyBorder="1"/>
    <x:xf numFmtId="225" fontId="39" fillId="0" borderId="68" xfId="0" applyNumberFormat="1" applyFont="1" applyFill="1" applyBorder="1"/>
    <x:xf numFmtId="222" fontId="39" fillId="0" borderId="66" xfId="0" applyNumberFormat="1" applyFont="1" applyFill="1" applyBorder="1"/>
    <x:xf numFmtId="222" fontId="39" fillId="0" borderId="67" xfId="0" applyNumberFormat="1" applyFont="1" applyFill="1" applyBorder="1"/>
    <x:xf numFmtId="222" fontId="39" fillId="0" borderId="68" xfId="0" applyNumberFormat="1" applyFont="1" applyFill="1" applyBorder="1"/>
    <x:xf numFmtId="223" fontId="39" fillId="0" borderId="66" xfId="0" applyNumberFormat="1" applyFont="1" applyFill="1" applyBorder="1"/>
    <x:xf numFmtId="223" fontId="39" fillId="0" borderId="67" xfId="0" applyNumberFormat="1" applyFont="1" applyFill="1" applyBorder="1"/>
    <x:xf numFmtId="223" fontId="39" fillId="0" borderId="68" xfId="0" applyNumberFormat="1" applyFont="1" applyFill="1" applyBorder="1"/>
    <x:xf numFmtId="226" fontId="39" fillId="0" borderId="66" xfId="0" applyNumberFormat="1" applyFont="1" applyFill="1" applyBorder="1"/>
    <x:xf numFmtId="226" fontId="39" fillId="0" borderId="67" xfId="0" applyNumberFormat="1" applyFont="1" applyFill="1" applyBorder="1"/>
    <x:xf numFmtId="226" fontId="39" fillId="0" borderId="68" xfId="0" applyNumberFormat="1" applyFont="1" applyFill="1" applyBorder="1"/>
    <x:xf numFmtId="216" fontId="39" fillId="0" borderId="66" xfId="0" applyNumberFormat="1" applyFont="1" applyFill="1" applyBorder="1"/>
    <x:xf numFmtId="216" fontId="39" fillId="0" borderId="67" xfId="0" applyNumberFormat="1" applyFont="1" applyFill="1" applyBorder="1"/>
    <x:xf numFmtId="216" fontId="39" fillId="0" borderId="68" xfId="0" applyNumberFormat="1" applyFont="1" applyFill="1" applyBorder="1"/>
    <x:xf numFmtId="210" fontId="39" fillId="0" borderId="66" xfId="0" applyNumberFormat="1" applyFont="1" applyFill="1" applyBorder="1"/>
    <x:xf numFmtId="210" fontId="39" fillId="0" borderId="67" xfId="0" applyNumberFormat="1" applyFont="1" applyFill="1" applyBorder="1"/>
    <x:xf numFmtId="210" fontId="39" fillId="0" borderId="68" xfId="0" applyNumberFormat="1" applyFont="1" applyFill="1" applyBorder="1"/>
    <x:xf numFmtId="0" fontId="0" fillId="45" borderId="0" xfId="0" applyNumberFormat="1" applyFont="1" applyFill="1" applyBorder="1"/>
    <x:xf numFmtId="0" fontId="40" fillId="45" borderId="0" xfId="0" applyNumberFormat="1" applyFont="1" applyFill="1" applyBorder="1"/>
    <x:xf numFmtId="0" fontId="40" fillId="45" borderId="77" xfId="0" applyNumberFormat="1" applyFont="1" applyFill="1" applyBorder="1"/>
    <x:xf numFmtId="0" fontId="40" fillId="45" borderId="78" xfId="0" applyNumberFormat="1" applyFont="1" applyFill="1" applyBorder="1"/>
    <x:xf numFmtId="0" fontId="40" fillId="45" borderId="79" xfId="0" applyNumberFormat="1" applyFont="1" applyFill="1" applyBorder="1"/>
    <x:xf numFmtId="0" fontId="40" fillId="45" borderId="80" xfId="0" applyNumberFormat="1" applyFont="1" applyFill="1" applyBorder="1"/>
    <x:xf numFmtId="0" fontId="40" fillId="45" xfId="0" applyNumberFormat="1" applyFont="1" applyFill="1" applyBorder="0"/>
    <x:xf numFmtId="0" fontId="40" fillId="45" borderId="81" xfId="0" applyNumberFormat="1" applyFont="1" applyFill="1" applyBorder="1"/>
    <x:xf numFmtId="0" fontId="40" fillId="45" borderId="12" xfId="0" applyNumberFormat="1" applyFont="1" applyFill="1" applyBorder="1"/>
    <x:xf numFmtId="0" fontId="40" fillId="45" borderId="82" xfId="0" applyNumberFormat="1" applyFont="1" applyFill="1" applyBorder="1"/>
    <x:xf numFmtId="0" fontId="40" fillId="45" borderId="10" xfId="0" applyNumberFormat="1" applyFont="1" applyFill="1" applyBorder="1"/>
    <x:xf numFmtId="0" fontId="40" fillId="45" borderId="77" xfId="0" applyNumberFormat="1" applyFont="1" applyFill="1" applyBorder="1" applyAlignment="1">
      <x:alignment wrapText="1"/>
    </x:xf>
    <x:xf numFmtId="0" fontId="40" fillId="45" borderId="78" xfId="0" applyNumberFormat="1" applyFont="1" applyFill="1" applyBorder="1" applyAlignment="1">
      <x:alignment wrapText="1"/>
    </x:xf>
    <x:xf numFmtId="0" fontId="40" fillId="45" borderId="79" xfId="0" applyNumberFormat="1" applyFont="1" applyFill="1" applyBorder="1" applyAlignment="1">
      <x:alignment wrapText="1"/>
    </x:xf>
    <x:xf numFmtId="0" fontId="40" fillId="45" borderId="80" xfId="0" applyNumberFormat="1" applyFont="1" applyFill="1" applyBorder="1" applyAlignment="1">
      <x:alignment wrapText="1"/>
    </x:xf>
    <x:xf numFmtId="0" fontId="40" fillId="45" xfId="0" applyNumberFormat="1" applyFont="1" applyFill="1" applyBorder="0" applyAlignment="1">
      <x:alignment wrapText="1"/>
    </x:xf>
    <x:xf numFmtId="0" fontId="40" fillId="45" borderId="81" xfId="0" applyNumberFormat="1" applyFont="1" applyFill="1" applyBorder="1" applyAlignment="1">
      <x:alignment wrapText="1"/>
    </x:xf>
    <x:xf numFmtId="0" fontId="40" fillId="45" borderId="12" xfId="0" applyNumberFormat="1" applyFont="1" applyFill="1" applyBorder="1" applyAlignment="1">
      <x:alignment wrapText="1"/>
    </x:xf>
    <x:xf numFmtId="0" fontId="40" fillId="45" borderId="82" xfId="0" applyNumberFormat="1" applyFont="1" applyFill="1" applyBorder="1" applyAlignment="1">
      <x:alignment wrapText="1"/>
    </x:xf>
    <x:xf numFmtId="0" fontId="40" fillId="45" borderId="10" xfId="0" applyNumberFormat="1" applyFont="1" applyFill="1" applyBorder="1" applyAlignment="1">
      <x:alignment wrapText="1"/>
    </x:xf>
    <x:xf numFmtId="0" fontId="40" fillId="45" borderId="77" xfId="0" applyNumberFormat="1" applyFont="1" applyFill="1" applyBorder="1" applyAlignment="1">
      <x:alignment vertical="top" wrapText="1"/>
    </x:xf>
    <x:xf numFmtId="0" fontId="40" fillId="45" borderId="78" xfId="0" applyNumberFormat="1" applyFont="1" applyFill="1" applyBorder="1" applyAlignment="1">
      <x:alignment vertical="top" wrapText="1"/>
    </x:xf>
    <x:xf numFmtId="0" fontId="40" fillId="45" borderId="79" xfId="0" applyNumberFormat="1" applyFont="1" applyFill="1" applyBorder="1" applyAlignment="1">
      <x:alignment vertical="top" wrapText="1"/>
    </x:xf>
    <x:xf numFmtId="0" fontId="40" fillId="45" borderId="80" xfId="0" applyNumberFormat="1" applyFont="1" applyFill="1" applyBorder="1" applyAlignment="1">
      <x:alignment vertical="top" wrapText="1"/>
    </x:xf>
    <x:xf numFmtId="0" fontId="40" fillId="45" xfId="0" applyNumberFormat="1" applyFont="1" applyFill="1" applyBorder="0" applyAlignment="1">
      <x:alignment vertical="top" wrapText="1"/>
    </x:xf>
    <x:xf numFmtId="0" fontId="40" fillId="45" borderId="81" xfId="0" applyNumberFormat="1" applyFont="1" applyFill="1" applyBorder="1" applyAlignment="1">
      <x:alignment vertical="top" wrapText="1"/>
    </x:xf>
    <x:xf numFmtId="0" fontId="40" fillId="45" borderId="12" xfId="0" applyNumberFormat="1" applyFont="1" applyFill="1" applyBorder="1" applyAlignment="1">
      <x:alignment vertical="top" wrapText="1"/>
    </x:xf>
    <x:xf numFmtId="0" fontId="40" fillId="45" borderId="82" xfId="0" applyNumberFormat="1" applyFont="1" applyFill="1" applyBorder="1" applyAlignment="1">
      <x:alignment vertical="top" wrapText="1"/>
    </x:xf>
    <x:xf numFmtId="0" fontId="40" fillId="45" borderId="10" xfId="0" applyNumberFormat="1" applyFont="1" applyFill="1" applyBorder="1" applyAlignment="1">
      <x:alignment vertical="top" wrapText="1"/>
    </x:xf>
    <x:xf numFmtId="214" fontId="13" fillId="44" borderId="14" xfId="0" applyNumberFormat="1" applyFont="1" applyFill="1" applyBorder="1" applyAlignment="1">
      <x:alignment vertical="center" wrapText="1"/>
    </x:xf>
    <x:xf numFmtId="214" fontId="18" fillId="44" borderId="14" xfId="0" applyNumberFormat="1" applyFont="1" applyFill="1" applyBorder="1" applyAlignment="1">
      <x:alignment vertical="center" wrapText="1"/>
    </x:xf>
    <x:xf numFmtId="209" fontId="18" fillId="44" borderId="14" xfId="0" applyNumberFormat="1" applyFont="1" applyFill="1" applyBorder="1" applyAlignment="1">
      <x:alignment vertical="center" wrapText="1"/>
    </x:xf>
    <x:xf numFmtId="0" fontId="0" fillId="46" borderId="0" xfId="0" applyNumberFormat="1" applyFont="1" applyFill="1" applyBorder="1"/>
    <x:xf numFmtId="0" fontId="1" fillId="46" borderId="0" xfId="0" applyNumberFormat="1" applyFont="1" applyFill="1" applyBorder="1"/>
    <x:xf numFmtId="0" fontId="1" fillId="46" borderId="0" xfId="0" applyNumberFormat="1" applyFont="1" applyFill="1" applyBorder="1" applyAlignment="1">
      <x:alignment vertical="center"/>
    </x:xf>
    <x:xf numFmtId="0" fontId="0" fillId="47" borderId="0" xfId="0" applyNumberFormat="1" applyFont="1" applyFill="1" applyBorder="1"/>
    <x:xf numFmtId="0" fontId="28" fillId="47" borderId="0" xfId="0" applyNumberFormat="1" applyFont="1" applyFill="1" applyBorder="1"/>
    <x:xf numFmtId="0" fontId="28" fillId="47" borderId="0" xfId="0" applyNumberFormat="1" applyFont="1" applyFill="1" applyBorder="1" applyAlignment="1">
      <x:alignment wrapText="1"/>
    </x:xf>
    <x:xf numFmtId="0" fontId="30" fillId="46" borderId="0" xfId="0" applyNumberFormat="1" applyFont="1" applyFill="1" applyBorder="1"/>
    <x:xf numFmtId="0" fontId="30" fillId="46" borderId="14" xfId="0" applyNumberFormat="1" applyFont="1" applyFill="1" applyBorder="1"/>
    <x:xf numFmtId="0" fontId="30" fillId="46" borderId="14" xfId="0" applyNumberFormat="1" applyFont="1" applyFill="1" applyBorder="1" applyAlignment="1">
      <x:alignment wrapText="1"/>
    </x:xf>
    <x:xf numFmtId="0" fontId="30" fillId="46" borderId="14" xfId="0" applyNumberFormat="1" applyFont="1" applyFill="1" applyBorder="1" applyAlignment="1">
      <x:alignment horizontal="center" wrapText="1"/>
    </x:xf>
    <x:xf numFmtId="0" fontId="30" fillId="46" borderId="14" xfId="0" applyNumberFormat="1" applyFont="1" applyFill="1" applyBorder="1" applyAlignment="1">
      <x:alignment horizontal="center" vertical="center" wrapText="1"/>
    </x:xf>
    <x:xf numFmtId="227" fontId="32" fillId="0" borderId="66" xfId="0" applyNumberFormat="1" applyFont="1" applyFill="1" applyBorder="1"/>
    <x:xf numFmtId="227" fontId="32" fillId="0" borderId="67" xfId="0" applyNumberFormat="1" applyFont="1" applyFill="1" applyBorder="1"/>
    <x:xf numFmtId="227" fontId="32" fillId="0" borderId="68" xfId="0" applyNumberFormat="1" applyFont="1" applyFill="1" applyBorder="1"/>
    <x:xf numFmtId="0" fontId="3" fillId="46" borderId="0" xfId="0" applyNumberFormat="1" applyFont="1" applyFill="1" applyBorder="1"/>
    <x:xf numFmtId="0" fontId="3" fillId="46" borderId="0" xfId="0" applyNumberFormat="1" applyFont="1" applyFill="1" applyBorder="1" applyAlignment="1">
      <x:alignment vertical="center"/>
    </x:xf>
    <x:xf numFmtId="0" fontId="0" fillId="48" borderId="0" xfId="0" applyNumberFormat="1" applyFont="1" applyFill="1" applyBorder="1"/>
    <x:xf numFmtId="0" fontId="33" fillId="48" borderId="0" xfId="0" applyNumberFormat="1" applyFont="1" applyFill="1" applyBorder="1"/>
    <x:xf numFmtId="0" fontId="33" fillId="48" borderId="14" xfId="0" applyNumberFormat="1" applyFont="1" applyFill="1" applyBorder="1"/>
    <x:xf numFmtId="0" fontId="33" fillId="48" borderId="14" xfId="0" applyNumberFormat="1" applyFont="1" applyFill="1" applyBorder="1" applyAlignment="1">
      <x:alignment horizontal="center"/>
    </x:xf>
    <x:xf numFmtId="0" fontId="31" fillId="49" borderId="14" xfId="0" applyNumberFormat="1" applyFont="1" applyFill="1" applyBorder="1" applyAlignment="1">
      <x:alignment horizontal="center" vertical="center" wrapText="1"/>
    </x:xf>
    <x:xf numFmtId="0" fontId="34" fillId="49" borderId="14" xfId="0" applyNumberFormat="1" applyFont="1" applyFill="1" applyBorder="1" applyAlignment="1">
      <x:alignment horizontal="center" vertical="center" wrapText="1"/>
    </x:xf>
    <x:xf numFmtId="209" fontId="34" fillId="49" borderId="14" xfId="0" applyNumberFormat="1" applyFont="1" applyFill="1" applyBorder="1" applyAlignment="1">
      <x:alignment horizontal="center" vertical="center" wrapText="1"/>
    </x:xf>
    <x:xf numFmtId="0" fontId="31" fillId="50" borderId="14" xfId="0" applyNumberFormat="1" applyFont="1" applyFill="1" applyBorder="1" applyAlignment="1">
      <x:alignment horizontal="center" vertical="center" wrapText="1"/>
    </x:xf>
    <x:xf numFmtId="0" fontId="14" fillId="50" borderId="14" xfId="0" applyNumberFormat="1" applyFont="1" applyFill="1" applyBorder="1" applyAlignment="1">
      <x:alignment horizontal="center" vertical="center" wrapText="1"/>
    </x:xf>
    <x:xf numFmtId="209" fontId="14" fillId="50" borderId="14" xfId="0" applyNumberFormat="1" applyFont="1" applyFill="1" applyBorder="1" applyAlignment="1">
      <x:alignment horizontal="center" vertical="center" wrapText="1"/>
    </x:xf>
    <x:xf numFmtId="0" fontId="35" fillId="50" borderId="14" xfId="0" applyNumberFormat="1" applyFont="1" applyFill="1" applyBorder="1" applyAlignment="1">
      <x:alignment horizontal="center" vertical="center" wrapText="1"/>
    </x:xf>
    <x:xf numFmtId="0" fontId="36" fillId="49" borderId="14" xfId="0" applyNumberFormat="1" applyFont="1" applyFill="1" applyBorder="1" applyAlignment="1">
      <x:alignment horizontal="center" vertical="center" wrapText="1"/>
    </x:xf>
    <x:xf numFmtId="0" fontId="37" fillId="47" borderId="0" xfId="0" applyNumberFormat="1" applyFont="1" applyFill="1" applyBorder="1"/>
    <x:xf numFmtId="0" fontId="37" fillId="47" borderId="69" xfId="0" applyNumberFormat="1" applyFont="1" applyFill="1" applyBorder="1"/>
    <x:xf numFmtId="0" fontId="37" fillId="47" borderId="70" xfId="0" applyNumberFormat="1" applyFont="1" applyFill="1" applyBorder="1"/>
    <x:xf numFmtId="0" fontId="37" fillId="47" borderId="71" xfId="0" applyNumberFormat="1" applyFont="1" applyFill="1" applyBorder="1"/>
    <x:xf numFmtId="0" fontId="37" fillId="47" borderId="72" xfId="0" applyNumberFormat="1" applyFont="1" applyFill="1" applyBorder="1"/>
    <x:xf numFmtId="0" fontId="37" fillId="47" xfId="0" applyNumberFormat="1" applyFont="1" applyFill="1" applyBorder="0"/>
    <x:xf numFmtId="0" fontId="37" fillId="47" borderId="73" xfId="0" applyNumberFormat="1" applyFont="1" applyFill="1" applyBorder="1"/>
    <x:xf numFmtId="0" fontId="37" fillId="47" borderId="74" xfId="0" applyNumberFormat="1" applyFont="1" applyFill="1" applyBorder="1"/>
    <x:xf numFmtId="0" fontId="37" fillId="47" borderId="75" xfId="0" applyNumberFormat="1" applyFont="1" applyFill="1" applyBorder="1"/>
    <x:xf numFmtId="0" fontId="37" fillId="47" borderId="76" xfId="0" applyNumberFormat="1" applyFont="1" applyFill="1" applyBorder="1"/>
    <x:xf numFmtId="0" fontId="37" fillId="47" borderId="69" xfId="0" applyNumberFormat="1" applyFont="1" applyFill="1" applyBorder="1" applyAlignment="1">
      <x:alignment wrapText="1"/>
    </x:xf>
    <x:xf numFmtId="0" fontId="37" fillId="47" borderId="70" xfId="0" applyNumberFormat="1" applyFont="1" applyFill="1" applyBorder="1" applyAlignment="1">
      <x:alignment wrapText="1"/>
    </x:xf>
    <x:xf numFmtId="0" fontId="37" fillId="47" borderId="71" xfId="0" applyNumberFormat="1" applyFont="1" applyFill="1" applyBorder="1" applyAlignment="1">
      <x:alignment wrapText="1"/>
    </x:xf>
    <x:xf numFmtId="0" fontId="37" fillId="47" borderId="72" xfId="0" applyNumberFormat="1" applyFont="1" applyFill="1" applyBorder="1" applyAlignment="1">
      <x:alignment wrapText="1"/>
    </x:xf>
    <x:xf numFmtId="0" fontId="37" fillId="47" xfId="0" applyNumberFormat="1" applyFont="1" applyFill="1" applyBorder="0" applyAlignment="1">
      <x:alignment wrapText="1"/>
    </x:xf>
    <x:xf numFmtId="0" fontId="37" fillId="47" borderId="73" xfId="0" applyNumberFormat="1" applyFont="1" applyFill="1" applyBorder="1" applyAlignment="1">
      <x:alignment wrapText="1"/>
    </x:xf>
    <x:xf numFmtId="0" fontId="37" fillId="47" borderId="74" xfId="0" applyNumberFormat="1" applyFont="1" applyFill="1" applyBorder="1" applyAlignment="1">
      <x:alignment wrapText="1"/>
    </x:xf>
    <x:xf numFmtId="0" fontId="37" fillId="47" borderId="75" xfId="0" applyNumberFormat="1" applyFont="1" applyFill="1" applyBorder="1" applyAlignment="1">
      <x:alignment wrapText="1"/>
    </x:xf>
    <x:xf numFmtId="0" fontId="37" fillId="47" borderId="76" xfId="0" applyNumberFormat="1" applyFont="1" applyFill="1" applyBorder="1" applyAlignment="1">
      <x:alignment wrapText="1"/>
    </x:xf>
    <x:xf numFmtId="0" fontId="37" fillId="47" borderId="69" xfId="0" applyNumberFormat="1" applyFont="1" applyFill="1" applyBorder="1" applyAlignment="1">
      <x:alignment vertical="top" wrapText="1"/>
    </x:xf>
    <x:xf numFmtId="0" fontId="37" fillId="47" borderId="70" xfId="0" applyNumberFormat="1" applyFont="1" applyFill="1" applyBorder="1" applyAlignment="1">
      <x:alignment vertical="top" wrapText="1"/>
    </x:xf>
    <x:xf numFmtId="0" fontId="37" fillId="47" borderId="71" xfId="0" applyNumberFormat="1" applyFont="1" applyFill="1" applyBorder="1" applyAlignment="1">
      <x:alignment vertical="top" wrapText="1"/>
    </x:xf>
    <x:xf numFmtId="0" fontId="37" fillId="47" borderId="72" xfId="0" applyNumberFormat="1" applyFont="1" applyFill="1" applyBorder="1" applyAlignment="1">
      <x:alignment vertical="top" wrapText="1"/>
    </x:xf>
    <x:xf numFmtId="0" fontId="37" fillId="47" xfId="0" applyNumberFormat="1" applyFont="1" applyFill="1" applyBorder="0" applyAlignment="1">
      <x:alignment vertical="top" wrapText="1"/>
    </x:xf>
    <x:xf numFmtId="0" fontId="37" fillId="47" borderId="73" xfId="0" applyNumberFormat="1" applyFont="1" applyFill="1" applyBorder="1" applyAlignment="1">
      <x:alignment vertical="top" wrapText="1"/>
    </x:xf>
    <x:xf numFmtId="0" fontId="37" fillId="47" borderId="74" xfId="0" applyNumberFormat="1" applyFont="1" applyFill="1" applyBorder="1" applyAlignment="1">
      <x:alignment vertical="top" wrapText="1"/>
    </x:xf>
    <x:xf numFmtId="0" fontId="37" fillId="47" borderId="75" xfId="0" applyNumberFormat="1" applyFont="1" applyFill="1" applyBorder="1" applyAlignment="1">
      <x:alignment vertical="top" wrapText="1"/>
    </x:xf>
    <x:xf numFmtId="0" fontId="37" fillId="47" borderId="76" xfId="0" applyNumberFormat="1" applyFont="1" applyFill="1" applyBorder="1" applyAlignment="1">
      <x:alignment vertical="top" wrapText="1"/>
    </x:xf>
    <x:xf numFmtId="0" fontId="38" fillId="48" borderId="0" xfId="0" applyNumberFormat="1" applyFont="1" applyFill="1" applyBorder="1"/>
    <x:xf numFmtId="0" fontId="38" fillId="48" borderId="14" xfId="0" applyNumberFormat="1" applyFont="1" applyFill="1" applyBorder="1"/>
    <x:xf numFmtId="0" fontId="38" fillId="48" borderId="14" xfId="0" applyNumberFormat="1" applyFont="1" applyFill="1" applyBorder="1" applyAlignment="1">
      <x:alignment wrapText="1"/>
    </x:xf>
    <x:xf numFmtId="0" fontId="38" fillId="48" borderId="14" xfId="0" applyNumberFormat="1" applyFont="1" applyFill="1" applyBorder="1" applyAlignment="1">
      <x:alignment horizontal="center" wrapText="1"/>
    </x:xf>
    <x:xf numFmtId="0" fontId="0" fillId="51" borderId="0" xfId="0" applyNumberFormat="1" applyFont="1" applyFill="1" applyBorder="1"/>
    <x:xf numFmtId="0" fontId="40" fillId="51" borderId="0" xfId="0" applyNumberFormat="1" applyFont="1" applyFill="1" applyBorder="1"/>
    <x:xf numFmtId="0" fontId="40" fillId="51" borderId="77" xfId="0" applyNumberFormat="1" applyFont="1" applyFill="1" applyBorder="1"/>
    <x:xf numFmtId="0" fontId="40" fillId="51" borderId="78" xfId="0" applyNumberFormat="1" applyFont="1" applyFill="1" applyBorder="1"/>
    <x:xf numFmtId="0" fontId="40" fillId="51" borderId="79" xfId="0" applyNumberFormat="1" applyFont="1" applyFill="1" applyBorder="1"/>
    <x:xf numFmtId="0" fontId="40" fillId="51" borderId="80" xfId="0" applyNumberFormat="1" applyFont="1" applyFill="1" applyBorder="1"/>
    <x:xf numFmtId="0" fontId="40" fillId="51" xfId="0" applyNumberFormat="1" applyFont="1" applyFill="1" applyBorder="0"/>
    <x:xf numFmtId="0" fontId="40" fillId="51" borderId="81" xfId="0" applyNumberFormat="1" applyFont="1" applyFill="1" applyBorder="1"/>
    <x:xf numFmtId="0" fontId="40" fillId="51" borderId="12" xfId="0" applyNumberFormat="1" applyFont="1" applyFill="1" applyBorder="1"/>
    <x:xf numFmtId="0" fontId="40" fillId="51" borderId="82" xfId="0" applyNumberFormat="1" applyFont="1" applyFill="1" applyBorder="1"/>
    <x:xf numFmtId="0" fontId="40" fillId="51" borderId="10" xfId="0" applyNumberFormat="1" applyFont="1" applyFill="1" applyBorder="1"/>
    <x:xf numFmtId="0" fontId="40" fillId="51" borderId="77" xfId="0" applyNumberFormat="1" applyFont="1" applyFill="1" applyBorder="1" applyAlignment="1">
      <x:alignment wrapText="1"/>
    </x:xf>
    <x:xf numFmtId="0" fontId="40" fillId="51" borderId="78" xfId="0" applyNumberFormat="1" applyFont="1" applyFill="1" applyBorder="1" applyAlignment="1">
      <x:alignment wrapText="1"/>
    </x:xf>
    <x:xf numFmtId="0" fontId="40" fillId="51" borderId="79" xfId="0" applyNumberFormat="1" applyFont="1" applyFill="1" applyBorder="1" applyAlignment="1">
      <x:alignment wrapText="1"/>
    </x:xf>
    <x:xf numFmtId="0" fontId="40" fillId="51" borderId="80" xfId="0" applyNumberFormat="1" applyFont="1" applyFill="1" applyBorder="1" applyAlignment="1">
      <x:alignment wrapText="1"/>
    </x:xf>
    <x:xf numFmtId="0" fontId="40" fillId="51" xfId="0" applyNumberFormat="1" applyFont="1" applyFill="1" applyBorder="0" applyAlignment="1">
      <x:alignment wrapText="1"/>
    </x:xf>
    <x:xf numFmtId="0" fontId="40" fillId="51" borderId="81" xfId="0" applyNumberFormat="1" applyFont="1" applyFill="1" applyBorder="1" applyAlignment="1">
      <x:alignment wrapText="1"/>
    </x:xf>
    <x:xf numFmtId="0" fontId="40" fillId="51" borderId="12" xfId="0" applyNumberFormat="1" applyFont="1" applyFill="1" applyBorder="1" applyAlignment="1">
      <x:alignment wrapText="1"/>
    </x:xf>
    <x:xf numFmtId="0" fontId="40" fillId="51" borderId="82" xfId="0" applyNumberFormat="1" applyFont="1" applyFill="1" applyBorder="1" applyAlignment="1">
      <x:alignment wrapText="1"/>
    </x:xf>
    <x:xf numFmtId="0" fontId="40" fillId="51" borderId="10" xfId="0" applyNumberFormat="1" applyFont="1" applyFill="1" applyBorder="1" applyAlignment="1">
      <x:alignment wrapText="1"/>
    </x:xf>
    <x:xf numFmtId="0" fontId="40" fillId="51" borderId="77" xfId="0" applyNumberFormat="1" applyFont="1" applyFill="1" applyBorder="1" applyAlignment="1">
      <x:alignment vertical="top" wrapText="1"/>
    </x:xf>
    <x:xf numFmtId="0" fontId="40" fillId="51" borderId="78" xfId="0" applyNumberFormat="1" applyFont="1" applyFill="1" applyBorder="1" applyAlignment="1">
      <x:alignment vertical="top" wrapText="1"/>
    </x:xf>
    <x:xf numFmtId="0" fontId="40" fillId="51" borderId="79" xfId="0" applyNumberFormat="1" applyFont="1" applyFill="1" applyBorder="1" applyAlignment="1">
      <x:alignment vertical="top" wrapText="1"/>
    </x:xf>
    <x:xf numFmtId="0" fontId="40" fillId="51" borderId="80" xfId="0" applyNumberFormat="1" applyFont="1" applyFill="1" applyBorder="1" applyAlignment="1">
      <x:alignment vertical="top" wrapText="1"/>
    </x:xf>
    <x:xf numFmtId="0" fontId="40" fillId="51" xfId="0" applyNumberFormat="1" applyFont="1" applyFill="1" applyBorder="0" applyAlignment="1">
      <x:alignment vertical="top" wrapText="1"/>
    </x:xf>
    <x:xf numFmtId="0" fontId="40" fillId="51" borderId="81" xfId="0" applyNumberFormat="1" applyFont="1" applyFill="1" applyBorder="1" applyAlignment="1">
      <x:alignment vertical="top" wrapText="1"/>
    </x:xf>
    <x:xf numFmtId="0" fontId="40" fillId="51" borderId="12" xfId="0" applyNumberFormat="1" applyFont="1" applyFill="1" applyBorder="1" applyAlignment="1">
      <x:alignment vertical="top" wrapText="1"/>
    </x:xf>
    <x:xf numFmtId="0" fontId="40" fillId="51" borderId="82" xfId="0" applyNumberFormat="1" applyFont="1" applyFill="1" applyBorder="1" applyAlignment="1">
      <x:alignment vertical="top" wrapText="1"/>
    </x:xf>
    <x:xf numFmtId="0" fontId="40" fillId="51" borderId="10" xfId="0" applyNumberFormat="1" applyFont="1" applyFill="1" applyBorder="1" applyAlignment="1">
      <x:alignment vertical="top" wrapText="1"/>
    </x:xf>
    <x:xf numFmtId="209" fontId="18" fillId="50" borderId="14" xfId="0" applyNumberFormat="1" applyFont="1" applyFill="1" applyBorder="1" applyAlignment="1">
      <x:alignment vertical="center" wrapText="1"/>
    </x:xf>
  </x:cellXfs>
  <x:cellStyles count="1">
    <x:cellStyle name="Normal" xfId="0"/>
  </x:cellStyles>
  <x:dxfs count="17">
    <x:dxf>
      <x:font>
        <x:b/>
        <x:color rgb="FFC00000"/>
      </x:font>
      <x:fill>
        <x:patternFill>
          <x:bgColor rgb="FFFCE4D6"/>
        </x:patternFill>
      </x:fill>
    </x:dxf>
    <x:dxf>
      <x:font>
        <x:b/>
        <x:color rgb="FF2E7D32"/>
      </x:font>
      <x:fill>
        <x:patternFill>
          <x:bgColor rgb="FFE2F0D9"/>
        </x:patternFill>
      </x:fill>
    </x:dxf>
    <x:dxf>
      <x:font>
        <x:b/>
        <x:color rgb="FFC00000"/>
      </x:font>
      <x:fill>
        <x:patternFill>
          <x:bgColor rgb="FFFCE4D6"/>
        </x:patternFill>
      </x:fill>
    </x:dxf>
    <x:dxf>
      <x:font>
        <x:b/>
        <x:color rgb="FF2E7D32"/>
      </x:font>
      <x:fill>
        <x:patternFill>
          <x:bgColor rgb="FFE2F0D9"/>
        </x:patternFill>
      </x:fill>
    </x:dxf>
    <x:dxf>
      <x:font>
        <x:b/>
        <x:color rgb="FFC00000"/>
      </x:font>
      <x:fill>
        <x:patternFill>
          <x:bgColor rgb="FFFCE4D6"/>
        </x:patternFill>
      </x:fill>
    </x:dxf>
    <x:dxf>
      <x:font>
        <x:b/>
        <x:color rgb="FFC00000"/>
      </x:font>
      <x:fill>
        <x:patternFill>
          <x:bgColor rgb="FFFCE4D6"/>
        </x:patternFill>
      </x:fill>
    </x:dxf>
    <x:dxf>
      <x:font>
        <x:b/>
        <x:color rgb="FF2E7D32"/>
      </x:font>
      <x:fill>
        <x:patternFill>
          <x:bgColor rgb="FFE2F0D9"/>
        </x:patternFill>
      </x:fill>
    </x:dxf>
    <x:dxf>
      <x:font>
        <x:b/>
        <x:color rgb="FFC00000"/>
      </x:font>
      <x:fill>
        <x:patternFill>
          <x:bgColor rgb="FFFCE4D6"/>
        </x:patternFill>
      </x:fill>
    </x:dxf>
    <x:dxf>
      <x:font>
        <x:b/>
        <x:color rgb="FF000000"/>
      </x:font>
      <x:fill>
        <x:patternFill>
          <x:bgColor rgb="FFFFF2CC"/>
        </x:patternFill>
      </x:fill>
    </x:dxf>
    <x:dxf>
      <x:font>
        <x:b/>
        <x:color rgb="FF2E7D32"/>
      </x:font>
      <x:fill>
        <x:patternFill>
          <x:bgColor rgb="FFE2F0D9"/>
        </x:patternFill>
      </x:fill>
    </x:dxf>
    <x:dxf>
      <x:font>
        <x:b/>
        <x:color rgb="FF2E7D32"/>
      </x:font>
      <x:fill>
        <x:patternFill>
          <x:bgColor rgb="FFE2F0D9"/>
        </x:patternFill>
      </x:fill>
    </x:dxf>
    <x:dxf>
      <x:font>
        <x:b/>
        <x:color rgb="FFC00000"/>
      </x:font>
      <x:fill>
        <x:patternFill>
          <x:bgColor rgb="FFFCE4D6"/>
        </x:patternFill>
      </x:fill>
    </x:dxf>
    <x:dxf>
      <x:font>
        <x:b/>
        <x:color rgb="FF2E7D32"/>
      </x:font>
      <x:fill>
        <x:patternFill>
          <x:bgColor rgb="FFE2F0D9"/>
        </x:patternFill>
      </x:fill>
    </x:dxf>
    <x:dxf>
      <x:font>
        <x:b/>
        <x:color rgb="FF2E7D32"/>
      </x:font>
      <x:fill>
        <x:patternFill>
          <x:bgColor rgb="FFE2F0D9"/>
        </x:patternFill>
      </x:fill>
    </x:dxf>
    <x:dxf>
      <x:font>
        <x:b/>
        <x:color rgb="FFC00000"/>
      </x:font>
      <x:fill>
        <x:patternFill>
          <x:bgColor rgb="FFFCE4D6"/>
        </x:patternFill>
      </x:fill>
    </x:dxf>
    <x:dxf>
      <x:font>
        <x:b/>
        <x:color rgb="FF2E7D32"/>
      </x:font>
      <x:fill>
        <x:patternFill>
          <x:bgColor rgb="FFE2F0D9"/>
        </x:patternFill>
      </x:fill>
    </x:dxf>
    <x:dxf>
      <x:font>
        <x:b/>
        <x:color rgb="FFC00000"/>
      </x:font>
      <x:fill>
        <x:patternFill>
          <x:bgColor rgb="FFFCE4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86655038fcbf4382" /><Relationship Type="http://schemas.openxmlformats.org/officeDocument/2006/relationships/theme" Target="/xl/theme/theme1.xml" Id="R9c41f436a0b6493b" /><Relationship Type="http://schemas.openxmlformats.org/officeDocument/2006/relationships/sharedStrings" Target="/xl/sharedStrings.xml" Id="R4e64de0615e7412b" /><Relationship Type="http://schemas.openxmlformats.org/officeDocument/2006/relationships/worksheet" Target="/xl/worksheets/sheet1.xml" Id="Rfa64c5d4283c4c67" /><Relationship Type="http://schemas.openxmlformats.org/officeDocument/2006/relationships/worksheet" Target="/xl/worksheets/sheet2.xml" Id="Rd8b5efcf48ca4428" /><Relationship Type="http://schemas.openxmlformats.org/officeDocument/2006/relationships/worksheet" Target="/xl/worksheets/sheet3.xml" Id="R79e4a9338c2142db" /><Relationship Type="http://schemas.openxmlformats.org/officeDocument/2006/relationships/worksheet" Target="/xl/worksheets/sheet4.xml" Id="R346801ef0b4c4d9e" /><Relationship Type="http://schemas.openxmlformats.org/officeDocument/2006/relationships/worksheet" Target="/xl/worksheets/sheet5.xml" Id="Rdd60af1c90654d7d" /><Relationship Type="http://schemas.openxmlformats.org/officeDocument/2006/relationships/worksheet" Target="/xl/worksheets/sheet6.xml" Id="R1b252a6cbb48427e" /><Relationship Type="http://schemas.openxmlformats.org/officeDocument/2006/relationships/worksheet" Target="/xl/worksheets/sheet7.xml" Id="Rbb3a1b851618440f" /><Relationship Type="http://schemas.openxmlformats.org/officeDocument/2006/relationships/worksheet" Target="/xl/worksheets/sheet8.xml" Id="R3833f355b6b74f7f" /><Relationship Type="http://schemas.openxmlformats.org/officeDocument/2006/relationships/worksheet" Target="/xl/worksheets/sheet9.xml" Id="R54f462ea04834b29" /><Relationship Type="http://schemas.openxmlformats.org/officeDocument/2006/relationships/worksheet" Target="/xl/worksheets/sheet10.xml" Id="R0f8718be468446e1" /><Relationship Type="http://schemas.openxmlformats.org/officeDocument/2006/relationships/worksheet" Target="/xl/worksheets/sheet11.xml" Id="Re9b2354f98d24aec" /><Relationship Type="http://schemas.openxmlformats.org/officeDocument/2006/relationships/worksheet" Target="/xl/worksheets/sheet12.xml" Id="R4e3b2611d5b844bf" /><Relationship Type="http://schemas.openxmlformats.org/officeDocument/2006/relationships/worksheet" Target="/xl/worksheets/sheet13.xml" Id="Rc9e5f0eb628f4925" /><Relationship Type="http://schemas.openxmlformats.org/officeDocument/2006/relationships/worksheet" Target="/xl/worksheets/sheet14.xml" Id="Rbb9bd100b9e54d71" /><Relationship Type="http://schemas.openxmlformats.org/officeDocument/2006/relationships/worksheet" Target="/xl/worksheets/sheet15.xml" Id="Rf26c08dbe6704445" /><Relationship Type="http://schemas.openxmlformats.org/officeDocument/2006/relationships/worksheet" Target="/xl/worksheets/sheet16.xml" Id="R5ea96f54995847f0" /><Relationship Type="http://schemas.openxmlformats.org/officeDocument/2006/relationships/worksheet" Target="/xl/worksheets/sheet17.xml" Id="R7d401d3891084d4e" /><Relationship Type="http://schemas.openxmlformats.org/officeDocument/2006/relationships/worksheet" Target="/xl/worksheets/sheet18.xml" Id="Rc14c731d00d2488b" /><Relationship Type="http://schemas.openxmlformats.org/officeDocument/2006/relationships/worksheet" Target="/xl/worksheets/sheet19.xml" Id="R0e68fc0dab6e4370" /><Relationship Type="http://schemas.openxmlformats.org/officeDocument/2006/relationships/worksheet" Target="/xl/worksheets/sheet20.xml" Id="R58134ec9a9f44eac" /><Relationship Type="http://schemas.openxmlformats.org/officeDocument/2006/relationships/worksheet" Target="/xl/worksheets/sheet21.xml" Id="R0703e0d54345458a" /><Relationship Type="http://schemas.openxmlformats.org/officeDocument/2006/relationships/worksheet" Target="/xl/worksheets/sheet22.xml" Id="Rfa0d72256ff040cd" /><Relationship Type="http://schemas.openxmlformats.org/officeDocument/2006/relationships/worksheet" Target="/xl/worksheets/sheet23.xml" Id="R5b74eafcce5e4348" /><Relationship Type="http://schemas.openxmlformats.org/officeDocument/2006/relationships/worksheet" Target="/xl/worksheets/sheet24.xml" Id="R61d6c5fb4a23446d" /><Relationship Type="http://schemas.openxmlformats.org/officeDocument/2006/relationships/worksheet" Target="/xl/worksheets/sheet25.xml" Id="Rcd5e45756653453d" /><Relationship Type="http://schemas.openxmlformats.org/officeDocument/2006/relationships/worksheet" Target="/xl/worksheets/sheet26.xml" Id="R9ae6ab0670444857" /><Relationship Type="http://schemas.openxmlformats.org/officeDocument/2006/relationships/worksheet" Target="/xl/worksheets/sheet27.xml" Id="Ra0dc4b97effa4d8c" /><Relationship Type="http://schemas.openxmlformats.org/officeDocument/2006/relationships/worksheet" Target="/xl/worksheets/sheet28.xml" Id="R4b0e4e1a059f4239" /><Relationship Type="http://schemas.openxmlformats.org/officeDocument/2006/relationships/worksheet" Target="/xl/worksheets/sheet29.xml" Id="R95b5ae900fc84628" /><Relationship Type="http://schemas.openxmlformats.org/officeDocument/2006/relationships/worksheet" Target="/xl/worksheets/sheet30.xml" Id="R40469569b28a42fa" /><Relationship Type="http://schemas.openxmlformats.org/officeDocument/2006/relationships/worksheet" Target="/xl/worksheets/sheet31.xml" Id="R0943a652f85642e3" /><Relationship Type="http://schemas.openxmlformats.org/officeDocument/2006/relationships/worksheet" Target="/xl/worksheets/sheet32.xml" Id="Rdbfb4ec5eb3d4f06" /><Relationship Type="http://schemas.openxmlformats.org/officeDocument/2006/relationships/worksheet" Target="/xl/worksheets/sheet33.xml" Id="R9d9ae7f0b76e42ef" /><Relationship Type="http://schemas.openxmlformats.org/officeDocument/2006/relationships/worksheet" Target="/xl/worksheets/sheet34.xml" Id="Rfe1e10b865c34da4" /><Relationship Type="http://schemas.openxmlformats.org/officeDocument/2006/relationships/worksheet" Target="/xl/worksheets/sheet35.xml" Id="R226280b0672e4114" /><Relationship Type="http://schemas.openxmlformats.org/officeDocument/2006/relationships/worksheet" Target="/xl/worksheets/sheet36.xml" Id="R17cfb9c9847b44ae" /><Relationship Type="http://schemas.openxmlformats.org/officeDocument/2006/relationships/worksheet" Target="/xl/worksheets/sheet37.xml" Id="Rba740e8595394c98" /><Relationship Type="http://schemas.microsoft.com/office/2017/10/relationships/person" Target="/xl/persons/person.xml" Id="R57407b98be83478c" /></Relationships>
</file>

<file path=xl/drawings/_rels/drawing1.xml.rels>&#65279;<?xml version="1.0" encoding="utf-8"?><Relationships xmlns="http://schemas.openxmlformats.org/package/2006/relationships"><Relationship Type="http://schemas.openxmlformats.org/officeDocument/2006/relationships/chart" Target="/xl/drawings/charts/chart1.xml" Id="R21d7b2aab19d455f" /></Relationships>
</file>

<file path=xl/drawings/_rels/drawing2.xml.rels>&#65279;<?xml version="1.0" encoding="utf-8"?><Relationships xmlns="http://schemas.openxmlformats.org/package/2006/relationships"><Relationship Type="http://schemas.openxmlformats.org/officeDocument/2006/relationships/chart" Target="/xl/drawings/charts/chart2.xml" Id="R1dba53a1efed438f" /><Relationship Type="http://schemas.openxmlformats.org/officeDocument/2006/relationships/chart" Target="/xl/drawings/charts/chart3.xml" Id="Raf7f544997c847be" /></Relationships>
</file>

<file path=xl/drawings/_rels/drawing3.xml.rels>&#65279;<?xml version="1.0" encoding="utf-8"?><Relationships xmlns="http://schemas.openxmlformats.org/package/2006/relationships"><Relationship Type="http://schemas.openxmlformats.org/officeDocument/2006/relationships/chart" Target="/xl/drawings/charts/chart4.xml" Id="R3997ae66c70c482b" /><Relationship Type="http://schemas.openxmlformats.org/officeDocument/2006/relationships/chart" Target="/xl/drawings/charts/chart5.xml" Id="R99beeb2a11814269" /><Relationship Type="http://schemas.openxmlformats.org/officeDocument/2006/relationships/chart" Target="/xl/drawings/charts/chart6.xml" Id="Rdff3436b8455470b" /></Relationships>
</file>

<file path=xl/drawings/_rels/drawing4.xml.rels>&#65279;<?xml version="1.0" encoding="utf-8"?><Relationships xmlns="http://schemas.openxmlformats.org/package/2006/relationships"><Relationship Type="http://schemas.openxmlformats.org/officeDocument/2006/relationships/chart" Target="/xl/drawings/charts/chart7.xml" Id="Rddd6e7be36124ec3"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00"/>
              <a:t>GMD leads the operational screen (score / 5)</a:t>
            </a:r>
          </a:p>
        </c:rich>
      </c:tx>
      <c:txPr>
        <a:bodyPr xmlns:a="http://schemas.openxmlformats.org/drawingml/2006/main" anchorCtr="1"/>
        <a:lstStyle xmlns:a="http://schemas.openxmlformats.org/drawingml/2006/main"/>
        <a:p xmlns:a="http://schemas.openxmlformats.org/drawingml/2006/main">
          <a:pPr>
            <a:defRPr sz="900"/>
          </a:pPr>
        </a:p>
      </c:txPr>
    </c:title>
    <c:plotArea>
      <c:barChart>
        <c:barDir val="col"/>
        <c:varyColors val="0"/>
        <c:ser>
          <c:idx val="0"/>
          <c:order val="0"/>
          <c:tx>
            <c:v>Weighted score</c:v>
          </c:tx>
          <c:cat>
            <c:strRef>
              <c:f>'P2 Scorecard'!$H$22:$H$25</c:f>
              <c:strCache>
                <c:ptCount val="0"/>
              </c:strCache>
            </c:strRef>
          </c:cat>
          <c:val>
            <c:numRef>
              <c:f>'P2 Scorecard'!$I$22:$I$25</c:f>
              <c:numCache>
                <c:formatCode>0.00x</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max val="5"/>
          <c:min val="0"/>
        </c:scaling>
        <c:delete val="0"/>
        <c:axPos val="l"/>
        <c:majorGridlines>
          <c:spPr>
            <a:ln xmlns:a="http://schemas.openxmlformats.org/drawingml/2006/main" w="9525">
              <a:solidFill>
                <a:srgbClr val="CCCCCC"/>
              </a:solidFill>
              <a:prstDash val="dash"/>
            </a:ln>
          </c:spPr>
        </c:majorGridlines>
        <c:numFmt formatCode="0.0x"/>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System throughput expanded to 5.1m TEU</a:t>
            </a:r>
          </a:p>
        </c:rich>
      </c:tx>
    </c:title>
    <c:plotArea>
      <c:lineChart>
        <c:grouping val="standard"/>
        <c:varyColors val="0"/>
        <c:ser>
          <c:idx val="0"/>
          <c:order val="0"/>
          <c:tx>
            <c:v>System throughput (m TEU)</c:v>
          </c:tx>
          <c:marker>
            <c:symbol val="none"/>
          </c:marker>
          <c:cat>
            <c:strRef>
              <c:f>'P3 Dashboard'!$A$33:$A$37</c:f>
              <c:strCache>
                <c:ptCount val="0"/>
              </c:strCache>
            </c:strRef>
          </c:cat>
          <c:val>
            <c:numRef>
              <c:f>'P3 Dashboard'!$B$33:$B$37</c:f>
              <c:numCache>
                <c:formatCode>#,##0.000;[Red](#,##0.000);-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Associates became a major share of core PBT (VND bn)</a:t>
            </a:r>
          </a:p>
        </c:rich>
      </c:tx>
    </c:title>
    <c:plotArea>
      <c:barChart>
        <c:barDir val="col"/>
        <c:varyColors val="0"/>
        <c:ser>
          <c:idx val="0"/>
          <c:order val="0"/>
          <c:tx>
            <c:v>Associate earnings</c:v>
          </c:tx>
          <c:cat>
            <c:strRef>
              <c:f>'P3 Dashboard'!$F$33:$F$37</c:f>
              <c:strCache>
                <c:ptCount val="0"/>
              </c:strCache>
            </c:strRef>
          </c:cat>
          <c:val>
            <c:numRef>
              <c:f>'P3 Dashboard'!$G$33:$G$37</c:f>
              <c:numCache>
                <c:formatCode>#,##0.0;[Red](#,##0.0);-</c:formatCode>
                <c:ptCount val="0"/>
              </c:numCache>
            </c:numRef>
          </c:val>
        </c:ser>
        <c:ser>
          <c:idx val="1"/>
          <c:order val="1"/>
          <c:tx>
            <c:v>Residual core PBT</c:v>
          </c:tx>
          <c:cat>
            <c:strRef>
              <c:f>'P3 Dashboard'!$F$33:$F$37</c:f>
              <c:strCache>
                <c:ptCount val="0"/>
              </c:strCache>
            </c:strRef>
          </c:cat>
          <c:val>
            <c:numRef>
              <c:f>'P3 Dashboard'!$H$33:$H$37</c:f>
              <c:numCache>
                <c:formatCode>#,##0.0;[Red](#,##0.0);-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4.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GMD system throughput scales with share and capacity (m TEU)</a:t>
            </a:r>
          </a:p>
        </c:rich>
      </c:tx>
    </c:title>
    <c:plotArea>
      <c:lineChart>
        <c:grouping val="standard"/>
        <c:varyColors val="0"/>
        <c:ser>
          <c:idx val="0"/>
          <c:order val="0"/>
          <c:tx>
            <c:v>Base throughput</c:v>
          </c:tx>
          <c:spPr>
            <a:solidFill xmlns:a="http://schemas.openxmlformats.org/drawingml/2006/main">
              <a:srgbClr val="1F4E78"/>
            </a:solidFill>
          </c:spPr>
          <c:marker>
            <c:symbol val="none"/>
          </c:marker>
          <c:cat>
            <c:strRef>
              <c:f>'P4 Dashboard'!$A$49:$A$54</c:f>
              <c:strCache>
                <c:ptCount val="0"/>
              </c:strCache>
            </c:strRef>
          </c:cat>
          <c:val>
            <c:numRef>
              <c:f>'P4 Dashboard'!$B$49:$B$54</c:f>
              <c:numCache>
                <c:formatCode>#,##0.000;[Red](#,##0.000);-</c:formatCode>
                <c:ptCount val="0"/>
              </c:numCache>
            </c:numRef>
          </c:val>
        </c:ser>
        <c:ser>
          <c:idx val="1"/>
          <c:order val="1"/>
          <c:tx>
            <c:v>Bull throughput</c:v>
          </c:tx>
          <c:spPr>
            <a:solidFill xmlns:a="http://schemas.openxmlformats.org/drawingml/2006/main">
              <a:srgbClr val="2E7D32"/>
            </a:solidFill>
          </c:spPr>
          <c:marker>
            <c:symbol val="none"/>
          </c:marker>
          <c:cat>
            <c:strRef>
              <c:f>'P4 Dashboard'!$A$49:$A$54</c:f>
              <c:strCache>
                <c:ptCount val="0"/>
              </c:strCache>
            </c:strRef>
          </c:cat>
          <c:val>
            <c:numRef>
              <c:f>'P4 Dashboard'!$C$49:$C$54</c:f>
              <c:numCache>
                <c:formatCode>#,##0.000;[Red](#,##0.000);-</c:formatCode>
                <c:ptCount val="0"/>
              </c:numCache>
            </c:numRef>
          </c:val>
        </c:ser>
        <c:ser>
          <c:idx val="2"/>
          <c:order val="2"/>
          <c:tx>
            <c:v>Bear throughput</c:v>
          </c:tx>
          <c:spPr>
            <a:solidFill xmlns:a="http://schemas.openxmlformats.org/drawingml/2006/main">
              <a:srgbClr val="C00000"/>
            </a:solidFill>
          </c:spPr>
          <c:marker>
            <c:symbol val="none"/>
          </c:marker>
          <c:cat>
            <c:strRef>
              <c:f>'P4 Dashboard'!$A$49:$A$54</c:f>
              <c:strCache>
                <c:ptCount val="0"/>
              </c:strCache>
            </c:strRef>
          </c:cat>
          <c:val>
            <c:numRef>
              <c:f>'P4 Dashboard'!$D$49:$D$54</c:f>
              <c:numCache>
                <c:formatCode>#,##0.000;[Red](#,##0.000);-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lblAlgn val="ctr"/>
        <c:lblOffset val="100"/>
        <c:noMultiLvlLbl val="0"/>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5.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Base-case revenue and parent PAT (VND bn)</a:t>
            </a:r>
          </a:p>
        </c:rich>
      </c:tx>
    </c:title>
    <c:plotArea>
      <c:lineChart>
        <c:grouping val="standard"/>
        <c:varyColors val="0"/>
        <c:ser>
          <c:idx val="0"/>
          <c:order val="0"/>
          <c:tx>
            <c:v>Revenue</c:v>
          </c:tx>
          <c:spPr>
            <a:solidFill xmlns:a="http://schemas.openxmlformats.org/drawingml/2006/main">
              <a:srgbClr val="1F4E78"/>
            </a:solidFill>
          </c:spPr>
          <c:marker>
            <c:symbol val="none"/>
          </c:marker>
          <c:cat>
            <c:strRef>
              <c:f>'P4 Dashboard'!$F$49:$F$54</c:f>
              <c:strCache>
                <c:ptCount val="0"/>
              </c:strCache>
            </c:strRef>
          </c:cat>
          <c:val>
            <c:numRef>
              <c:f>'P4 Dashboard'!$G$49:$G$54</c:f>
              <c:numCache>
                <c:formatCode>#,##0.0;[Red](#,##0.0);-</c:formatCode>
                <c:ptCount val="0"/>
              </c:numCache>
            </c:numRef>
          </c:val>
        </c:ser>
        <c:ser>
          <c:idx val="1"/>
          <c:order val="1"/>
          <c:tx>
            <c:v>Parent PAT</c:v>
          </c:tx>
          <c:spPr>
            <a:solidFill xmlns:a="http://schemas.openxmlformats.org/drawingml/2006/main">
              <a:srgbClr val="F4B183"/>
            </a:solidFill>
          </c:spPr>
          <c:marker>
            <c:symbol val="none"/>
          </c:marker>
          <c:cat>
            <c:strRef>
              <c:f>'P4 Dashboard'!$F$49:$F$54</c:f>
              <c:strCache>
                <c:ptCount val="0"/>
              </c:strCache>
            </c:strRef>
          </c:cat>
          <c:val>
            <c:numRef>
              <c:f>'P4 Dashboard'!$H$49:$H$54</c:f>
              <c:numCache>
                <c:formatCode>#,##0.0;[Red](#,##0.0);-</c:formatCode>
                <c:ptCount val="0"/>
              </c:numCache>
            </c:numRef>
          </c:val>
        </c:ser>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txPr>
          <a:bodyPr xmlns:a="http://schemas.openxmlformats.org/drawingml/2006/main" anchorCtr="1"/>
          <a:lstStyle xmlns:a="http://schemas.openxmlformats.org/drawingml/2006/main"/>
          <a:p xmlns:a="http://schemas.openxmlformats.org/drawingml/2006/main">
            <a:pPr>
              <a:defRPr sz="675"/>
            </a:pPr>
          </a:p>
        </c:txPr>
        <c:crossAx val="48672768"/>
        <c:lblAlgn val="ctr"/>
        <c:lblOffset val="100"/>
        <c:noMultiLvlLbl val="0"/>
      </c:catAx>
      <c:valAx>
        <c:axId val="48672768"/>
        <c:scaling>
          <c:orientation val="minMax"/>
          <c:min val="0"/>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6.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Scenario target prices vs current (VND/share)</a:t>
            </a:r>
          </a:p>
        </c:rich>
      </c:tx>
    </c:title>
    <c:plotArea>
      <c:barChart>
        <c:barDir val="col"/>
        <c:varyColors val="0"/>
        <c:ser>
          <c:idx val="0"/>
          <c:order val="0"/>
          <c:tx>
            <c:v>Value</c:v>
          </c:tx>
          <c:spPr>
            <a:solidFill xmlns:a="http://schemas.openxmlformats.org/drawingml/2006/main">
              <a:srgbClr val="1F4E78"/>
            </a:solidFill>
          </c:spPr>
          <c:cat>
            <c:strRef>
              <c:f>'P4 Dashboard'!$J$49:$J$52</c:f>
              <c:strCache>
                <c:ptCount val="0"/>
              </c:strCache>
            </c:strRef>
          </c:cat>
          <c:val>
            <c:numRef>
              <c:f>'P4 Dashboard'!$K$49:$K$52</c:f>
              <c:numCache>
                <c:formatCode>#,##0;[Red](#,##0);-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c:majorTickMark val="none"/>
        <c:minorTickMark val="none"/>
        <c:crossAx val="48650112"/>
        <c:crossBetween val="between"/>
      </c:valAx>
    </c:plotArea>
    <c:plotVisOnly val="1"/>
  </c:chart>
  <c:spPr>
    <a:ln xmlns:a="http://schemas.openxmlformats.org/drawingml/2006/main" w="9525">
      <a:solidFill>
        <a:srgbClr val="D9D9D9"/>
      </a:solidFill>
      <a:prstDash val="solid"/>
    </a:ln>
  </c:spPr>
</c:chartSpace>
</file>

<file path=xl/drawings/charts/chart7.xml><?xml version="1.0" encoding="utf-8"?>
<c:chartSpace xmlns:c="http://schemas.openxmlformats.org/drawingml/2006/chart">
  <c:lang val="en-US"/>
  <c:roundedCorners val="0"/>
  <c:chart>
    <c:plotArea>
      <c:lineChart>
        <c:grouping val="standard"/>
        <c:ser>
          <c:idx val="0"/>
          <c:order val="0"/>
          <c:tx>
            <c:v>GMD</c:v>
          </c:tx>
          <c:marker>
            <c:symbol val="none"/>
          </c:marker>
          <c:cat>
            <c:strRef>
              <c:f>'P4 Beta'!$A$17:$A$275</c:f>
              <c:strCache>
                <c:ptCount val="0"/>
              </c:strCache>
            </c:strRef>
          </c:cat>
          <c:val>
            <c:numRef>
              <c:f>'P4 Beta'!$F$17:$F$275</c:f>
              <c:numCache>
                <c:formatCode>0</c:formatCode>
                <c:ptCount val="0"/>
              </c:numCache>
            </c:numRef>
          </c:val>
        </c:ser>
        <c:ser>
          <c:idx val="1"/>
          <c:order val="1"/>
          <c:tx>
            <c:v>VN-Index</c:v>
          </c:tx>
          <c:marker>
            <c:symbol val="none"/>
          </c:marker>
          <c:cat>
            <c:strRef>
              <c:f>'P4 Beta'!$A$17:$A$275</c:f>
              <c:strCache>
                <c:ptCount val="0"/>
              </c:strCache>
            </c:strRef>
          </c:cat>
          <c:val>
            <c:numRef>
              <c:f>'P4 Beta'!$G$17:$G$275</c:f>
              <c:numCache>
                <c:formatCode>0</c:formatCode>
                <c:ptCount val="0"/>
              </c:numCache>
            </c:numRef>
          </c:val>
        </c:ser>
        <c:axId val="48650112"/>
        <c:axId val="48672768"/>
      </c:lineChart>
      <c:dateAx>
        <c:axId val="48650112"/>
        <c:scaling>
          <c:orientation val="minMax"/>
        </c:scaling>
        <c:delete val="0"/>
        <c:axPos val="b"/>
        <c:majorGridlines>
          <c:spPr>
            <a:ln xmlns:a="http://schemas.openxmlformats.org/drawingml/2006/main" w="9525">
              <a:solidFill>
                <a:srgbClr val="CCCCCC"/>
              </a:solidFill>
              <a:prstDash val="dash"/>
            </a:ln>
          </c:spPr>
        </c:majorGridlines>
        <c:numFmt formatCode="mmm-yy"/>
        <c:majorTickMark val="none"/>
        <c:minorTickMark val="none"/>
        <c:tickLblPos val="nextTo"/>
        <c:crossAx val="48672768"/>
        <c:auto val="1"/>
        <c:lblOffset val="100"/>
      </c:dateAx>
      <c:valAx>
        <c:axId val="48672768"/>
        <c:scaling>
          <c:orientation val="minMax"/>
        </c:scaling>
        <c:delete val="0"/>
        <c:axPos val="l"/>
        <c:majorGridlines>
          <c:spPr>
            <a:ln xmlns:a="http://schemas.openxmlformats.org/drawingml/2006/main" w="9525">
              <a:solidFill>
                <a:srgbClr val="CCCCCC"/>
              </a:solidFill>
              <a:prstDash val="dash"/>
            </a:ln>
          </c:spPr>
        </c:majorGridlines>
        <c:title>
          <c:tx>
            <c:rich>
              <a:bodyPr xmlns:a="http://schemas.openxmlformats.org/drawingml/2006/main"/>
              <a:lstStyle xmlns:a="http://schemas.openxmlformats.org/drawingml/2006/main"/>
              <a:p xmlns:a="http://schemas.openxmlformats.org/drawingml/2006/main">
                <a:r>
                  <a:t>Rebased to 100</a:t>
                </a:r>
              </a:p>
            </c:rich>
          </c:tx>
        </c:title>
        <c:numFmt formatCode="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3</xdr:row>
      <xdr:rowOff>0</xdr:rowOff>
    </xdr:from>
    <xdr:to>
      <xdr:col>15</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21d7b2aab19d455f"/>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3</xdr:row>
      <xdr:rowOff>0</xdr:rowOff>
    </xdr:from>
    <xdr:to>
      <xdr:col>14</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dba53a1efed438f"/>
        </a:graphicData>
      </a:graphic>
    </xdr:graphicFrame>
    <xdr:clientData/>
  </xdr:twoCellAnchor>
  <xdr:twoCellAnchor>
    <xdr:from>
      <xdr:col>7</xdr:col>
      <xdr:colOff>0</xdr:colOff>
      <xdr:row>16</xdr:row>
      <xdr:rowOff>0</xdr:rowOff>
    </xdr:from>
    <xdr:to>
      <xdr:col>14</xdr:col>
      <xdr:colOff>0</xdr:colOff>
      <xdr:row>30</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f7f544997c847be"/>
        </a:graphicData>
      </a:graphic>
    </xdr:graphicFrame>
    <xdr:clientData/>
  </xdr:twoCellAnchor>
</xdr:wsDr>
</file>

<file path=xl/drawings/drawing3.xml><?xml version="1.0" encoding="utf-8"?>
<xdr:wsDr xmlns:xdr="http://schemas.openxmlformats.org/drawingml/2006/spreadsheetDrawing">
  <xdr:twoCellAnchor>
    <xdr:from>
      <xdr:col>0</xdr:col>
      <xdr:colOff>0</xdr:colOff>
      <xdr:row>15</xdr:row>
      <xdr:rowOff>0</xdr:rowOff>
    </xdr:from>
    <xdr:to>
      <xdr:col>7</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3997ae66c70c482b"/>
        </a:graphicData>
      </a:graphic>
    </xdr:graphicFrame>
    <xdr:clientData/>
  </xdr:twoCellAnchor>
  <xdr:twoCellAnchor>
    <xdr:from>
      <xdr:col>7</xdr:col>
      <xdr:colOff>0</xdr:colOff>
      <xdr:row>15</xdr:row>
      <xdr:rowOff>0</xdr:rowOff>
    </xdr:from>
    <xdr:to>
      <xdr:col>14</xdr:col>
      <xdr:colOff>0</xdr:colOff>
      <xdr:row>31</xdr:row>
      <xdr:rowOff>0</xdr:rowOff>
    </xdr:to>
    <xdr:graphicFrame macro="">
      <xdr:nvGraphicFramePr>
        <xdr:cNvPr id="2"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99beeb2a11814269"/>
        </a:graphicData>
      </a:graphic>
    </xdr:graphicFrame>
    <xdr:clientData/>
  </xdr:twoCellAnchor>
  <xdr:twoCellAnchor>
    <xdr:from>
      <xdr:col>0</xdr:col>
      <xdr:colOff>0</xdr:colOff>
      <xdr:row>32</xdr:row>
      <xdr:rowOff>0</xdr:rowOff>
    </xdr:from>
    <xdr:to>
      <xdr:col>7</xdr:col>
      <xdr:colOff>0</xdr:colOff>
      <xdr:row>46</xdr:row>
      <xdr:rowOff>0</xdr:rowOff>
    </xdr:to>
    <xdr:graphicFrame macro="">
      <xdr:nvGraphicFramePr>
        <xdr:cNvPr id="3"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ff3436b8455470b"/>
        </a:graphicData>
      </a:graphic>
    </xdr:graphicFrame>
    <xdr:clientData/>
  </xdr:twoCellAnchor>
</xdr:wsDr>
</file>

<file path=xl/drawings/drawing4.xml><?xml version="1.0" encoding="utf-8"?>
<xdr:wsDr xmlns:xdr="http://schemas.openxmlformats.org/drawingml/2006/spreadsheetDrawing">
  <xdr:twoCellAnchor>
    <xdr:from>
      <xdr:col>8</xdr:col>
      <xdr:colOff>0</xdr:colOff>
      <xdr:row>14</xdr:row>
      <xdr:rowOff>0</xdr:rowOff>
    </xdr:from>
    <xdr:to>
      <xdr:col>17</xdr:col>
      <xdr:colOff>0</xdr:colOff>
      <xdr:row>33</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dd6e7be36124ec3"/>
        </a:graphicData>
      </a:graphic>
    </xdr:graphicFrame>
    <xdr:clientData/>
  </xdr:twoCellAnchor>
</xdr:wsDr>
</file>

<file path=xl/persons/person.xml><?xml version="1.0" encoding="utf-8"?>
<xltc:personList xmlns:xltc="http://schemas.microsoft.com/office/spreadsheetml/2018/threadedcomments">
  <xltc:person displayName="Hoang" id="{A8268A1E-939A-4C1C-8768-738380D30AEC}"/>
  <xltc:person displayName="Hoang" id="{1328C053-4A22-4BE4-841F-FC72A980F73F}"/>
  <xltc:person displayName="Hoang" id="{EE165147-03F5-4C66-8FE2-0EB1F215D8DD}"/>
  <xltc:person displayName="Hoang" id="{7A18175A-8A26-4E83-9E41-49BF328882A3}"/>
</xltc:personList>
</file>

<file path=xl/tables/table1.xml><?xml version="1.0" encoding="utf-8"?>
<x:table xmlns:x="http://schemas.openxmlformats.org/spreadsheetml/2006/main" id="1" name="SourceAuditTable" displayName="SourceAuditTable" ref="A6:K47" headerRowCount="1" totalsRowCount="0" totalsRowShown="0">
  <x:tableColumns count="11">
    <x:tableColumn id="1" name="Source ID"/>
    <x:tableColumn id="2" name="Topic"/>
    <x:tableColumn id="3" name="Issuer / publisher"/>
    <x:tableColumn id="4" name="Document"/>
    <x:tableColumn id="5" name="Evidence class"/>
    <x:tableColumn id="6" name="Period"/>
    <x:tableColumn id="7" name="Accessed"/>
    <x:tableColumn id="8" name="Status"/>
    <x:tableColumn id="9" name="Source URL"/>
    <x:tableColumn id="10" name="Intended use"/>
    <x:tableColumn id="11" name="Audit note"/>
  </x:tableColumns>
  <x:tableStyleInfo name="TableStyleMedium2" showFirstColumn="0" showLastColumn="0" showRowStripes="1" showColumnStripes="0"/>
</x:table>
</file>

<file path=xl/tables/table2.xml><?xml version="1.0" encoding="utf-8"?>
<x:table xmlns:x="http://schemas.openxmlformats.org/spreadsheetml/2006/main" id="2" name="MacroAnnualTable" displayName="MacroAnnualTable" ref="A6:L11" headerRowCount="1" totalsRowCount="0" totalsRowShown="0">
  <x:tableColumns count="12">
    <x:tableColumn id="1" name="Year"/>
    <x:tableColumn id="2" name="Exports"/>
    <x:tableColumn id="3" name="Imports"/>
    <x:tableColumn id="4" name="Total trade"/>
    <x:tableColumn id="5" name="Trade YoY"/>
    <x:tableColumn id="6" name="Registered FDI"/>
    <x:tableColumn id="7" name="Disbursed FDI"/>
    <x:tableColumn id="8" name="FDI realization"/>
    <x:tableColumn id="9" name="Trade check"/>
    <x:tableColumn id="10" name="Source ID"/>
    <x:tableColumn id="11" name="Data class"/>
    <x:tableColumn id="12" name="Audit note"/>
  </x:tableColumns>
  <x:tableStyleInfo name="TableStyleMedium2" showFirstColumn="0" showLastColumn="0" showRowStripes="1" showColumnStripes="0"/>
</x:table>
</file>

<file path=xl/tables/table3.xml><?xml version="1.0" encoding="utf-8"?>
<x:table xmlns:x="http://schemas.openxmlformats.org/spreadsheetml/2006/main" id="3" name="MacroH1Table" displayName="MacroH1Table" ref="A6:J11" headerRowCount="1" totalsRowCount="0" totalsRowShown="0">
  <x:tableColumns count="10">
    <x:tableColumn id="1" name="Data ID"/>
    <x:tableColumn id="2" name="Indicator"/>
    <x:tableColumn id="3" name="Value"/>
    <x:tableColumn id="4" name="Unit"/>
    <x:tableColumn id="5" name="YoY growth"/>
    <x:tableColumn id="6" name="Period"/>
    <x:tableColumn id="7" name="Data class"/>
    <x:tableColumn id="8" name="Source ID"/>
    <x:tableColumn id="9" name="Intended use"/>
    <x:tableColumn id="10" name="Key caveat"/>
  </x:tableColumns>
  <x:tableStyleInfo name="TableStyleMedium2" showFirstColumn="0" showLastColumn="0" showRowStripes="1" showColumnStripes="0"/>
</x:table>
</file>

<file path=xl/tables/table4.xml><?xml version="1.0" encoding="utf-8"?>
<x:table xmlns:x="http://schemas.openxmlformats.org/spreadsheetml/2006/main" id="4" name="IndustryFactsTable" displayName="IndustryFactsTable" ref="A6:K17" headerRowCount="1" totalsRowCount="0" totalsRowShown="0">
  <x:tableColumns count="11">
    <x:tableColumn id="1" name="Data ID"/>
    <x:tableColumn id="2" name="Metric"/>
    <x:tableColumn id="3" name="Value"/>
    <x:tableColumn id="4" name="Unit"/>
    <x:tableColumn id="5" name="Growth"/>
    <x:tableColumn id="6" name="Period"/>
    <x:tableColumn id="7" name="Scope"/>
    <x:tableColumn id="8" name="Data class"/>
    <x:tableColumn id="9" name="Source ID"/>
    <x:tableColumn id="10" name="Intended use"/>
    <x:tableColumn id="11" name="Audit note"/>
  </x:tableColumns>
  <x:tableStyleInfo name="TableStyleMedium2" showFirstColumn="0" showLastColumn="0" showRowStripes="1" showColumnStripes="0"/>
</x:table>
</file>

<file path=xl/tables/table5.xml><?xml version="1.0" encoding="utf-8"?>
<x:table xmlns:x="http://schemas.openxmlformats.org/spreadsheetml/2006/main" id="5" name="GMDHistoryTable" displayName="GMDHistoryTable" ref="A6:K12" headerRowCount="1" totalsRowCount="0" totalsRowShown="0">
  <x:tableColumns count="11">
    <x:tableColumn id="1" name="Year"/>
    <x:tableColumn id="2" name="Net revenue"/>
    <x:tableColumn id="3" name="PBT / core PBT"/>
    <x:tableColumn id="4" name="PBT margin"/>
    <x:tableColumn id="5" name="Total assets"/>
    <x:tableColumn id="6" name="Equity"/>
    <x:tableColumn id="7" name="D/E"/>
    <x:tableColumn id="8" name="Debt / assets"/>
    <x:tableColumn id="9" name="Interest cover"/>
    <x:tableColumn id="10" name="Source ID"/>
    <x:tableColumn id="11" name="Data note"/>
  </x:tableColumns>
  <x:tableStyleInfo name="TableStyleMedium2" showFirstColumn="0" showLastColumn="0" showRowStripes="1" showColumnStripes="0"/>
</x:table>
</file>

<file path=xl/tables/table6.xml><?xml version="1.0" encoding="utf-8"?>
<x:table xmlns:x="http://schemas.openxmlformats.org/spreadsheetml/2006/main" id="6" name="GMDSegmentTable" displayName="GMDSegmentTable" ref="A17:I20" headerRowCount="1" totalsRowCount="0" totalsRowShown="0">
  <x:tableColumns count="9">
    <x:tableColumn id="1" name="Year"/>
    <x:tableColumn id="2" name="Port revenue"/>
    <x:tableColumn id="3" name="Logistics revenue"/>
    <x:tableColumn id="4" name="Port mix"/>
    <x:tableColumn id="5" name="COGS"/>
    <x:tableColumn id="6" name="Selling expense"/>
    <x:tableColumn id="7" name="G&amp;A"/>
    <x:tableColumn id="8" name="Interest expense"/>
    <x:tableColumn id="9" name="Source ID"/>
  </x:tableColumns>
  <x:tableStyleInfo name="TableStyleMedium2" showFirstColumn="0" showLastColumn="0" showRowStripes="1" showColumnStripes="0"/>
</x:table>
</file>

<file path=xl/tables/table7.xml><?xml version="1.0" encoding="utf-8"?>
<x:table xmlns:x="http://schemas.openxmlformats.org/spreadsheetml/2006/main" id="7" name="GMDOperationsTable" displayName="GMDOperationsTable" ref="A6:J35" headerRowCount="1" totalsRowCount="0" totalsRowShown="0">
  <x:tableColumns count="10">
    <x:tableColumn id="1" name="Data ID"/>
    <x:tableColumn id="2" name="Asset / cluster"/>
    <x:tableColumn id="3" name="Region"/>
    <x:tableColumn id="4" name="Metric"/>
    <x:tableColumn id="5" name="Value"/>
    <x:tableColumn id="6" name="Unit"/>
    <x:tableColumn id="7" name="Period / status"/>
    <x:tableColumn id="8" name="Data class"/>
    <x:tableColumn id="9" name="Source ID"/>
    <x:tableColumn id="10" name="Audit note"/>
  </x:tableColumns>
  <x:tableStyleInfo name="TableStyleMedium2" showFirstColumn="0" showLastColumn="0" showRowStripes="1" showColumnStripes="0"/>
</x:table>
</file>

<file path=xl/tables/table8.xml><?xml version="1.0" encoding="utf-8"?>
<x:table xmlns:x="http://schemas.openxmlformats.org/spreadsheetml/2006/main" id="8" name="PeerRegistryTable" displayName="PeerRegistryTable" ref="A6:I10" headerRowCount="1" totalsRowCount="0" totalsRowShown="0">
  <x:tableColumns count="9">
    <x:tableColumn id="1" name="Ticker"/>
    <x:tableColumn id="2" name="Company"/>
    <x:tableColumn id="3" name="Geography"/>
    <x:tableColumn id="4" name="Key assets / exposure"/>
    <x:tableColumn id="5" name="Strategic angle"/>
    <x:tableColumn id="6" name="Evidence status"/>
    <x:tableColumn id="7" name="Source ID"/>
    <x:tableColumn id="8" name="Phase 2 role"/>
    <x:tableColumn id="9" name="Normalization issue"/>
  </x:tableColumns>
  <x:tableStyleInfo name="TableStyleMedium2" showFirstColumn="0" showLastColumn="0" showRowStripes="1" showColumnStripes="0"/>
</x:table>
</file>

<file path=xl/tables/table9.xml><?xml version="1.0" encoding="utf-8"?>
<x:table xmlns:x="http://schemas.openxmlformats.org/spreadsheetml/2006/main" id="9" name="PHPFactsTable" displayName="PHPFactsTable" ref="A16:H23" headerRowCount="1" totalsRowCount="0" totalsRowShown="0">
  <x:tableColumns count="8">
    <x:tableColumn id="1" name="Data ID"/>
    <x:tableColumn id="2" name="Metric"/>
    <x:tableColumn id="3" name="Value"/>
    <x:tableColumn id="4" name="Unit"/>
    <x:tableColumn id="5" name="Period"/>
    <x:tableColumn id="6" name="Data class"/>
    <x:tableColumn id="7" name="Source ID"/>
    <x:tableColumn id="8" name="Audit note"/>
  </x:tableColumns>
  <x:tableStyleInfo name="TableStyleMedium2" showFirstColumn="0" showLastColumn="0" showRowStripes="1" showColumnStripes="0"/>
</x:table>
</file>

<file path=xl/tables/table10.xml><?xml version="1.0" encoding="utf-8"?>
<x:table xmlns:x="http://schemas.openxmlformats.org/spreadsheetml/2006/main" id="10" name="DataDictionaryTable" displayName="DataDictionaryTable" ref="A6:F21" headerRowCount="1" totalsRowCount="0" totalsRowShown="0">
  <x:tableColumns count="6">
    <x:tableColumn id="1" name="Metric"/>
    <x:tableColumn id="2" name="Definition"/>
    <x:tableColumn id="3" name="Standard unit"/>
    <x:tableColumn id="4" name="Frequency"/>
    <x:tableColumn id="5" name="Preferred source"/>
    <x:tableColumn id="6" name="Modeling caveat"/>
  </x:tableColumns>
  <x:tableStyleInfo name="TableStyleMedium2" showFirstColumn="0" showLastColumn="0" showRowStripes="1" showColumnStripes="0"/>
</x:table>
</file>

<file path=xl/tables/table11.xml><?xml version="1.0" encoding="utf-8"?>
<x:table xmlns:x="http://schemas.openxmlformats.org/spreadsheetml/2006/main" id="11" name="GapLogTable" displayName="GapLogTable" ref="A6:I16" headerRowCount="1" totalsRowCount="0" totalsRowShown="0">
  <x:tableColumns count="9">
    <x:tableColumn id="1" name="Gap ID"/>
    <x:tableColumn id="2" name="Topic"/>
    <x:tableColumn id="3" name="Missing evidence"/>
    <x:tableColumn id="4" name="Priority"/>
    <x:tableColumn id="5" name="Status"/>
    <x:tableColumn id="6" name="Required by"/>
    <x:tableColumn id="7" name="Owner"/>
    <x:tableColumn id="8" name="Next action"/>
    <x:tableColumn id="9" name="Why it matters"/>
  </x:tableColumns>
  <x:tableStyleInfo name="TableStyleMedium2" showFirstColumn="0" showLastColumn="0" showRowStripes="1" showColumnStripes="0"/>
</x:table>
</file>

<file path=xl/tables/table12.xml><?xml version="1.0" encoding="utf-8"?>
<x:table xmlns:x="http://schemas.openxmlformats.org/spreadsheetml/2006/main" id="12" name="ChecksTable" displayName="ChecksTable" ref="A6:F21" headerRowCount="1" totalsRowCount="0" totalsRowShown="0">
  <x:tableColumns count="6">
    <x:tableColumn id="1" name="Check"/>
    <x:tableColumn id="2" name="Actual"/>
    <x:tableColumn id="3" name="Expected"/>
    <x:tableColumn id="4" name="Difference"/>
    <x:tableColumn id="5" name="Status"/>
    <x:tableColumn id="6" name="Control note"/>
  </x:tableColumns>
  <x:tableStyleInfo name="TableStyleMedium2" showFirstColumn="0" showLastColumn="0" showRowStripes="1" showColumnStripes="0"/>
</x:table>
</file>

<file path=xl/tables/table13.xml><?xml version="1.0" encoding="utf-8"?>
<x:table xmlns:x="http://schemas.openxmlformats.org/spreadsheetml/2006/main" id="13" name="P2RegionalMapTable" displayName="P2RegionalMapTable" ref="A6:K10" headerRowCount="1" totalsRowCount="0" totalsRowShown="0">
  <x:tableColumns count="11">
    <x:tableColumn id="1" name="Region / cluster"/>
    <x:tableColumn id="2" name="Geography"/>
    <x:tableColumn id="3" name="Demand / connectivity anchor"/>
    <x:tableColumn id="4" name="Asset-position read"/>
    <x:tableColumn id="5" name="Relevant peers"/>
    <x:tableColumn id="6" name="Key assets"/>
    <x:tableColumn id="7" name="Structural score"/>
    <x:tableColumn id="8" name="ER implication"/>
    <x:tableColumn id="9" name="Main risk"/>
    <x:tableColumn id="10" name="Source ID"/>
    <x:tableColumn id="11" name="Audit note"/>
  </x:tableColumns>
  <x:tableStyleInfo name="TableStyleMedium2" showFirstColumn="0" showLastColumn="0" showRowStripes="1" showColumnStripes="0"/>
</x:table>
</file>

<file path=xl/tables/table14.xml><?xml version="1.0" encoding="utf-8"?>
<x:table xmlns:x="http://schemas.openxmlformats.org/spreadsheetml/2006/main" id="14" name="P2FinancialFactsTable" displayName="P2FinancialFactsTable" ref="A6:N10" headerRowCount="1" totalsRowCount="0" totalsRowShown="0">
  <x:tableColumns count="14">
    <x:tableColumn id="1" name="Ticker"/>
    <x:tableColumn id="2" name="Financial basis"/>
    <x:tableColumn id="3" name="Revenue 2024"/>
    <x:tableColumn id="4" name="Revenue 2025"/>
    <x:tableColumn id="5" name="Revenue growth"/>
    <x:tableColumn id="6" name="PBT 2024"/>
    <x:tableColumn id="7" name="PBT 2025"/>
    <x:tableColumn id="8" name="PBT growth"/>
    <x:tableColumn id="9" name="PBT margin 2025"/>
    <x:tableColumn id="10" name="Assets 2025"/>
    <x:tableColumn id="11" name="Equity 2025"/>
    <x:tableColumn id="12" name="Leverage metric"/>
    <x:tableColumn id="13" name="Source ID"/>
    <x:tableColumn id="14" name="Audit note"/>
  </x:tableColumns>
  <x:tableStyleInfo name="TableStyleMedium2" showFirstColumn="0" showLastColumn="0" showRowStripes="1" showColumnStripes="0"/>
</x:table>
</file>

<file path=xl/tables/table15.xml><?xml version="1.0" encoding="utf-8"?>
<x:table xmlns:x="http://schemas.openxmlformats.org/spreadsheetml/2006/main" id="15" name="P2OperatingFactsTable" displayName="P2OperatingFactsTable" ref="A14:L19" headerRowCount="1" totalsRowCount="0" totalsRowShown="0">
  <x:tableColumns count="12">
    <x:tableColumn id="1" name="Ticker"/>
    <x:tableColumn id="2" name="Operating scope"/>
    <x:tableColumn id="3" name="Period"/>
    <x:tableColumn id="4" name="Throughput"/>
    <x:tableColumn id="5" name="Unit"/>
    <x:tableColumn id="6" name="YoY"/>
    <x:tableColumn id="7" name="Capacity"/>
    <x:tableColumn id="8" name="Capacity unit"/>
    <x:tableColumn id="9" name="Indicative utilization"/>
    <x:tableColumn id="10" name="Data class"/>
    <x:tableColumn id="11" name="Source ID"/>
    <x:tableColumn id="12" name="Audit note"/>
  </x:tableColumns>
  <x:tableStyleInfo name="TableStyleMedium2" showFirstColumn="0" showLastColumn="0" showRowStripes="1" showColumnStripes="0"/>
</x:table>
</file>

<file path=xl/tables/table16.xml><?xml version="1.0" encoding="utf-8"?>
<x:table xmlns:x="http://schemas.openxmlformats.org/spreadsheetml/2006/main" id="16" name="P2ScoreInputsTable" displayName="P2ScoreInputsTable" ref="A5:F12" headerRowCount="1" totalsRowCount="0" totalsRowShown="0">
  <x:tableColumns count="6">
    <x:tableColumn id="1" name="Criterion"/>
    <x:tableColumn id="2" name="Weight"/>
    <x:tableColumn id="3" name="GMD"/>
    <x:tableColumn id="4" name="VSC"/>
    <x:tableColumn id="5" name="PHP"/>
    <x:tableColumn id="6" name="DVP"/>
  </x:tableColumns>
  <x:tableStyleInfo name="TableStyleMedium2" showFirstColumn="0" showLastColumn="0" showRowStripes="1" showColumnStripes="0"/>
</x:table>
</file>

<file path=xl/tables/table17.xml><?xml version="1.0" encoding="utf-8"?>
<x:table xmlns:x="http://schemas.openxmlformats.org/spreadsheetml/2006/main" id="17" name="P2RationaleTable" displayName="P2RationaleTable" ref="A17:F24" headerRowCount="1" totalsRowCount="0" totalsRowShown="0">
  <x:tableColumns count="6">
    <x:tableColumn id="1" name="Criterion"/>
    <x:tableColumn id="2" name="GMD"/>
    <x:tableColumn id="3" name="VSC"/>
    <x:tableColumn id="4" name="PHP"/>
    <x:tableColumn id="5" name="DVP"/>
    <x:tableColumn id="6" name="Source ID"/>
  </x:tableColumns>
  <x:tableStyleInfo name="TableStyleMedium2" showFirstColumn="0" showLastColumn="0" showRowStripes="1" showColumnStripes="0"/>
</x:table>
</file>

<file path=xl/tables/table18.xml><?xml version="1.0" encoding="utf-8"?>
<x:table xmlns:x="http://schemas.openxmlformats.org/spreadsheetml/2006/main" id="18" name="P2PeerRolesTable" displayName="P2PeerRolesTable" ref="A12:E16" headerRowCount="1" totalsRowCount="0" totalsRowShown="0">
  <x:tableColumns count="5">
    <x:tableColumn id="1" name="Ticker"/>
    <x:tableColumn id="2" name="Phase 2 decision"/>
    <x:tableColumn id="3" name="Role in Phase 3"/>
    <x:tableColumn id="4" name="Falsification / warning"/>
    <x:tableColumn id="5" name="Source ID"/>
  </x:tableColumns>
  <x:tableStyleInfo name="TableStyleMedium2" showFirstColumn="0" showLastColumn="0" showRowStripes="1" showColumnStripes="0"/>
</x:table>
</file>

<file path=xl/tables/table19.xml><?xml version="1.0" encoding="utf-8"?>
<x:table xmlns:x="http://schemas.openxmlformats.org/spreadsheetml/2006/main" id="19" name="P2HandoffTable" displayName="P2HandoffTable" ref="A20:D25" headerRowCount="1" totalsRowCount="0" totalsRowShown="0">
  <x:tableColumns count="4">
    <x:tableColumn id="1" name="Step"/>
    <x:tableColumn id="2" name="Schedule"/>
    <x:tableColumn id="3" name="Required output"/>
    <x:tableColumn id="4" name="Evidence class"/>
  </x:tableColumns>
  <x:tableStyleInfo name="TableStyleMedium2" showFirstColumn="0" showLastColumn="0" showRowStripes="1" showColumnStripes="0"/>
</x:table>
</file>

<file path=xl/tables/table20.xml><?xml version="1.0" encoding="utf-8"?>
<x:table xmlns:x="http://schemas.openxmlformats.org/spreadsheetml/2006/main" id="20" name="P2ChecksTable" displayName="P2ChecksTable" ref="A6:G15" headerRowCount="1" totalsRowCount="0" totalsRowShown="0">
  <x:tableColumns count="7">
    <x:tableColumn id="1" name="Check"/>
    <x:tableColumn id="2" name="Actual"/>
    <x:tableColumn id="3" name="Expected"/>
    <x:tableColumn id="4" name="Difference"/>
    <x:tableColumn id="5" name="Tolerance"/>
    <x:tableColumn id="6" name="Status"/>
    <x:tableColumn id="7" name="Control note"/>
  </x:tableColumns>
  <x:tableStyleInfo name="TableStyleMedium2" showFirstColumn="0" showLastColumn="0" showRowStripes="1" showColumnStripes="0"/>
</x:table>
</file>

<file path=xl/tables/table21.xml><?xml version="1.0" encoding="utf-8"?>
<x:table xmlns:x="http://schemas.openxmlformats.org/spreadsheetml/2006/main" id="21" name="RawGMDVNStockTable" displayName="RawGMDVNStockTable" ref="A5:M193" headerRowCount="1" totalsRowCount="0" totalsRowShown="0">
  <x:tableColumns count="13">
    <x:tableColumn id="1" name="Statement"/>
    <x:tableColumn id="2" name="Item ID"/>
    <x:tableColumn id="3" name="Item (Vietnamese)"/>
    <x:tableColumn id="4" name="Item (English)"/>
    <x:tableColumn id="5" name="Fri Dec 31 2021 07:00:00 GMT+0700 (Giờ Đông Dương)"/>
    <x:tableColumn id="6" name="Sat Dec 31 2022 07:00:00 GMT+0700 (Giờ Đông Dương)"/>
    <x:tableColumn id="7" name="Sun Dec 31 2023 07:00:00 GMT+0700 (Giờ Đông Dương)"/>
    <x:tableColumn id="8" name="Tue Dec 31 2024 07:00:00 GMT+0700 (Giờ Đông Dương)"/>
    <x:tableColumn id="9" name="Wed Dec 31 2025 07:00:00 GMT+0700 (Giờ Đông Dương)"/>
    <x:tableColumn id="10" name="Unit"/>
    <x:tableColumn id="11" name="Source ID"/>
    <x:tableColumn id="12" name="Source URL"/>
    <x:tableColumn id="13" name="Fetched at"/>
  </x:tableColumns>
  <x:tableStyleInfo name="TableStyleMedium2" showFirstColumn="0" showLastColumn="0" showRowStripes="1" showColumnStripes="0"/>
</x:table>
</file>

<file path=xl/tables/table22.xml><?xml version="1.0" encoding="utf-8"?>
<x:table xmlns:x="http://schemas.openxmlformats.org/spreadsheetml/2006/main" id="22" name="RawGMDDisclosureTable" displayName="RawGMDDisclosureTable" ref="A4:K21" headerRowCount="1" totalsRowCount="0" totalsRowShown="0">
  <x:tableColumns count="11">
    <x:tableColumn id="1" name="Key"/>
    <x:tableColumn id="2" name="Metric"/>
    <x:tableColumn id="3" name="Unit"/>
    <x:tableColumn id="4" name="Fri Dec 31 2021 07:00:00 GMT+0700 (Giờ Đông Dương)"/>
    <x:tableColumn id="5" name="Sat Dec 31 2022 07:00:00 GMT+0700 (Giờ Đông Dương)"/>
    <x:tableColumn id="6" name="Sun Dec 31 2023 07:00:00 GMT+0700 (Giờ Đông Dương)"/>
    <x:tableColumn id="7" name="Tue Dec 31 2024 07:00:00 GMT+0700 (Giờ Đông Dương)"/>
    <x:tableColumn id="8" name="Wed Dec 31 2025 07:00:00 GMT+0700 (Giờ Đông Dương)"/>
    <x:tableColumn id="9" name="Source ID"/>
    <x:tableColumn id="10" name="Data class"/>
    <x:tableColumn id="11" name="Audit note"/>
  </x:tableColumns>
  <x:tableStyleInfo name="TableStyleMedium2" showFirstColumn="0" showLastColumn="0" showRowStripes="1" showColumnStripes="0"/>
</x:table>
</file>

<file path=xl/tables/table23.xml><?xml version="1.0" encoding="utf-8"?>
<x:table xmlns:x="http://schemas.openxmlformats.org/spreadsheetml/2006/main" id="23" name="RawGMDMarketOHLCV" displayName="RawGMDMarketOHLCV" ref="A5:H11" headerRowCount="1" totalsRowCount="0" totalsRowShown="0">
  <x:tableColumns count="8">
    <x:tableColumn id="1" name="Date"/>
    <x:tableColumn id="2" name="Open"/>
    <x:tableColumn id="3" name="High"/>
    <x:tableColumn id="4" name="Low"/>
    <x:tableColumn id="5" name="Close"/>
    <x:tableColumn id="6" name="Volume"/>
    <x:tableColumn id="7" name="Source ID"/>
    <x:tableColumn id="8" name="Source URL"/>
  </x:tableColumns>
  <x:tableStyleInfo name="TableStyleMedium2" showFirstColumn="0" showLastColumn="0" showRowStripes="1" showColumnStripes="0"/>
</x:table>
</file>

<file path=xl/tables/table24.xml><?xml version="1.0" encoding="utf-8"?>
<x:table xmlns:x="http://schemas.openxmlformats.org/spreadsheetml/2006/main" id="24" name="RawGMDPhase4Facts" displayName="RawGMDPhase4Facts" ref="A14:H30" headerRowCount="1" totalsRowCount="0" totalsRowShown="0">
  <x:tableColumns count="8">
    <x:tableColumn id="1" name="Metric"/>
    <x:tableColumn id="2" name="Unit"/>
    <x:tableColumn id="3" name="Value"/>
    <x:tableColumn id="4" name="Source ID"/>
    <x:tableColumn id="5" name="Source URL"/>
    <x:tableColumn id="6" name="Data class"/>
    <x:tableColumn id="7" name="As of / period"/>
    <x:tableColumn id="8" name="Audit note"/>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threadedcomments/threadedcomment.xml><?xml version="1.0" encoding="utf-8"?>
<xltc:ThreadedComments xmlns:xltc="http://schemas.microsoft.com/office/spreadsheetml/2018/threadedcomments">
  <xltc:threadedComment ref="B7" dT="2026-07-25T12:58:54.066" personId="{A8268A1E-939A-4C1C-8768-738380D30AEC}" id="{63146D7A-0999-1846-B25E-1DC3CA53E368}">
    <xltc:text>Source SRC-M07 / SRC-M08: National Statistics Office annual releases. See Source Audit for the exact URL. Caveat: Trade value is not container throughput.</xltc:text>
  </xltc:threadedComment>
  <xltc:threadedComment ref="F7" dT="2026-07-25T12:58:54.067" personId="{A8268A1E-939A-4C1C-8768-738380D30AEC}" id="{87A70166-A5EE-2EAB-EA4E-7E3AB718A731}">
    <xltc:text>Source SRC-M07 / SRC-M08: National Statistics Office annual releases. See Source Audit for the exact URL. Caveat: Registered FDI is not realized activity.</xltc:text>
  </xltc:threadedComment>
  <xltc:threadedComment ref="B8" dT="2026-07-25T12:58:54.067" personId="{A8268A1E-939A-4C1C-8768-738380D30AEC}" id="{3A5AC678-6081-2310-168C-3DCE65CFAD5B}">
    <xltc:text>Source SRC-M05 / SRC-M06: National Statistics Office annual releases. See Source Audit for the exact URL. Caveat: Trade value is not container throughput.</xltc:text>
  </xltc:threadedComment>
  <xltc:threadedComment ref="F8" dT="2026-07-25T12:58:54.067" personId="{A8268A1E-939A-4C1C-8768-738380D30AEC}" id="{F86A5D85-A28F-1BFB-AF63-38A380FB2B4F}">
    <xltc:text>Source SRC-M05 / SRC-M06: National Statistics Office annual releases. See Source Audit for the exact URL. Caveat: Registered FDI is not realized activity.</xltc:text>
  </xltc:threadedComment>
  <xltc:threadedComment ref="B9" dT="2026-07-25T12:58:54.067" personId="{A8268A1E-939A-4C1C-8768-738380D30AEC}" id="{5C27274A-DB57-49C6-B99E-00B6B1F86185}">
    <xltc:text>Source SRC-M04: National Statistics Office annual releases. See Source Audit for the exact URL. Caveat: Trade value is not container throughput.</xltc:text>
  </xltc:threadedComment>
  <xltc:threadedComment ref="F9" dT="2026-07-25T12:58:54.067" personId="{A8268A1E-939A-4C1C-8768-738380D30AEC}" id="{BDBB4277-F3A1-AF6B-D0C0-E0B0F87278FC}">
    <xltc:text>Source SRC-M04: National Statistics Office annual releases. See Source Audit for the exact URL. Caveat: Registered FDI is not realized activity.</xltc:text>
  </xltc:threadedComment>
  <xltc:threadedComment ref="B10" dT="2026-07-25T12:58:54.067" personId="{A8268A1E-939A-4C1C-8768-738380D30AEC}" id="{6CB1AC40-58F4-F956-2E99-A06C26B648E5}">
    <xltc:text>Source SRC-M03: National Statistics Office annual releases. See Source Audit for the exact URL. Caveat: Trade value is not container throughput.</xltc:text>
  </xltc:threadedComment>
  <xltc:threadedComment ref="F10" dT="2026-07-25T12:58:54.067" personId="{A8268A1E-939A-4C1C-8768-738380D30AEC}" id="{5F97D693-7C94-D69D-017B-FAE1124A7035}">
    <xltc:text>Source SRC-M03: National Statistics Office annual releases. See Source Audit for the exact URL. Caveat: Registered FDI is not realized activity.</xltc:text>
  </xltc:threadedComment>
  <xltc:threadedComment ref="B11" dT="2026-07-25T12:58:54.067" personId="{A8268A1E-939A-4C1C-8768-738380D30AEC}" id="{36359563-E6BE-EF6F-708E-B37B9B3BAB81}">
    <xltc:text>Source SRC-M02: National Statistics Office annual releases. See Source Audit for the exact URL. Caveat: Trade value is not container throughput.</xltc:text>
  </xltc:threadedComment>
  <xltc:threadedComment ref="F11" dT="2026-07-25T12:58:54.067" personId="{A8268A1E-939A-4C1C-8768-738380D30AEC}" id="{9B3EDD4A-E3CF-90F7-FFBD-91C10D776252}">
    <xltc:text>Source SRC-M02: National Statistics Office annual releases. See Source Audit for the exact URL. Caveat: Registered FDI is not realized activity.</xltc:text>
  </xltc:threadedComment>
</xltc:ThreadedComments>
</file>

<file path=xl/threadedcomments/threadedcomment2.xml><?xml version="1.0" encoding="utf-8"?>
<xltc:ThreadedComments xmlns:xltc="http://schemas.microsoft.com/office/spreadsheetml/2018/threadedcomments">
  <xltc:threadedComment ref="C7" dT="2026-07-25T12:58:54.075" personId="{A8268A1E-939A-4C1C-8768-738380D30AEC}" id="{7D145A6F-2FCE-AB7F-712D-6F125BC4C0C4}">
    <xltc:text>Source SRC-M01: National Statistics Office 1H2026 release. https://www.nso.gov.vn/wp-content/uploads/2026/07/VN.-T6.2026-final.pdf. Caveat: Aggregate trade value is not container volume.</xltc:text>
  </xltc:threadedComment>
  <xltc:threadedComment ref="C8" dT="2026-07-25T12:58:54.075" personId="{A8268A1E-939A-4C1C-8768-738380D30AEC}" id="{97BE1A17-849D-6BBC-336F-235CFB05A45F}">
    <xltc:text>Source SRC-M01: National Statistics Office 1H2026 release. https://www.nso.gov.vn/wp-content/uploads/2026/07/VN.-T6.2026-final.pdf. Caveat: Product mix and prices can break the link to TEU.</xltc:text>
  </xltc:threadedComment>
  <xltc:threadedComment ref="C9" dT="2026-07-25T12:58:54.075" personId="{A8268A1E-939A-4C1C-8768-738380D30AEC}" id="{BA0CE728-5612-6E79-AFAE-74E84BD876AD}">
    <xltc:text>Source SRC-M01: National Statistics Office 1H2026 release. https://www.nso.gov.vn/wp-content/uploads/2026/07/VN.-T6.2026-final.pdf. Caveat: Product mix and prices can break the link to TEU.</xltc:text>
  </xltc:threadedComment>
  <xltc:threadedComment ref="C10" dT="2026-07-25T12:58:54.075" personId="{A8268A1E-939A-4C1C-8768-738380D30AEC}" id="{1F8FA1DD-FF11-EDCE-083E-5A9E8C1F5F43}">
    <xltc:text>Source SRC-M01: National Statistics Office 1H2026 release. https://www.nso.gov.vn/wp-content/uploads/2026/07/VN.-T6.2026-final.pdf. Caveat: Not a near-term throughput proxy.</xltc:text>
  </xltc:threadedComment>
  <xltc:threadedComment ref="C11" dT="2026-07-25T12:58:54.075" personId="{A8268A1E-939A-4C1C-8768-738380D30AEC}" id="{45D4ADE2-26D8-5327-5FB9-6E836546A9D6}">
    <xltc:text>Source SRC-M01: National Statistics Office 1H2026 release. https://www.nso.gov.vn/wp-content/uploads/2026/07/VN.-T6.2026-final.pdf. Caveat: More relevant than registered FDI, but still indirect.</xltc:text>
  </xltc:threadedComment>
</xltc:ThreadedComments>
</file>

<file path=xl/threadedcomments/threadedcomment3.xml><?xml version="1.0" encoding="utf-8"?>
<xltc:ThreadedComments xmlns:xltc="http://schemas.microsoft.com/office/spreadsheetml/2018/threadedcomments">
  <xltc:threadedComment ref="C7" dT="2026-07-25T12:58:54.086" personId="{A8268A1E-939A-4C1C-8768-738380D30AEC}" id="{97B67ECE-BB22-C133-EB89-E3B37490B2C5}">
    <xltc:text>Source SRC-I01: Vietnam Maritime and Waterway Administration. https://vimawa.gov.vn/vi/node/15301. Caveat: Scope is broader than seaports.</xltc:text>
  </xltc:threadedComment>
  <xltc:threadedComment ref="C8" dT="2026-07-25T12:58:54.086" personId="{A8268A1E-939A-4C1C-8768-738380D30AEC}" id="{8BA8C446-50DC-0EDB-C1F6-E6D767A63C00}">
    <xltc:text>Source SRC-I01: Vietnam Maritime and Waterway Administration. https://vimawa.gov.vn/vi/node/15301. Caveat: Scope definition must stay unchanged.</xltc:text>
  </xltc:threadedComment>
  <xltc:threadedComment ref="C9" dT="2026-07-25T12:58:54.086" personId="{A8268A1E-939A-4C1C-8768-738380D30AEC}" id="{66EE6F11-650B-A9BA-27D6-88C04027AC1A}">
    <xltc:text>Source SRC-I02: Vietnam Maritime Administration. https://vimawa.gov.vn/vi/node/14557. Caveat: Partial year; not annualized in Phase 1.</xltc:text>
  </xltc:threadedComment>
  <xltc:threadedComment ref="C10" dT="2026-07-25T12:58:54.086" personId="{A8268A1E-939A-4C1C-8768-738380D30AEC}" id="{EAF517EB-9888-FA03-3FE6-28ECA06B3827}">
    <xltc:text>Source SRC-I02: Vietnam Maritime Administration. https://vimawa.gov.vn/vi/node/14557. Caveat: Route count can change; refresh before final report.</xltc:text>
  </xltc:threadedComment>
  <xltc:threadedComment ref="C11" dT="2026-07-25T12:58:54.086" personId="{A8268A1E-939A-4C1C-8768-738380D30AEC}" id="{B890A45D-BC8F-1BB4-4E49-8B5BBD1FA5C6}">
    <xltc:text>Source SRC-I02: Vietnam Maritime Administration. https://vimawa.gov.vn/vi/node/14557. Caveat: Includes Europe, America and intra-Asia.</xltc:text>
  </xltc:threadedComment>
  <xltc:threadedComment ref="C12" dT="2026-07-25T12:58:54.086" personId="{A8268A1E-939A-4C1C-8768-738380D30AEC}" id="{36AB642D-2B83-863F-EB62-DD8DF3E3CC72}">
    <xltc:text>Source SRC-I03: Vietnam Maritime and Waterway Administration. https://vimawa.gov.vn/vi/tin-tuc/quy-hoach-cang-bien-moi-ca-nuoc-con-23-cang-bien-uu-tien-can-gio-lien-chieu-nam-do-son-0. Caveat: Not a forecast or actual.</xltc:text>
  </xltc:threadedComment>
  <xltc:threadedComment ref="C13" dT="2026-07-25T12:58:54.086" personId="{A8268A1E-939A-4C1C-8768-738380D30AEC}" id="{7BDE2E93-039C-D715-E9D5-D94C9B70FEF2}">
    <xltc:text>Source SRC-I03: Vietnam Maritime and Waterway Administration. https://vimawa.gov.vn/vi/tin-tuc/quy-hoach-cang-bien-moi-ca-nuoc-con-23-cang-bien-uu-tien-can-gio-lien-chieu-nam-do-son-0. Caveat: Excludes transshipment.</xltc:text>
  </xltc:threadedComment>
  <xltc:threadedComment ref="C14" dT="2026-07-25T12:58:54.086" personId="{A8268A1E-939A-4C1C-8768-738380D30AEC}" id="{C7442947-FFB4-BC6C-C7A2-F7CDE2DD1AD8}">
    <xltc:text>Source SRC-I04: Prime Minister / Maritime Administration. https://www.vimawa.gov.vn/f/250116%20TTg%20140%20QD%20duyet%20QHCT%20Nhom.pdf. Caveat: Not a forecast or actual.</xltc:text>
  </xltc:threadedComment>
  <xltc:threadedComment ref="C15" dT="2026-07-25T12:58:54.086" personId="{A8268A1E-939A-4C1C-8768-738380D30AEC}" id="{0E5FE202-9084-6BFC-2D16-384A247DC0F2}">
    <xltc:text>Source SRC-I04: Prime Minister / Maritime Administration. https://www.vimawa.gov.vn/f/250116%20TTg%20140%20QD%20duyet%20QHCT%20Nhom.pdf. Caveat: Not a forecast or actual.</xltc:text>
  </xltc:threadedComment>
  <xltc:threadedComment ref="C16" dT="2026-07-25T12:58:54.086" personId="{A8268A1E-939A-4C1C-8768-738380D30AEC}" id="{15F86856-04F6-E333-46D9-9492935FB546}">
    <xltc:text>Source SRC-I05: Vietnam Maritime and Waterway Administration. https://www.vimawa.gov.vn/vi/tin-tuc/bo-truong-nguyen-van-thang-phat-huy-toi-da-tiem-nang-loi-cang-bien. Caveat: Do not use the page's broad national-share wording without clarification.</xltc:text>
  </xltc:threadedComment>
  <xltc:threadedComment ref="C17" dT="2026-07-25T12:58:54.086" personId="{A8268A1E-939A-4C1C-8768-738380D30AEC}" id="{9D46B2F1-BA80-D25B-D983-A3708F1D56CC}">
    <xltc:text>Source SRC-I05: Vietnam Maritime and Waterway Administration. https://www.vimawa.gov.vn/vi/tin-tuc/bo-truong-nguyen-van-thang-phat-huy-toi-da-tiem-nang-loi-cang-bien. Caveat: Vessel size is not annual capacity.</xltc:text>
  </xltc:threadedComment>
</xltc:ThreadedComments>
</file>

<file path=xl/threadedcomments/threadedcomment4.xml><?xml version="1.0" encoding="utf-8"?>
<xltc:ThreadedComments xmlns:xltc="http://schemas.microsoft.com/office/spreadsheetml/2018/threadedcomments">
  <xltc:threadedComment ref="B7" dT="2026-07-25T12:58:54.1" personId="{A8268A1E-939A-4C1C-8768-738380D30AEC}" id="{373FBC55-CDD5-0011-F04D-2B1C69ECFA46}">
    <xltc:text>Source SRC-G01: Gemadept Annual Report 2025. https://www.gemadept.com.vn/wp-content/uploads/2026/04/GMD-AR-2025_EN.pdf. Caveat: Reported actual</xltc:text>
  </xltc:threadedComment>
  <xltc:threadedComment ref="B8" dT="2026-07-25T12:58:54.1" personId="{A8268A1E-939A-4C1C-8768-738380D30AEC}" id="{32D28A74-5554-297B-7E2C-2DD2FB815083}">
    <xltc:text>Source SRC-G01: Gemadept Annual Report 2025. https://www.gemadept.com.vn/wp-content/uploads/2026/04/GMD-AR-2025_EN.pdf. Caveat: Reported actual</xltc:text>
  </xltc:threadedComment>
  <xltc:threadedComment ref="B9" dT="2026-07-25T12:58:54.1" personId="{A8268A1E-939A-4C1C-8768-738380D30AEC}" id="{F9271A12-C674-428E-A32A-5A14D94FAFEB}">
    <xltc:text>Source SRC-G01: Gemadept Annual Report 2025. https://www.gemadept.com.vn/wp-content/uploads/2026/04/GMD-AR-2025_EN.pdf. Caveat: Reported actual</xltc:text>
  </xltc:threadedComment>
  <xltc:threadedComment ref="B10" dT="2026-07-25T12:58:54.1" personId="{A8268A1E-939A-4C1C-8768-738380D30AEC}" id="{874AA304-F17B-AAB4-4745-5826F73962C4}">
    <xltc:text>Source SRC-G01: Gemadept Annual Report 2025. https://www.gemadept.com.vn/wp-content/uploads/2026/04/GMD-AR-2025_EN.pdf. Caveat: Core PBT series disclosed by GMD</xltc:text>
  </xltc:threadedComment>
  <xltc:threadedComment ref="B11" dT="2026-07-25T12:58:54.1" personId="{A8268A1E-939A-4C1C-8768-738380D30AEC}" id="{96AF83E1-72FA-C40A-3DF6-E806C7E2FD38}">
    <xltc:text>Source SRC-G01: Gemadept Annual Report 2025. https://www.gemadept.com.vn/wp-content/uploads/2026/04/GMD-AR-2025_EN.pdf. Caveat: Core PBT series disclosed by GMD</xltc:text>
  </xltc:threadedComment>
  <xltc:threadedComment ref="B12" dT="2026-07-25T12:58:54.1" personId="{A8268A1E-939A-4C1C-8768-738380D30AEC}" id="{98127C0F-A01C-EC1A-7631-5990595AA9E8}">
    <xltc:text>Source SRC-G01: Gemadept Annual Report 2025. https://www.gemadept.com.vn/wp-content/uploads/2026/04/GMD-AR-2025_EN.pdf. Caveat: Reported actual</xltc:text>
  </xltc:threadedComment>
</xltc:ThreadedComments>
</file>

<file path=xl/threadedcomments/threadedcomment5.xml><?xml version="1.0" encoding="utf-8"?>
<xltc:ThreadedComments xmlns:xltc="http://schemas.microsoft.com/office/spreadsheetml/2018/threadedcomments">
  <xltc:threadedComment ref="E7" dT="2026-07-25T12:58:54.114" personId="{A8268A1E-939A-4C1C-8768-738380D30AEC}" id="{EA11A6B5-7952-0D13-43FD-C0407FC64778}">
    <xltc:text>Source SRC-G01: Gemadept. https://www.gemadept.com.vn/wp-content/uploads/2026/04/GMD-AR-2025_EN.pdf. Caveat: Annual-report chart; exceeds 5m TEU.</xltc:text>
  </xltc:threadedComment>
  <xltc:threadedComment ref="E8" dT="2026-07-25T12:58:54.114" personId="{A8268A1E-939A-4C1C-8768-738380D30AEC}" id="{C4307CA9-F4BC-AE05-FFA9-40675E2FA248}">
    <xltc:text>Source SRC-G01: Gemadept. https://www.gemadept.com.vn/wp-content/uploads/2026/04/GMD-AR-2025_EN.pdf. Caveat: Approximate share disclosed by company.</xltc:text>
  </xltc:threadedComment>
  <xltc:threadedComment ref="E9" dT="2026-07-25T12:58:54.114" personId="{A8268A1E-939A-4C1C-8768-738380D30AEC}" id="{F40D0088-D1FB-9B35-3F7D-54CFB53D4D30}">
    <xltc:text>Source SRC-G02: Gemadept. https://www.gemadept.com.vn/wp-content/uploads/2026/05/IR-NEWSLETTER-Q12026.pdf. Caveat: Approximately +8% YoY.</xltc:text>
  </xltc:threadedComment>
  <xltc:threadedComment ref="E10" dT="2026-07-25T12:58:54.114" personId="{A8268A1E-939A-4C1C-8768-738380D30AEC}" id="{22E90AB2-3669-E9B1-4E09-BB0CA19B93AC}">
    <xltc:text>Source SRC-G02: Gemadept. https://www.gemadept.com.vn/wp-content/uploads/2026/05/IR-NEWSLETTER-Q12026.pdf. Caveat: Regional map disclosure.</xltc:text>
  </xltc:threadedComment>
  <xltc:threadedComment ref="E11" dT="2026-07-25T12:58:54.114" personId="{A8268A1E-939A-4C1C-8768-738380D30AEC}" id="{BC098978-F47E-0100-B3B4-A1D2ACB9F8B3}">
    <xltc:text>Source SRC-G02: Gemadept. https://www.gemadept.com.vn/wp-content/uploads/2026/05/IR-NEWSLETTER-Q12026.pdf. Caveat: Regional map disclosure.</xltc:text>
  </xltc:threadedComment>
  <xltc:threadedComment ref="E12" dT="2026-07-25T12:58:54.114" personId="{A8268A1E-939A-4C1C-8768-738380D30AEC}" id="{32F5CB9F-2804-CB38-F737-0A64EB58C1F8}">
    <xltc:text>Source SRC-G02: Gemadept. https://www.gemadept.com.vn/wp-content/uploads/2026/05/IR-NEWSLETTER-Q12026.pdf. Caveat: Unit is tonnes, not TEU.</xltc:text>
  </xltc:threadedComment>
  <xltc:threadedComment ref="E13" dT="2026-07-25T12:58:54.115" personId="{A8268A1E-939A-4C1C-8768-738380D30AEC}" id="{1646D617-4F86-C259-1C97-F42769AD0424}">
    <xltc:text>Source SRC-G02: Gemadept. https://www.gemadept.com.vn/wp-content/uploads/2026/05/IR-NEWSLETTER-Q12026.pdf. Caveat: Regional map disclosure.</xltc:text>
  </xltc:threadedComment>
  <xltc:threadedComment ref="E14" dT="2026-07-25T12:58:54.115" personId="{A8268A1E-939A-4C1C-8768-738380D30AEC}" id="{AAE611C2-A7EC-E8DD-6323-11AFD193A2C2}">
    <xltc:text>Source SRC-G02: Gemadept. https://www.gemadept.com.vn/wp-content/uploads/2026/05/IR-NEWSLETTER-Q12026.pdf. Caveat: Regional map disclosure.</xltc:text>
  </xltc:threadedComment>
  <xltc:threadedComment ref="E15" dT="2026-07-25T12:58:54.115" personId="{A8268A1E-939A-4C1C-8768-738380D30AEC}" id="{61CDB7F2-40E4-D1D3-6657-F0DB71CCBD98}">
    <xltc:text>Source SRC-G02: Gemadept. https://www.gemadept.com.vn/wp-content/uploads/2026/05/IR-NEWSLETTER-Q12026.pdf. Caveat: Regional map disclosure.</xltc:text>
  </xltc:threadedComment>
  <xltc:threadedComment ref="E16" dT="2026-07-25T12:58:54.115" personId="{A8268A1E-939A-4C1C-8768-738380D30AEC}" id="{3F68ABF2-8680-B6CC-7FFE-B15C40693A96}">
    <xltc:text>Source SRC-G01: Gemadept. https://www.gemadept.com.vn/wp-content/uploads/2026/04/GMD-AR-2025_EN.pdf. Caveat: Capacity is not throughput.</xltc:text>
  </xltc:threadedComment>
  <xltc:threadedComment ref="E17" dT="2026-07-25T12:58:54.115" personId="{A8268A1E-939A-4C1C-8768-738380D30AEC}" id="{5E8C4F19-A2E1-ED82-AA91-EA8E91CBF60F}">
    <xltc:text>Source SRC-G01: Gemadept. https://www.gemadept.com.vn/wp-content/uploads/2026/04/GMD-AR-2025_EN.pdf. Caveat: Capacity is not throughput.</xltc:text>
  </xltc:threadedComment>
  <xltc:threadedComment ref="E18" dT="2026-07-25T12:58:54.115" personId="{A8268A1E-939A-4C1C-8768-738380D30AEC}" id="{20772687-4BF6-EE75-C92F-6BBD2D220C6C}">
    <xltc:text>Source SRC-G01: Gemadept. https://www.gemadept.com.vn/wp-content/uploads/2026/04/GMD-AR-2025_EN.pdf. Caveat: Annual-report table; differs from issuer press release's ~650k TEU added.</xltc:text>
  </xltc:threadedComment>
  <xltc:threadedComment ref="E19" dT="2026-07-25T12:58:54.115" personId="{A8268A1E-939A-4C1C-8768-738380D30AEC}" id="{017143B6-7B0D-202E-8FDC-676C83551F56}">
    <xltc:text>Source SRC-G04: Gemadept. https://www.gemadept.com.vn/en/gemadept-officially-puts-phase-3-of-the-nam-dinh-vu-port-cluster-into-operation/. Caveat: Definition variance versus 0.8m TEU in annual report.</xltc:text>
  </xltc:threadedComment>
  <xltc:threadedComment ref="E20" dT="2026-07-25T12:58:54.115" personId="{A8268A1E-939A-4C1C-8768-738380D30AEC}" id="{1F8BDD36-29DF-7A3E-A15C-878AE3899A8A}">
    <xltc:text>Source SRC-G01: Gemadept. https://www.gemadept.com.vn/wp-content/uploads/2026/04/GMD-AR-2025_EN.pdf. Caveat: Historical disclosed capex.</xltc:text>
  </xltc:threadedComment>
  <xltc:threadedComment ref="E21" dT="2026-07-25T12:58:54.115" personId="{A8268A1E-939A-4C1C-8768-738380D30AEC}" id="{5DBFBB39-E7D5-4655-3EB1-9B2A16F16AFC}">
    <xltc:text>Source SRC-G01: Gemadept. https://www.gemadept.com.vn/wp-content/uploads/2026/04/GMD-AR-2025_EN.pdf. Caveat: Historical disclosed capex.</xltc:text>
  </xltc:threadedComment>
  <xltc:threadedComment ref="E22" dT="2026-07-25T12:58:54.115" personId="{A8268A1E-939A-4C1C-8768-738380D30AEC}" id="{A63E6667-0D0F-7B0C-F854-E6DBEB8E8FB5}">
    <xltc:text>Source SRC-G01 / SRC-G07: Gemadept. https://www.gemadept.com.vn/wp-content/uploads/2026/04/GMD-AR-2025_EN.pdf. Caveat: Disclosed project investment.</xltc:text>
  </xltc:threadedComment>
  <xltc:threadedComment ref="E23" dT="2026-07-25T12:58:54.115" personId="{A8268A1E-939A-4C1C-8768-738380D30AEC}" id="{A76BD4B4-5CC9-7DB1-4EF0-EBD8A161F144}">
    <xltc:text>Source SRC-G06: Gemadept. https://www.gemadept.com.vn/en/gemalink-port-licensed-to-receive-container-vessels-up-to-2324945-dwt/. Caveat: Gemadept 75%; CMA Terminals 25%.</xltc:text>
  </xltc:threadedComment>
  <xltc:threadedComment ref="E24" dT="2026-07-25T12:58:54.115" personId="{A8268A1E-939A-4C1C-8768-738380D30AEC}" id="{307A7913-8C36-4FE0-EF94-969B7EAAEB59}">
    <xltc:text>Source SRC-G05: Gemadept. https://www.gemadept.com.vn/en/services/port-operation/. Caveat: Marketing page; separate from 2025 actual throughput.</xltc:text>
  </xltc:threadedComment>
  <xltc:threadedComment ref="E25" dT="2026-07-25T12:58:54.115" personId="{A8268A1E-939A-4C1C-8768-738380D30AEC}" id="{FC403222-F35E-1099-D316-8E06E53B06C4}">
    <xltc:text>Source SRC-G01: Gemadept. https://www.gemadept.com.vn/wp-content/uploads/2026/04/GMD-AR-2025_EN.pdf. Caveat: Company says more than this level; +24% YoY.</xltc:text>
  </xltc:threadedComment>
  <xltc:threadedComment ref="E26" dT="2026-07-25T12:58:54.115" personId="{A8268A1E-939A-4C1C-8768-738380D30AEC}" id="{8F2D22BF-001D-FF97-3B0B-964DF610BF51}">
    <xltc:text>Source SRC-G01: Gemadept. https://www.gemadept.com.vn/wp-content/uploads/2026/04/GMD-AR-2025_EN.pdf. Caveat: 2024 actual was 1.145m TEU.</xltc:text>
  </xltc:threadedComment>
</xltc:ThreadedComments>
</file>

<file path=xl/threadedcomments/threadedcomment6.xml><?xml version="1.0" encoding="utf-8"?>
<xltc:ThreadedComments xmlns:xltc="http://schemas.microsoft.com/office/spreadsheetml/2018/threadedcomments">
  <xltc:threadedComment ref="C17" dT="2026-07-25T12:58:54.125" personId="{A8268A1E-939A-4C1C-8768-738380D30AEC}" id="{0C874926-9C93-FD1C-B74D-2D69FD27292F}">
    <xltc:text>Source SRC-P02: Port of Hai Phong Annual Report 2025. https://haiphongport.com.vn/FileUpload/Documents/annual_report_2025pdf.pdf. Caveat: 98.8% of 2024; 83.4% of plan.</xltc:text>
  </xltc:threadedComment>
  <xltc:threadedComment ref="C18" dT="2026-07-25T12:58:54.125" personId="{A8268A1E-939A-4C1C-8768-738380D30AEC}" id="{8C7FA544-0653-9B33-1AF3-6983CD1F9EBD}">
    <xltc:text>Source SRC-P02: Port of Hai Phong Annual Report 2025. https://haiphongport.com.vn/FileUpload/Documents/annual_report_2025pdf.pdf. Caveat: 97.4% of 2024; 85.8% of plan.</xltc:text>
  </xltc:threadedComment>
  <xltc:threadedComment ref="C19" dT="2026-07-25T12:58:54.125" personId="{A8268A1E-939A-4C1C-8768-738380D30AEC}" id="{1D2D15EB-0C34-D836-EBE9-DDCBCBE1FE0D}">
    <xltc:text>Source SRC-P02: Port of Hai Phong Annual Report 2025. https://haiphongport.com.vn/FileUpload/Documents/annual_report_2025pdf.pdf. Caveat: +33.8% YoY.</xltc:text>
  </xltc:threadedComment>
  <xltc:threadedComment ref="C20" dT="2026-07-25T12:58:54.125" personId="{A8268A1E-939A-4C1C-8768-738380D30AEC}" id="{1BA9A335-5CFC-1DC5-96C1-A7977DFA81D6}">
    <xltc:text>Source SRC-P02: Port of Hai Phong Annual Report 2025. https://haiphongport.com.vn/FileUpload/Documents/annual_report_2025pdf.pdf. Caveat: Annual report labels this 'profit'; verify PBT/net-profit definition before valuation use.</xltc:text>
  </xltc:threadedComment>
  <xltc:threadedComment ref="C21" dT="2026-07-25T12:58:54.125" personId="{A8268A1E-939A-4C1C-8768-738380D30AEC}" id="{2ED3167E-4877-7FAB-C53B-90D31DD6CB53}">
    <xltc:text>Source SRC-P02: Port of Hai Phong Annual Report 2025. https://haiphongport.com.vn/FileUpload/Documents/annual_report_2025pdf.pdf. Caveat: +6.9% YoY.</xltc:text>
  </xltc:threadedComment>
  <xltc:threadedComment ref="C22" dT="2026-07-25T12:58:54.125" personId="{A8268A1E-939A-4C1C-8768-738380D30AEC}" id="{658133C9-E2EB-4BDB-8224-A3EB2F4CB925}">
    <xltc:text>Source SRC-P02: Port of Hai Phong Annual Report 2025. https://haiphongport.com.vn/FileUpload/Documents/annual_report_2025pdf.pdf. Caveat: 98.16% of 2024.</xltc:text>
  </xltc:threadedComment>
  <xltc:threadedComment ref="C23" dT="2026-07-25T12:58:54.125" personId="{A8268A1E-939A-4C1C-8768-738380D30AEC}" id="{335F6AEA-7423-0F55-CAA6-E61368CA0B7C}">
    <xltc:text>Source SRC-P02: Port of Hai Phong Annual Report 2025. https://haiphongport.com.vn/FileUpload/Documents/annual_report_2025pdf.pdf. Caveat: +4.8% YoY; verify profit definition before valuation use.</xltc:text>
  </xltc:threadedComment>
</xltc:ThreadedComments>
</file>

<file path=xl/threadedcomments/threadedcomment7.xml><?xml version="1.0" encoding="utf-8"?>
<xltc:ThreadedComments xmlns:xltc="http://schemas.microsoft.com/office/spreadsheetml/2018/threadedcomments">
  <xltc:threadedComment ref="D7" dT="2026-07-25T13:20:22.35" personId="{1328C053-4A22-4BE4-841F-FC72A980F73F}" id="{FC752BB6-D280-BDCA-E255-F60AF9509B2C}">
    <xltc:text>Source SRC-G01: Gemadept Annual Report 2025. https://www.gemadept.com.vn/wp-content/uploads/2026/04/GMD-AR-2025_EN.pdf.</xltc:text>
  </xltc:threadedComment>
  <xltc:threadedComment ref="D8" dT="2026-07-25T13:20:22.351" personId="{1328C053-4A22-4BE4-841F-FC72A980F73F}" id="{ED6EEA5F-F687-F63D-F1F9-A2BFB3A17DD0}">
    <xltc:text>Source SRC-P06: Viconship audited consolidated financial statements 2025. https://viconship.com/wp-content/uploads/2026/03/VSC_Consolidated-FS-31.12.2025_VN.pdf.</xltc:text>
  </xltc:threadedComment>
  <xltc:threadedComment ref="D9" dT="2026-07-25T13:20:22.351" personId="{1328C053-4A22-4BE4-841F-FC72A980F73F}" id="{DABC32AC-8466-9C29-8592-031290643177}">
    <xltc:text>Source SRC-P02: Port of Hai Phong Annual Report 2025. https://haiphongport.com.vn/FileUpload/Documents/annual_report_2025pdf.pdf. Caveat: Parent-company financial basis.</xltc:text>
  </xltc:threadedComment>
  <xltc:threadedComment ref="D10" dT="2026-07-25T13:20:22.351" personId="{1328C053-4A22-4BE4-841F-FC72A980F73F}" id="{6F621AEF-404D-2851-E865-2B5ED5A60839}">
    <xltc:text>Source SRC-P09: Dinh Vu Port 2025 business-result proposal. https://dinhvuport.com.vn/aj/Download.ashx?Key=885.</xltc:text>
  </xltc:threadedComment>
  <xltc:threadedComment ref="D15" dT="2026-07-25T13:20:22.351" personId="{1328C053-4A22-4BE4-841F-FC72A980F73F}" id="{B4928E55-6BE8-4FFC-A93C-6D41F7E45376}">
    <xltc:text>Source SRC-G01: Gemadept Annual Report 2025. https://www.gemadept.com.vn/wp-content/uploads/2026/04/GMD-AR-2025_EN.pdf.</xltc:text>
  </xltc:threadedComment>
  <xltc:threadedComment ref="D16" dT="2026-07-25T13:20:22.351" personId="{1328C053-4A22-4BE4-841F-FC72A980F73F}" id="{77474E38-1815-E71F-B3AB-C4E555B133A2}">
    <xltc:text>Source SRC-P05 / SRC-P07: Viconship issuer disclosures. https://viconship.com/wp-content/uploads/2026/04/CBTT-Bao-cao-thuong-nien-nam-2025.pdf. Caveat: The 1m TEU system milestone is the latest clearly attributable issuer-level operating fact used here.</xltc:text>
  </xltc:threadedComment>
  <xltc:threadedComment ref="D17" dT="2026-07-25T13:20:22.351" personId="{1328C053-4A22-4BE4-841F-FC72A980F73F}" id="{D5F3643C-B274-4A00-DF46-458C5430B374}">
    <xltc:text>Source SRC-P02: Port of Hai Phong Annual Report 2025. https://haiphongport.com.vn/FileUpload/Documents/annual_report_2025pdf.pdf.</xltc:text>
  </xltc:threadedComment>
  <xltc:threadedComment ref="D19" dT="2026-07-25T13:20:22.351" personId="{1328C053-4A22-4BE4-841F-FC72A980F73F}" id="{F3355021-BE91-82D3-366D-5E865300E09A}">
    <xltc:text>Source SRC-P09: Dinh Vu Port 2025 business-result proposal. https://dinhvuport.com.vn/aj/Download.ashx?Key=885.</xltc:text>
  </xltc:threadedComment>
</xltc:ThreadedComments>
</file>

<file path=xl/threadedcomments/threadedcomment8.xml><?xml version="1.0" encoding="utf-8"?>
<xltc:ThreadedComments xmlns:xltc="http://schemas.microsoft.com/office/spreadsheetml/2018/threadedcomments">
  <xltc:threadedComment ref="C6" dT="2026-07-25T14:14:36.582" personId="{EE165147-03F5-4C66-8FE2-0EB1F215D8DD}" id="{C4E0B7B3-DEF0-9B37-55BD-3541A1680E67}">
    <xltc:text>Source SRC-API01: VNStock 4.0.5 Finance API. https://vnstocks.com/docs/vnstock/phan-tich-co-ban-fundamental. Caveat: 2021 net sales linked from Raw GMD VNStock and divided by the visible unit divisor.</xltc:text>
  </xltc:threadedComment>
  <xltc:threadedComment ref="G6" dT="2026-07-25T14:14:36.582" personId="{EE165147-03F5-4C66-8FE2-0EB1F215D8DD}" id="{75D34924-D273-1A86-37FC-E0F130283C0F}">
    <xltc:text>Source SRC-API01: VNStock 4.0.5 Finance API. https://vnstocks.com/docs/vnstock/phan-tich-co-ban-fundamental. Caveat: 2025 net sales linked from Raw GMD VNStock; reconciled to the 2025 audited annual report.</xltc:text>
  </xltc:threadedComment>
  <xltc:threadedComment ref="C25" dT="2026-07-25T14:14:36.582" personId="{EE165147-03F5-4C66-8FE2-0EB1F215D8DD}" id="{182C1A1F-38A6-FDBB-6398-E3A424213E61}">
    <xltc:text>Source SRC-G10: Gemadept Annual Report 2022. https://www.gemadept.com.vn/wp-content/uploads/2023/04/2022-Annual-Report.pdf. Caveat: 2021–2022 core PBT equals reported PBT.</xltc:text>
  </xltc:threadedComment>
  <xltc:threadedComment ref="G25" dT="2026-07-25T14:14:36.582" personId="{EE165147-03F5-4C66-8FE2-0EB1F215D8DD}" id="{62C864BF-75F2-A126-4BB8-2B6BF5664D91}">
    <xltc:text>Source SRC-G01: Gemadept Annual Report 2025. https://www.gemadept.com.vn/wp-content/uploads/2026/04/GMD-AR-2025_EN.pdf. Caveat: 2025 core PBT benchmark.</xltc:text>
  </xltc:threadedComment>
</xltc:ThreadedComments>
</file>

<file path=xl/threadedcomments/threadedcomment9.xml><?xml version="1.0" encoding="utf-8"?>
<xltc:ThreadedComments xmlns:xltc="http://schemas.microsoft.com/office/spreadsheetml/2018/threadedcomments">
  <xltc:threadedComment ref="C6" dT="2026-07-25T14:14:36.582" personId="{EE165147-03F5-4C66-8FE2-0EB1F215D8DD}" id="{8CA5FA56-F7CE-9B27-E245-22BDBC07340C}">
    <xltc:text>Source SRC-G01: Gemadept Annual Report 2025. https://www.gemadept.com.vn/wp-content/uploads/2026/04/GMD-AR-2025_EN.pdf. Caveat: 2021 point is chart-derived from a rounded growth label.</xltc:text>
  </xltc:threadedComment>
  <xltc:threadedComment ref="G6" dT="2026-07-25T14:14:36.582" personId="{EE165147-03F5-4C66-8FE2-0EB1F215D8DD}" id="{FAF2C895-70F7-6B6D-C0A2-B07FC0F81BC5}">
    <xltc:text>Source SRC-G01: Gemadept Annual Report 2025. https://www.gemadept.com.vn/wp-content/uploads/2026/04/GMD-AR-2025_EN.pdf. Caveat: 2025 exact system throughput.</xltc:text>
  </xltc:threadedComment>
</xltc:ThreadedComments>
</file>

<file path=xl/threadedcomments/threadedcomment10.xml><?xml version="1.0" encoding="utf-8"?>
<xltc:ThreadedComments xmlns:xltc="http://schemas.microsoft.com/office/spreadsheetml/2018/threadedcomments">
  <xltc:threadedComment ref="C6" dT="2026-07-25T14:14:36.582" personId="{EE165147-03F5-4C66-8FE2-0EB1F215D8DD}" id="{BC39D41E-2F4F-258A-3F90-21E594CFEF02}">
    <xltc:text>Source SRC-API01: VNStock 4.0.5 Finance API. https://vnstocks.com/docs/vnstock/phan-tich-co-ban-fundamental. Caveat: 2021 audited associate/JV profit.</xltc:text>
  </xltc:threadedComment>
  <xltc:threadedComment ref="G6" dT="2026-07-25T14:14:36.582" personId="{EE165147-03F5-4C66-8FE2-0EB1F215D8DD}" id="{C0AAB08D-DEF6-AA97-84F6-1FA429412A5A}">
    <xltc:text>Source SRC-API01: VNStock 4.0.5 Finance API. https://vnstocks.com/docs/vnstock/phan-tich-co-ban-fundamental. Caveat: 2025 audited associate/JV profit.</xltc:text>
  </xltc:threadedComment>
</xltc:ThreadedComments>
</file>

<file path=xl/threadedcomments/threadedcomment11.xml><?xml version="1.0" encoding="utf-8"?>
<xltc:ThreadedComments xmlns:xltc="http://schemas.microsoft.com/office/spreadsheetml/2018/threadedcomments">
  <xltc:threadedComment ref="C6" dT="2026-07-25T14:14:36.582" personId="{EE165147-03F5-4C66-8FE2-0EB1F215D8DD}" id="{7A10BAB9-B95F-B154-7F79-6CB77D6455F4}">
    <xltc:text>Source SRC-API01: VNStock 4.0.5 Finance API. https://vnstocks.com/docs/vnstock/phan-tich-co-ban-fundamental. Caveat: 2021 audited CFO.</xltc:text>
  </xltc:threadedComment>
  <xltc:threadedComment ref="G6" dT="2026-07-25T14:14:36.582" personId="{EE165147-03F5-4C66-8FE2-0EB1F215D8DD}" id="{1D2AA77F-0343-628A-C1B2-239EFB201F1B}">
    <xltc:text>Source SRC-API01: VNStock 4.0.5 Finance API. https://vnstocks.com/docs/vnstock/phan-tich-co-ban-fundamental. Caveat: 2025 audited CFO.</xltc:text>
  </xltc:threadedComment>
</xltc:ThreadedComments>
</file>

<file path=xl/threadedcomments/threadedcomment12.xml><?xml version="1.0" encoding="utf-8"?>
<xltc:ThreadedComments xmlns:xltc="http://schemas.microsoft.com/office/spreadsheetml/2018/threadedcomments">
  <xltc:threadedComment ref="C6" dT="2026-07-25T14:14:36.582" personId="{EE165147-03F5-4C66-8FE2-0EB1F215D8DD}" id="{7E7DD16F-1E09-C775-3565-4D07DCBD78B0}">
    <xltc:text>Source SRC-G03: Gemadept 2026 AGM business-plan submission. https://www.gemadept.com.vn/wp-content/uploads/2026/04/AGM-2026-7.3.-Submission-03-Business-Plan-2026.pdf. Caveat: Management registered plan, not analyst forecast.</xltc:text>
  </xltc:threadedComment>
  <xltc:threadedComment ref="H6" dT="2026-07-25T14:14:36.582" personId="{EE165147-03F5-4C66-8FE2-0EB1F215D8DD}" id="{F1C288FD-F6A2-858F-C8BB-29DF5F882A68}">
    <xltc:text>Source SRC-G02: Gemadept Q1 2026 IR Newsletter. https://www.gemadept.com.vn/wp-content/uploads/2026/05/IR-NEWSLETTER-Q12026.pdf. Caveat: Q1 issuer actual.</xltc:text>
  </xltc:threadedComment>
</xltc:ThreadedComments>
</file>

<file path=xl/threadedcomments/threadedcomment13.xml><?xml version="1.0" encoding="utf-8"?>
<xltc:ThreadedComments xmlns:xltc="http://schemas.microsoft.com/office/spreadsheetml/2018/threadedcomments">
  <xltc:threadedComment ref="C15" dT="2026-07-25T14:48:36.556" personId="{7A18175A-8A26-4E83-9E41-49BF328882A3}" id="{158BFD68-A27A-39D4-A841-9C2BEFFDF869}">
    <xltc:text>Source SRC-P401: VNStock VCI and KBS daily OHLCV. https://vnstocks.com/docs/vnstock/du-lieu-thi-truong-market-data. Close on 24-Jul-2026: VND 73,200.</xltc:text>
  </xltc:threadedComment>
  <xltc:threadedComment ref="C16" dT="2026-07-25T14:48:36.557" personId="{7A18175A-8A26-4E83-9E41-49BF328882A3}" id="{014C832A-C380-049B-B978-CC4BF7087F1E}">
    <xltc:text>Source SRC-P402: Gemadept shareholders page. https://www.gemadept.com.vn/en/shareholders/. 426,495,109 listed shares.</xltc:text>
  </xltc:threadedComment>
  <xltc:threadedComment ref="C24" dT="2026-07-25T14:48:36.557" personId="{7A18175A-8A26-4E83-9E41-49BF328882A3}" id="{7F227A6B-E00E-7FAE-B15D-602F20F8FAA6}">
    <xltc:text>Source SRC-P403: AsianBondsOnline / Asian Development Bank. https://asianbondsonline.adb.org/vietnam/. Vietnam 10-year government bond yield: 4.409% at 23-Jul-2026.</xltc:text>
  </xltc:threadedComment>
</xltc:ThreadedComments>
</file>

<file path=xl/threadedcomments/threadedcomment14.xml><?xml version="1.0" encoding="utf-8"?>
<xltc:ThreadedComments xmlns:xltc="http://schemas.microsoft.com/office/spreadsheetml/2018/threadedcomments">
  <xltc:threadedComment ref="C32" dT="2026-07-25T14:48:37.313" personId="{7A18175A-8A26-4E83-9E41-49BF328882A3}" id="{D42E95D8-F5DD-4265-6E5B-0BD62C21AA94}">
    <xltc:text>Analyst assumption. Calibrated below 1H2026 trade-value growth because trade value is not container volume; anchored to SRC-M01 and SRC-I01.</xltc:text>
  </xltc:threadedComment>
  <xltc:threadedComment ref="C33" dT="2026-07-25T14:48:37.313" personId="{7A18175A-8A26-4E83-9E41-49BF328882A3}" id="{4851AEA8-6C17-69D0-5E60-3B176DE53A20}">
    <xltc:text>Analyst assumption. Anchored to issuer-estimated 2025 share of about 15% and the Nam Dinh Vu / Gemalink capacity schedule.</xltc:text>
  </xltc:threadedComment>
  <xltc:threadedComment ref="E41" dT="2026-07-25T14:48:37.313" personId="{7A18175A-8A26-4E83-9E41-49BF328882A3}" id="{B8C2AFBA-704B-AE06-23F6-62F198DAD230}">
    <xltc:text>Analyst assumption. Material 2028 ramp follows issuer-stated Gemalink Phase 2 operating timing from Q4 2027; source SRC-G02.</xltc:text>
  </xltc:threadedComment>
  <xltc:threadedComment ref="C104" dT="2026-07-25T14:48:37.313" personId="{7A18175A-8A26-4E83-9E41-49BF328882A3}" id="{21A2B83B-E9F9-A4B1-CA7C-3F5279C60223}">
    <xltc:text>Source anchor SRC-P403: https://asianbondsonline.adb.org/vietnam/. 10-year government bond yield was 4.409% at 23-Jul-2026; rounded to 4.5%.</xltc:text>
  </xltc:threadedComment>
</xltc:ThreadedComments>
</file>

<file path=xl/worksheets/_rels/sheet3.xml.rels>&#65279;<?xml version="1.0" encoding="utf-8"?><Relationships xmlns="http://schemas.openxmlformats.org/package/2006/relationships"><Relationship Type="http://schemas.openxmlformats.org/officeDocument/2006/relationships/table" Target="/xl/tables/table1.xml" Id="R38d7aa246bf742e6" /></Relationships>
</file>

<file path=xl/worksheets/_rels/sheet4.xml.rels>&#65279;<?xml version="1.0" encoding="utf-8"?><Relationships xmlns="http://schemas.openxmlformats.org/package/2006/relationships"><Relationship Type="http://schemas.openxmlformats.org/officeDocument/2006/relationships/comments" Target="/xl/comments1.xml" Id="R94028c02c1f94e44" /><Relationship Type="http://schemas.openxmlformats.org/officeDocument/2006/relationships/vmlDrawing" Target="/xl/drawings/vmldrawing.vml" Id="R1603ece3f4694b18" /><Relationship Type="http://schemas.microsoft.com/office/2017/10/relationships/threadedComment" Target="/xl/threadedcomments/threadedcomment.xml" Id="R4e290f2706634865" /><Relationship Type="http://schemas.openxmlformats.org/officeDocument/2006/relationships/table" Target="/xl/tables/table2.xml" Id="R33ece54c4331493b" /></Relationships>
</file>

<file path=xl/worksheets/_rels/sheet5.xml.rels>&#65279;<?xml version="1.0" encoding="utf-8"?><Relationships xmlns="http://schemas.openxmlformats.org/package/2006/relationships"><Relationship Type="http://schemas.openxmlformats.org/officeDocument/2006/relationships/comments" Target="/xl/comments2.xml" Id="Rfaef80e5df504b6d" /><Relationship Type="http://schemas.openxmlformats.org/officeDocument/2006/relationships/vmlDrawing" Target="/xl/drawings/vmldrawing2.vml" Id="Rec21ae6f8a184028" /><Relationship Type="http://schemas.microsoft.com/office/2017/10/relationships/threadedComment" Target="/xl/threadedcomments/threadedcomment2.xml" Id="R91e6fad1612447e9" /><Relationship Type="http://schemas.openxmlformats.org/officeDocument/2006/relationships/table" Target="/xl/tables/table3.xml" Id="R9962a40083ff4e7c" /></Relationships>
</file>

<file path=xl/worksheets/_rels/sheet6.xml.rels>&#65279;<?xml version="1.0" encoding="utf-8"?><Relationships xmlns="http://schemas.openxmlformats.org/package/2006/relationships"><Relationship Type="http://schemas.openxmlformats.org/officeDocument/2006/relationships/comments" Target="/xl/comments3.xml" Id="Raeedbd79e8f646ef" /><Relationship Type="http://schemas.openxmlformats.org/officeDocument/2006/relationships/vmlDrawing" Target="/xl/drawings/vmldrawing3.vml" Id="R3d94624ad4bd4214" /><Relationship Type="http://schemas.microsoft.com/office/2017/10/relationships/threadedComment" Target="/xl/threadedcomments/threadedcomment3.xml" Id="Rce41569dda8a4429" /><Relationship Type="http://schemas.openxmlformats.org/officeDocument/2006/relationships/table" Target="/xl/tables/table4.xml" Id="R26a67f3149484203" /></Relationships>
</file>

<file path=xl/worksheets/_rels/sheet7.xml.rels>&#65279;<?xml version="1.0" encoding="utf-8"?><Relationships xmlns="http://schemas.openxmlformats.org/package/2006/relationships"><Relationship Type="http://schemas.openxmlformats.org/officeDocument/2006/relationships/comments" Target="/xl/comments4.xml" Id="R059c7a497427469d" /><Relationship Type="http://schemas.openxmlformats.org/officeDocument/2006/relationships/vmlDrawing" Target="/xl/drawings/vmldrawing4.vml" Id="Rbd999d5dfca04686" /><Relationship Type="http://schemas.microsoft.com/office/2017/10/relationships/threadedComment" Target="/xl/threadedcomments/threadedcomment4.xml" Id="Rb51f26ec804a43aa" /><Relationship Type="http://schemas.openxmlformats.org/officeDocument/2006/relationships/table" Target="/xl/tables/table5.xml" Id="Re0651fdc593147e6" /><Relationship Type="http://schemas.openxmlformats.org/officeDocument/2006/relationships/table" Target="/xl/tables/table6.xml" Id="Rc09807891b47416f" /></Relationships>
</file>

<file path=xl/worksheets/_rels/sheet8.xml.rels>&#65279;<?xml version="1.0" encoding="utf-8"?><Relationships xmlns="http://schemas.openxmlformats.org/package/2006/relationships"><Relationship Type="http://schemas.openxmlformats.org/officeDocument/2006/relationships/comments" Target="/xl/comments5.xml" Id="R76fab38e158a42a7" /><Relationship Type="http://schemas.openxmlformats.org/officeDocument/2006/relationships/vmlDrawing" Target="/xl/drawings/vmldrawing5.vml" Id="R6bd5cd8d3d514fce" /><Relationship Type="http://schemas.microsoft.com/office/2017/10/relationships/threadedComment" Target="/xl/threadedcomments/threadedcomment5.xml" Id="Red3ab1c3dc144726" /><Relationship Type="http://schemas.openxmlformats.org/officeDocument/2006/relationships/table" Target="/xl/tables/table7.xml" Id="R0cf0f39a1cbe4d4e" /></Relationships>
</file>

<file path=xl/worksheets/_rels/sheet9.xml.rels>&#65279;<?xml version="1.0" encoding="utf-8"?><Relationships xmlns="http://schemas.openxmlformats.org/package/2006/relationships"><Relationship Type="http://schemas.openxmlformats.org/officeDocument/2006/relationships/comments" Target="/xl/comments6.xml" Id="R21295bc69bf547ca" /><Relationship Type="http://schemas.openxmlformats.org/officeDocument/2006/relationships/vmlDrawing" Target="/xl/drawings/vmldrawing6.vml" Id="R48f3aab4d9574a8f" /><Relationship Type="http://schemas.microsoft.com/office/2017/10/relationships/threadedComment" Target="/xl/threadedcomments/threadedcomment6.xml" Id="R1af8c04f35814fe3" /><Relationship Type="http://schemas.openxmlformats.org/officeDocument/2006/relationships/table" Target="/xl/tables/table8.xml" Id="R0ff7c36fcbe2441e" /><Relationship Type="http://schemas.openxmlformats.org/officeDocument/2006/relationships/table" Target="/xl/tables/table9.xml" Id="R4f82b575b5bb455e" /></Relationships>
</file>

<file path=xl/worksheets/_rels/sheet10.xml.rels>&#65279;<?xml version="1.0" encoding="utf-8"?><Relationships xmlns="http://schemas.openxmlformats.org/package/2006/relationships"><Relationship Type="http://schemas.openxmlformats.org/officeDocument/2006/relationships/table" Target="/xl/tables/table10.xml" Id="Re3322360a6624652" /></Relationships>
</file>

<file path=xl/worksheets/_rels/sheet11.xml.rels>&#65279;<?xml version="1.0" encoding="utf-8"?><Relationships xmlns="http://schemas.openxmlformats.org/package/2006/relationships"><Relationship Type="http://schemas.openxmlformats.org/officeDocument/2006/relationships/table" Target="/xl/tables/table11.xml" Id="Rda024da320c44b18" /></Relationships>
</file>

<file path=xl/worksheets/_rels/sheet12.xml.rels>&#65279;<?xml version="1.0" encoding="utf-8"?><Relationships xmlns="http://schemas.openxmlformats.org/package/2006/relationships"><Relationship Type="http://schemas.openxmlformats.org/officeDocument/2006/relationships/table" Target="/xl/tables/table12.xml" Id="R81d7260e2abd4909" /></Relationships>
</file>

<file path=xl/worksheets/_rels/sheet13.xml.rels>&#65279;<?xml version="1.0" encoding="utf-8"?><Relationships xmlns="http://schemas.openxmlformats.org/package/2006/relationships"><Relationship Type="http://schemas.openxmlformats.org/officeDocument/2006/relationships/table" Target="/xl/tables/table13.xml" Id="R49684f1d7fb844e7" /></Relationships>
</file>

<file path=xl/worksheets/_rels/sheet14.xml.rels>&#65279;<?xml version="1.0" encoding="utf-8"?><Relationships xmlns="http://schemas.openxmlformats.org/package/2006/relationships"><Relationship Type="http://schemas.openxmlformats.org/officeDocument/2006/relationships/comments" Target="/xl/comments7.xml" Id="Rf2c45083f0144935" /><Relationship Type="http://schemas.openxmlformats.org/officeDocument/2006/relationships/vmlDrawing" Target="/xl/drawings/vmldrawing7.vml" Id="R97a3b368af22460c" /><Relationship Type="http://schemas.microsoft.com/office/2017/10/relationships/threadedComment" Target="/xl/threadedcomments/threadedcomment7.xml" Id="R37e0c797ab804634" /><Relationship Type="http://schemas.openxmlformats.org/officeDocument/2006/relationships/table" Target="/xl/tables/table14.xml" Id="R34340483501d408e" /><Relationship Type="http://schemas.openxmlformats.org/officeDocument/2006/relationships/table" Target="/xl/tables/table15.xml" Id="R3f67e92b9cc5482e" /></Relationships>
</file>

<file path=xl/worksheets/_rels/sheet15.xml.rels>&#65279;<?xml version="1.0" encoding="utf-8"?><Relationships xmlns="http://schemas.openxmlformats.org/package/2006/relationships"><Relationship Type="http://schemas.openxmlformats.org/officeDocument/2006/relationships/drawing" Target="/xl/drawings/drawing1.xml" Id="R086a7c8cfa1742ff" /><Relationship Type="http://schemas.openxmlformats.org/officeDocument/2006/relationships/table" Target="/xl/tables/table16.xml" Id="R56b8800c4bb64bfb" /><Relationship Type="http://schemas.openxmlformats.org/officeDocument/2006/relationships/table" Target="/xl/tables/table17.xml" Id="R7b0f130c59e74854" /></Relationships>
</file>

<file path=xl/worksheets/_rels/sheet16.xml.rels>&#65279;<?xml version="1.0" encoding="utf-8"?><Relationships xmlns="http://schemas.openxmlformats.org/package/2006/relationships"><Relationship Type="http://schemas.openxmlformats.org/officeDocument/2006/relationships/table" Target="/xl/tables/table18.xml" Id="Ra986640f427747e6" /><Relationship Type="http://schemas.openxmlformats.org/officeDocument/2006/relationships/table" Target="/xl/tables/table19.xml" Id="Rf7b7cd9b4548483b" /></Relationships>
</file>

<file path=xl/worksheets/_rels/sheet17.xml.rels>&#65279;<?xml version="1.0" encoding="utf-8"?><Relationships xmlns="http://schemas.openxmlformats.org/package/2006/relationships"><Relationship Type="http://schemas.openxmlformats.org/officeDocument/2006/relationships/table" Target="/xl/tables/table20.xml" Id="Re339ceaab33349a5" /></Relationships>
</file>

<file path=xl/worksheets/_rels/sheet18.xml.rels>&#65279;<?xml version="1.0" encoding="utf-8"?><Relationships xmlns="http://schemas.openxmlformats.org/package/2006/relationships"><Relationship Type="http://schemas.openxmlformats.org/officeDocument/2006/relationships/table" Target="/xl/tables/table21.xml" Id="R6aef27a1c8b74038" /></Relationships>
</file>

<file path=xl/worksheets/_rels/sheet19.xml.rels>&#65279;<?xml version="1.0" encoding="utf-8"?><Relationships xmlns="http://schemas.openxmlformats.org/package/2006/relationships"><Relationship Type="http://schemas.openxmlformats.org/officeDocument/2006/relationships/table" Target="/xl/tables/table22.xml" Id="R9d9872d5509f489a" /></Relationships>
</file>

<file path=xl/worksheets/_rels/sheet20.xml.rels>&#65279;<?xml version="1.0" encoding="utf-8"?><Relationships xmlns="http://schemas.openxmlformats.org/package/2006/relationships"><Relationship Type="http://schemas.openxmlformats.org/officeDocument/2006/relationships/drawing" Target="/xl/drawings/drawing2.xml" Id="R35dce5cd8fba4f6b" /></Relationships>
</file>

<file path=xl/worksheets/_rels/sheet21.xml.rels>&#65279;<?xml version="1.0" encoding="utf-8"?><Relationships xmlns="http://schemas.openxmlformats.org/package/2006/relationships"><Relationship Type="http://schemas.openxmlformats.org/officeDocument/2006/relationships/comments" Target="/xl/comments8.xml" Id="R6c8a0e0334974945" /><Relationship Type="http://schemas.openxmlformats.org/officeDocument/2006/relationships/vmlDrawing" Target="/xl/drawings/vmldrawing8.vml" Id="R114f203603b34420" /><Relationship Type="http://schemas.microsoft.com/office/2017/10/relationships/threadedComment" Target="/xl/threadedcomments/threadedcomment8.xml" Id="R19eda26c304d4958" /></Relationships>
</file>

<file path=xl/worksheets/_rels/sheet22.xml.rels>&#65279;<?xml version="1.0" encoding="utf-8"?><Relationships xmlns="http://schemas.openxmlformats.org/package/2006/relationships"><Relationship Type="http://schemas.openxmlformats.org/officeDocument/2006/relationships/comments" Target="/xl/comments9.xml" Id="Raf9c230906464eb5" /><Relationship Type="http://schemas.openxmlformats.org/officeDocument/2006/relationships/vmlDrawing" Target="/xl/drawings/vmldrawing9.vml" Id="R93678ce169e14ae4" /><Relationship Type="http://schemas.microsoft.com/office/2017/10/relationships/threadedComment" Target="/xl/threadedcomments/threadedcomment9.xml" Id="R0bc9bd782fe64d7a" /></Relationships>
</file>

<file path=xl/worksheets/_rels/sheet23.xml.rels>&#65279;<?xml version="1.0" encoding="utf-8"?><Relationships xmlns="http://schemas.openxmlformats.org/package/2006/relationships"><Relationship Type="http://schemas.openxmlformats.org/officeDocument/2006/relationships/comments" Target="/xl/comments10.xml" Id="R9f8ab7122cfc4ea6" /><Relationship Type="http://schemas.openxmlformats.org/officeDocument/2006/relationships/vmlDrawing" Target="/xl/drawings/vmldrawing10.vml" Id="R7968753fc13f4035" /><Relationship Type="http://schemas.microsoft.com/office/2017/10/relationships/threadedComment" Target="/xl/threadedcomments/threadedcomment10.xml" Id="R64d75716efbc44e3" /></Relationships>
</file>

<file path=xl/worksheets/_rels/sheet24.xml.rels>&#65279;<?xml version="1.0" encoding="utf-8"?><Relationships xmlns="http://schemas.openxmlformats.org/package/2006/relationships"><Relationship Type="http://schemas.openxmlformats.org/officeDocument/2006/relationships/comments" Target="/xl/comments11.xml" Id="Rd41ec68c05e849a7" /><Relationship Type="http://schemas.openxmlformats.org/officeDocument/2006/relationships/vmlDrawing" Target="/xl/drawings/vmldrawing11.vml" Id="R11943507d8fd4f47" /><Relationship Type="http://schemas.microsoft.com/office/2017/10/relationships/threadedComment" Target="/xl/threadedcomments/threadedcomment11.xml" Id="R44121a58b6474a59" /></Relationships>
</file>

<file path=xl/worksheets/_rels/sheet25.xml.rels>&#65279;<?xml version="1.0" encoding="utf-8"?><Relationships xmlns="http://schemas.openxmlformats.org/package/2006/relationships"><Relationship Type="http://schemas.openxmlformats.org/officeDocument/2006/relationships/comments" Target="/xl/comments12.xml" Id="Rce8a6a694d194515" /><Relationship Type="http://schemas.openxmlformats.org/officeDocument/2006/relationships/vmlDrawing" Target="/xl/drawings/vmldrawing12.vml" Id="R71e5a6ac9f994e17" /><Relationship Type="http://schemas.microsoft.com/office/2017/10/relationships/threadedComment" Target="/xl/threadedcomments/threadedcomment12.xml" Id="Rc05fd610c55d457f" /></Relationships>
</file>

<file path=xl/worksheets/_rels/sheet27.xml.rels>&#65279;<?xml version="1.0" encoding="utf-8"?><Relationships xmlns="http://schemas.openxmlformats.org/package/2006/relationships"><Relationship Type="http://schemas.openxmlformats.org/officeDocument/2006/relationships/comments" Target="/xl/comments13.xml" Id="R4d6b3f6842d848e8" /><Relationship Type="http://schemas.openxmlformats.org/officeDocument/2006/relationships/vmlDrawing" Target="/xl/drawings/vmldrawing13.vml" Id="R059e774b2e8c422f" /><Relationship Type="http://schemas.microsoft.com/office/2017/10/relationships/threadedComment" Target="/xl/threadedcomments/threadedcomment13.xml" Id="Rd06c8f1b1c354461" /><Relationship Type="http://schemas.openxmlformats.org/officeDocument/2006/relationships/table" Target="/xl/tables/table23.xml" Id="R8e0a590165d8493b" /><Relationship Type="http://schemas.openxmlformats.org/officeDocument/2006/relationships/table" Target="/xl/tables/table24.xml" Id="Re1cfa3430771466a" /></Relationships>
</file>

<file path=xl/worksheets/_rels/sheet28.xml.rels>&#65279;<?xml version="1.0" encoding="utf-8"?><Relationships xmlns="http://schemas.openxmlformats.org/package/2006/relationships"><Relationship Type="http://schemas.openxmlformats.org/officeDocument/2006/relationships/comments" Target="/xl/comments14.xml" Id="R3289b7bca3a341fe" /><Relationship Type="http://schemas.openxmlformats.org/officeDocument/2006/relationships/vmlDrawing" Target="/xl/drawings/vmldrawing14.vml" Id="R38927b8844654c7e" /><Relationship Type="http://schemas.microsoft.com/office/2017/10/relationships/threadedComment" Target="/xl/threadedcomments/threadedcomment14.xml" Id="Raa9e94873e81427e" /></Relationships>
</file>

<file path=xl/worksheets/_rels/sheet34.xml.rels>&#65279;<?xml version="1.0" encoding="utf-8"?><Relationships xmlns="http://schemas.openxmlformats.org/package/2006/relationships"><Relationship Type="http://schemas.openxmlformats.org/officeDocument/2006/relationships/drawing" Target="/xl/drawings/drawing3.xml" Id="R6c1e9c1799dd4552" /></Relationships>
</file>

<file path=xl/worksheets/_rels/sheet37.xml.rels>&#65279;<?xml version="1.0" encoding="utf-8"?><Relationships xmlns="http://schemas.openxmlformats.org/package/2006/relationships"><Relationship Type="http://schemas.openxmlformats.org/officeDocument/2006/relationships/drawing" Target="/xl/drawings/drawing4.xml" Id="Rcc9c3beaf8024585" /></Relationships>
</file>

<file path=xl/worksheets/sheet1.xml><?xml version="1.0" encoding="utf-8"?>
<x:worksheet xmlns:x="http://schemas.openxmlformats.org/spreadsheetml/2006/main">
  <x:sheetViews>
    <x:sheetView showGridLines="0" workbookViewId="0"/>
  </x:sheetViews>
  <x:sheetFormatPr defaultRowHeight="15"/>
  <x:cols>
    <x:col min="1" max="1" width="15" hidden="0" customWidth="1"/>
    <x:col min="2" max="2" width="23" hidden="0" customWidth="1"/>
    <x:col min="3" max="3" width="22" hidden="0" customWidth="1"/>
    <x:col min="4" max="4" width="17" hidden="0" customWidth="1"/>
    <x:col min="5" max="5" width="22" hidden="0" customWidth="1"/>
    <x:col min="6" max="6" width="15" hidden="0" customWidth="1"/>
    <x:col min="7" max="7" width="23" hidden="0" customWidth="1"/>
    <x:col min="8" max="8" width="22" hidden="0" customWidth="1"/>
    <x:col min="9" max="9" width="17" hidden="0" customWidth="1"/>
    <x:col min="10" max="10" width="31" hidden="0" customWidth="1"/>
  </x:cols>
  <x:sheetData>
    <x:row r="1" ht="34" customHeight="1">
      <x:c r="A1" s="734" t="str">
        <x:v>GMD Top-Down Equity Research — Final Portfolio Package</x:v>
      </x:c>
      <x:c r="B1" s="734"/>
      <x:c r="C1" s="734"/>
      <x:c r="D1" s="734"/>
      <x:c r="E1" s="734"/>
      <x:c r="F1" s="734"/>
      <x:c r="G1" s="734"/>
      <x:c r="H1" s="734"/>
      <x:c r="I1" s="734"/>
      <x:c r="J1" s="734"/>
    </x:row>
    <x:row r="2" ht="28" customHeight="1">
      <x:c r="A2" s="738" t="str">
        <x:v>Vietnam trade and FDI → national container demand → GMD throughput and share → earnings and FCFF → valuation. Data cut-off: 25-Jul-2026.</x:v>
      </x:c>
      <x:c r="B2" s="738"/>
      <x:c r="C2" s="738"/>
      <x:c r="D2" s="738"/>
      <x:c r="E2" s="738"/>
      <x:c r="F2" s="738"/>
      <x:c r="G2" s="738"/>
      <x:c r="H2" s="738"/>
      <x:c r="I2" s="738"/>
      <x:c r="J2" s="738"/>
    </x:row>
    <x:row r="4" ht="24" customHeight="1">
      <x:c r="A4" s="747" t="str">
        <x:v>Investment call and model outputs</x:v>
      </x:c>
      <x:c r="B4" s="748" t="str">
        <x:v>Investment call and model outputs</x:v>
      </x:c>
      <x:c r="C4" s="748" t="str">
        <x:v>Investment call and model outputs</x:v>
      </x:c>
      <x:c r="D4" s="748" t="str">
        <x:v>Investment call and model outputs</x:v>
      </x:c>
      <x:c r="E4" s="748" t="str">
        <x:v>Investment call and model outputs</x:v>
      </x:c>
      <x:c r="F4" s="748" t="str">
        <x:v>Investment call and model outputs</x:v>
      </x:c>
      <x:c r="G4" s="748" t="str">
        <x:v>Investment call and model outputs</x:v>
      </x:c>
      <x:c r="H4" s="748" t="str">
        <x:v>Investment call and model outputs</x:v>
      </x:c>
      <x:c r="I4" s="748" t="str">
        <x:v>Investment call and model outputs</x:v>
      </x:c>
      <x:c r="J4" s="749" t="str">
        <x:v>Investment call and model outputs</x:v>
      </x:c>
    </x:row>
    <x:row r="5" ht="25" customHeight="1">
      <x:c r="A5" s="755" t="str">
        <x:v>Rating</x:v>
      </x:c>
      <x:c r="B5" s="755" t="str">
        <x:v>Target price</x:v>
      </x:c>
      <x:c r="C5" s="755" t="str">
        <x:v>Current price</x:v>
      </x:c>
      <x:c r="D5" s="755" t="str">
        <x:v>Upside</x:v>
      </x:c>
      <x:c r="E5" s="755" t="str">
        <x:v>2026E revenue</x:v>
      </x:c>
      <x:c r="F5" s="755" t="str">
        <x:v>2026E core PBT</x:v>
      </x:c>
      <x:c r="G5" s="755" t="str">
        <x:v>2026E EPS</x:v>
      </x:c>
      <x:c r="H5" s="755" t="str">
        <x:v>WACC</x:v>
      </x:c>
      <x:c r="I5" s="755" t="str">
        <x:v>Terminal growth</x:v>
      </x:c>
      <x:c r="J5" s="755" t="str">
        <x:v>Data cut-off</x:v>
      </x:c>
    </x:row>
    <x:row r="6" ht="25" customHeight="1">
      <x:c r="A6" s="768" t="str">
        <x:f>'P4 Valuation'!C18</x:f>
        <x:v>BUY</x:v>
      </x:c>
      <x:c r="B6" s="765" t="n">
        <x:f>'P4 Valuation'!C16</x:f>
        <x:v>84500</x:v>
      </x:c>
      <x:c r="C6" s="765" t="n">
        <x:f>'P4 Valuation'!C6</x:f>
        <x:v>73200</x:v>
      </x:c>
      <x:c r="D6" s="766" t="n">
        <x:f>'P4 Valuation'!C17</x:f>
        <x:v>0.15437158469945356</x:v>
      </x:c>
      <x:c r="E6" s="765" t="n">
        <x:f>'P4 Forecast'!D16</x:f>
        <x:v>6757.498469512975</x:v>
      </x:c>
      <x:c r="F6" s="765" t="n">
        <x:f>'P4 Forecast'!D28</x:f>
        <x:v>3009.3552045285132</x:v>
      </x:c>
      <x:c r="G6" s="765" t="n">
        <x:f>'P4 Forecast'!D35</x:f>
        <x:v>4980.839859705584</x:v>
      </x:c>
      <x:c r="H6" s="766" t="n">
        <x:f>'P4 Assumptions'!C112</x:f>
        <x:v>0.115817</x:v>
      </x:c>
      <x:c r="I6" s="766" t="n">
        <x:f>'P4 Assumptions'!C113</x:f>
        <x:v>0.04</x:v>
      </x:c>
      <x:c r="J6" s="767" t="n">
        <x:f>DATE(2026,7,25)</x:f>
        <x:v>46228</x:v>
      </x:c>
    </x:row>
    <x:row r="7" ht="25" customHeight="1">
      <x:c r="A7"/>
      <x:c r="B7"/>
      <x:c r="D7"/>
      <x:c r="E7"/>
    </x:row>
    <x:row r="8" ht="24" customHeight="1">
      <x:c r="A8" s="747" t="str">
        <x:v>Research conclusion</x:v>
      </x:c>
      <x:c r="B8" s="748" t="str">
        <x:v>Research conclusion</x:v>
      </x:c>
      <x:c r="C8" s="748" t="str">
        <x:v>Research conclusion</x:v>
      </x:c>
      <x:c r="D8" s="748" t="str">
        <x:v>Research conclusion</x:v>
      </x:c>
      <x:c r="E8" s="748" t="str">
        <x:v>Research conclusion</x:v>
      </x:c>
      <x:c r="F8" s="748" t="str">
        <x:v>Research conclusion</x:v>
      </x:c>
      <x:c r="G8" s="748" t="str">
        <x:v>Research conclusion</x:v>
      </x:c>
      <x:c r="H8" s="748" t="str">
        <x:v>Research conclusion</x:v>
      </x:c>
      <x:c r="I8" s="748" t="str">
        <x:v>Research conclusion</x:v>
      </x:c>
      <x:c r="J8" s="749" t="str">
        <x:v>Research conclusion</x:v>
      </x:c>
    </x:row>
    <x:row r="9" ht="25" customHeight="1">
      <x:c r="A9" s="798" t="str">
        <x:v>GMD ranks first in the operating peer screen because its nationwide asset footprint, Nam Dinh Vu expansion and Gemalink exposure provide the clearest path from Vietnam container growth to attributable earnings. The Base case supports BUY only narrowly: the blended target clears the 15% hurdle by a modest margin, so share retention, capex normalization and Gemalink Phase 2 execution remain critical.</x:v>
      </x:c>
      <x:c r="B9" s="799"/>
      <x:c r="C9" s="799"/>
      <x:c r="D9" s="799"/>
      <x:c r="E9" s="799"/>
      <x:c r="F9" s="799"/>
      <x:c r="G9" s="799"/>
      <x:c r="H9" s="799"/>
      <x:c r="I9" s="799"/>
      <x:c r="J9" s="800"/>
    </x:row>
    <x:row r="10" ht="25" customHeight="1">
      <x:c r="A10" s="801"/>
      <x:c r="B10" s="802"/>
      <x:c r="C10" s="802"/>
      <x:c r="D10" s="802"/>
      <x:c r="E10" s="802"/>
      <x:c r="F10" s="802"/>
      <x:c r="G10" s="802"/>
      <x:c r="H10" s="802"/>
      <x:c r="I10" s="802"/>
      <x:c r="J10" s="803"/>
    </x:row>
    <x:row r="11" ht="25" customHeight="1">
      <x:c r="A11" s="804"/>
      <x:c r="B11" s="805"/>
      <x:c r="C11" s="805"/>
      <x:c r="D11" s="805"/>
      <x:c r="E11" s="805"/>
      <x:c r="F11" s="805"/>
      <x:c r="G11" s="805"/>
      <x:c r="H11" s="805"/>
      <x:c r="I11" s="805"/>
      <x:c r="J11" s="806"/>
    </x:row>
    <x:row r="12" ht="25" customHeight="1">
      <x:c r="D12"/>
      <x:c r="E12"/>
    </x:row>
    <x:row r="13" ht="24" customHeight="1">
      <x:c r="A13" s="747" t="str">
        <x:v>Workbook navigation — follow the research chain</x:v>
      </x:c>
      <x:c r="B13" s="748" t="str">
        <x:v>Workbook navigation — follow the research chain</x:v>
      </x:c>
      <x:c r="C13" s="748" t="str">
        <x:v>Workbook navigation — follow the research chain</x:v>
      </x:c>
      <x:c r="D13" s="748" t="str">
        <x:v>Workbook navigation — follow the research chain</x:v>
      </x:c>
      <x:c r="E13" s="748" t="str">
        <x:v>Workbook navigation — follow the research chain</x:v>
      </x:c>
      <x:c r="F13" s="748" t="str">
        <x:v>Workbook navigation — follow the research chain</x:v>
      </x:c>
      <x:c r="G13" s="748" t="str">
        <x:v>Workbook navigation — follow the research chain</x:v>
      </x:c>
      <x:c r="H13" s="748" t="str">
        <x:v>Workbook navigation — follow the research chain</x:v>
      </x:c>
      <x:c r="I13" s="748" t="str">
        <x:v>Workbook navigation — follow the research chain</x:v>
      </x:c>
      <x:c r="J13" s="749" t="str">
        <x:v>Workbook navigation — follow the research chain</x:v>
      </x:c>
    </x:row>
    <x:row r="14" ht="21" customHeight="1">
      <x:c r="A14" s="755" t="str">
        <x:v>Step</x:v>
      </x:c>
      <x:c r="B14" s="755" t="str">
        <x:v>Question answered</x:v>
      </x:c>
      <x:c r="C14" s="755" t="str">
        <x:v>Primary sheet</x:v>
      </x:c>
      <x:c r="D14" s="755" t="str">
        <x:v>Evidence class</x:v>
      </x:c>
      <x:c r="E14" s="755" t="str">
        <x:v>Update action</x:v>
      </x:c>
      <x:c r="F14" s="755" t="str">
        <x:v>Step</x:v>
      </x:c>
      <x:c r="G14" s="755" t="str">
        <x:v>Question answered</x:v>
      </x:c>
      <x:c r="H14" s="755" t="str">
        <x:v>Primary sheet</x:v>
      </x:c>
      <x:c r="I14" s="755" t="str">
        <x:v>Evidence class</x:v>
      </x:c>
      <x:c r="J14" s="755" t="str">
        <x:v>Update action</x:v>
      </x:c>
    </x:row>
    <x:row r="15" ht="24" customHeight="1">
      <x:c r="A15" s="807" t="str">
        <x:v>1</x:v>
      </x:c>
      <x:c r="B15" s="759" t="str">
        <x:v>Is the macro setup supportive?</x:v>
      </x:c>
      <x:c r="C15" s="759" t="str">
        <x:v>Macro H1 2026</x:v>
      </x:c>
      <x:c r="D15" s="759" t="str">
        <x:v>Official facts</x:v>
      </x:c>
      <x:c r="E15" s="759" t="str">
        <x:v>Refresh NSO release</x:v>
      </x:c>
      <x:c r="F15" s="807" t="str">
        <x:v>5</x:v>
      </x:c>
      <x:c r="G15" s="759" t="str">
        <x:v>What is the investment call?</x:v>
      </x:c>
      <x:c r="H15" s="759" t="str">
        <x:v>P4 Investment View</x:v>
      </x:c>
      <x:c r="I15" s="759" t="str">
        <x:v>Model output</x:v>
      </x:c>
      <x:c r="J15" s="759" t="str">
        <x:v>Review catalysts/risks</x:v>
      </x:c>
    </x:row>
    <x:row r="16" ht="24" customHeight="1">
      <x:c r="A16" s="807" t="str">
        <x:v>2</x:v>
      </x:c>
      <x:c r="B16" s="759" t="str">
        <x:v>Why GMD over listed peers?</x:v>
      </x:c>
      <x:c r="C16" s="759" t="str">
        <x:v>P2 Scorecard</x:v>
      </x:c>
      <x:c r="D16" s="759" t="str">
        <x:v>Analyst screen</x:v>
      </x:c>
      <x:c r="E16" s="759" t="str">
        <x:v>Re-score if facts change</x:v>
      </x:c>
      <x:c r="F16" s="807" t="str">
        <x:v>6</x:v>
      </x:c>
      <x:c r="G16" s="759" t="str">
        <x:v>How is the stock valued?</x:v>
      </x:c>
      <x:c r="H16" s="759" t="str">
        <x:v>P4 Beta / Valuation / DCF</x:v>
      </x:c>
      <x:c r="I16" s="759" t="str">
        <x:v>Formula output</x:v>
      </x:c>
      <x:c r="J16" s="759" t="str">
        <x:v>Refresh beta, price and WACC</x:v>
      </x:c>
    </x:row>
    <x:row r="17" ht="24" customHeight="1">
      <x:c r="A17" s="807" t="str">
        <x:v>3</x:v>
      </x:c>
      <x:c r="B17" s="759" t="str">
        <x:v>What drove historical earnings?</x:v>
      </x:c>
      <x:c r="C17" s="759" t="str">
        <x:v>P3 Dashboard</x:v>
      </x:c>
      <x:c r="D17" s="759" t="str">
        <x:v>Linked actuals</x:v>
      </x:c>
      <x:c r="E17" s="759" t="str">
        <x:v>Refresh filings/API</x:v>
      </x:c>
      <x:c r="F17" s="807" t="str">
        <x:v>7</x:v>
      </x:c>
      <x:c r="G17" s="759" t="str">
        <x:v>Do all bridges reconcile?</x:v>
      </x:c>
      <x:c r="H17" s="759" t="str">
        <x:v>P3/P4 Checks</x:v>
      </x:c>
      <x:c r="I17" s="759" t="str">
        <x:v>Model controls</x:v>
      </x:c>
      <x:c r="J17" s="759" t="str">
        <x:v>Resolve REVIEW flags</x:v>
      </x:c>
    </x:row>
    <x:row r="18" ht="24" customHeight="1">
      <x:c r="A18" s="807" t="str">
        <x:v>4</x:v>
      </x:c>
      <x:c r="B18" s="759" t="str">
        <x:v>How does top-down become EPS?</x:v>
      </x:c>
      <x:c r="C18" s="759" t="str">
        <x:v>P4 Forecast</x:v>
      </x:c>
      <x:c r="D18" s="759" t="str">
        <x:v>Assumptions + formulas</x:v>
      </x:c>
      <x:c r="E18" s="759" t="str">
        <x:v>Edit blue inputs only</x:v>
      </x:c>
      <x:c r="F18" s="807" t="str">
        <x:v>8</x:v>
      </x:c>
      <x:c r="G18" s="759" t="str">
        <x:v>Are portfolio outputs consistent?</x:v>
      </x:c>
      <x:c r="H18" s="759" t="str">
        <x:v>P5 QC</x:v>
      </x:c>
      <x:c r="I18" s="759" t="str">
        <x:v>Packaging controls</x:v>
      </x:c>
      <x:c r="J18" s="759" t="str">
        <x:v>Run before sharing</x:v>
      </x:c>
    </x:row>
    <x:row r="20" ht="24" customHeight="1">
      <x:c r="A20" s="747" t="str">
        <x:v>Phase status</x:v>
      </x:c>
      <x:c r="B20" s="748" t="str">
        <x:v>Phase status</x:v>
      </x:c>
      <x:c r="C20" s="748" t="str">
        <x:v>Phase status</x:v>
      </x:c>
      <x:c r="D20" s="748" t="str">
        <x:v>Phase status</x:v>
      </x:c>
      <x:c r="E20" s="748" t="str">
        <x:v>Phase status</x:v>
      </x:c>
      <x:c r="F20" s="748" t="str">
        <x:v>Phase status</x:v>
      </x:c>
      <x:c r="G20" s="748" t="str">
        <x:v>Phase status</x:v>
      </x:c>
      <x:c r="H20" s="748" t="str">
        <x:v>Phase status</x:v>
      </x:c>
      <x:c r="I20" s="748" t="str">
        <x:v>Phase status</x:v>
      </x:c>
      <x:c r="J20" s="749" t="str">
        <x:v>Phase status</x:v>
      </x:c>
    </x:row>
    <x:row r="21" ht="28" customHeight="1">
      <x:c r="A21" s="755" t="str">
        <x:v>Phase</x:v>
      </x:c>
      <x:c r="B21" s="755" t="str">
        <x:v>Status</x:v>
      </x:c>
      <x:c r="C21" s="755" t="str">
        <x:v>Key output</x:v>
      </x:c>
      <x:c r="D21" s="755" t="str">
        <x:v>Phase</x:v>
      </x:c>
      <x:c r="E21" s="755" t="str">
        <x:v>Status</x:v>
      </x:c>
      <x:c r="F21" s="755" t="str">
        <x:v>Key output</x:v>
      </x:c>
      <x:c r="G21" s="755" t="str">
        <x:v>Phase</x:v>
      </x:c>
      <x:c r="H21" s="755" t="str">
        <x:v>Status</x:v>
      </x:c>
      <x:c r="I21" s="755" t="str">
        <x:v>Key output</x:v>
      </x:c>
      <x:c r="J21" s="755" t="str">
        <x:v>Model discipline</x:v>
      </x:c>
    </x:row>
    <x:row r="22" ht="28" customHeight="1">
      <x:c r="A22" s="759" t="str">
        <x:v>0–1</x:v>
      </x:c>
      <x:c r="B22" s="809" t="str">
        <x:v>COMPLETE</x:v>
      </x:c>
      <x:c r="C22" s="759" t="str">
        <x:v>Mandate + source audit</x:v>
      </x:c>
      <x:c r="D22" s="759" t="str">
        <x:v>2</x:v>
      </x:c>
      <x:c r="E22" s="809" t="str">
        <x:v>COMPLETE</x:v>
      </x:c>
      <x:c r="F22" s="759" t="str">
        <x:v>GMD selected over peers</x:v>
      </x:c>
      <x:c r="G22" s="759" t="str">
        <x:v>3</x:v>
      </x:c>
      <x:c r="H22" s="809" t="str">
        <x:v>COMPLETE</x:v>
      </x:c>
      <x:c r="I22" s="759" t="str">
        <x:v>2021–2025 raw-linked history</x:v>
      </x:c>
      <x:c r="J22" s="759" t="str">
        <x:v>Facts / assumptions / outputs separated</x:v>
      </x:c>
    </x:row>
    <x:row r="23" ht="28" customHeight="1">
      <x:c r="A23" s="759" t="str">
        <x:v>4</x:v>
      </x:c>
      <x:c r="B23" s="809" t="str">
        <x:v>COMPLETE</x:v>
      </x:c>
      <x:c r="C23" s="759" t="str">
        <x:v>2026–2030 forecast + valuation</x:v>
      </x:c>
      <x:c r="D23" s="759" t="str">
        <x:v>5</x:v>
      </x:c>
      <x:c r="E23" s="809" t="str">
        <x:v>COMPLETE</x:v>
      </x:c>
      <x:c r="F23" s="759" t="str">
        <x:v>Model + 7-slide note + script</x:v>
      </x:c>
      <x:c r="G23" s="759" t="str">
        <x:v>Checks</x:v>
      </x:c>
      <x:c r="H23" s="809" t="str">
        <x:v>PASS</x:v>
      </x:c>
      <x:c r="I23" s="759" t="str">
        <x:v>P3, P4 and P5 controls</x:v>
      </x:c>
      <x:c r="J23" s="759" t="str">
        <x:v>No recommendation before downside case</x:v>
      </x:c>
    </x:row>
    <x:row r="24" ht="28" customHeight="1">
      <x:c r="A24"/>
      <x:c r="B24"/>
      <x:c r="D24"/>
      <x:c r="E24"/>
      <x:c r="F24"/>
      <x:c r="G24"/>
      <x:c r="H24"/>
      <x:c r="I24"/>
      <x:c r="J24"/>
    </x:row>
    <x:row r="25" ht="24" customHeight="1">
      <x:c r="A25" s="747" t="str">
        <x:v>Conventions</x:v>
      </x:c>
      <x:c r="B25" s="748" t="str">
        <x:v>Conventions</x:v>
      </x:c>
      <x:c r="C25" s="748" t="str">
        <x:v>Conventions</x:v>
      </x:c>
      <x:c r="D25" s="748" t="str">
        <x:v>Conventions</x:v>
      </x:c>
      <x:c r="E25" s="748" t="str">
        <x:v>Conventions</x:v>
      </x:c>
      <x:c r="F25" s="748" t="str">
        <x:v>Conventions</x:v>
      </x:c>
      <x:c r="G25" s="748" t="str">
        <x:v>Conventions</x:v>
      </x:c>
      <x:c r="H25" s="748" t="str">
        <x:v>Conventions</x:v>
      </x:c>
      <x:c r="I25" s="748" t="str">
        <x:v>Conventions</x:v>
      </x:c>
      <x:c r="J25" s="749" t="str">
        <x:v>Conventions</x:v>
      </x:c>
    </x:row>
    <x:row r="26" ht="24" customHeight="1">
      <x:c r="A26" s="830" t="str">
        <x:v>Green font = linked formulas; blue font with yellow fill = editable assumptions; black font = calculations; source URLs and audit notes are retained in Source Audit and raw-data sheets. The investment note is a portfolio sample, not a solicitation or personalized investment advice.</x:v>
      </x:c>
      <x:c r="B26" s="831"/>
      <x:c r="C26" s="831"/>
      <x:c r="D26" s="831"/>
      <x:c r="E26" s="831"/>
      <x:c r="F26" s="831"/>
      <x:c r="G26" s="831"/>
      <x:c r="H26" s="831"/>
      <x:c r="I26" s="831"/>
      <x:c r="J26" s="832"/>
    </x:row>
    <x:row r="27" ht="24" customHeight="1">
      <x:c r="A27" s="833"/>
      <x:c r="B27" s="834"/>
      <x:c r="C27" s="834"/>
      <x:c r="D27" s="834"/>
      <x:c r="E27" s="834"/>
      <x:c r="F27" s="834"/>
      <x:c r="G27" s="834"/>
      <x:c r="H27" s="834"/>
      <x:c r="I27" s="834"/>
      <x:c r="J27" s="835"/>
    </x:row>
    <x:row r="28" ht="24" customHeight="1">
      <x:c r="A28" s="836"/>
      <x:c r="B28" s="837"/>
      <x:c r="C28" s="837"/>
      <x:c r="D28" s="837"/>
      <x:c r="E28" s="837"/>
      <x:c r="F28" s="837"/>
      <x:c r="G28" s="837"/>
      <x:c r="H28" s="837"/>
      <x:c r="I28" s="837"/>
      <x:c r="J28" s="838"/>
    </x:row>
  </x:sheetData>
  <x:mergeCells>
    <x:mergeCell ref="A1:J1"/>
    <x:mergeCell ref="A2:J2"/>
    <x:mergeCell ref="A4:J4"/>
    <x:mergeCell ref="A8:J8"/>
    <x:mergeCell ref="A9:J11"/>
    <x:mergeCell ref="A13:J13"/>
    <x:mergeCell ref="A20:J20"/>
    <x:mergeCell ref="A25:J25"/>
    <x:mergeCell ref="A26:J28"/>
  </x:mergeCells>
  <x:conditionalFormatting sqref="A6:A6">
    <x:cfRule type="containsText" dxfId="13" priority="1" operator="containsText" text="BUY"/>
    <x:cfRule type="containsText" dxfId="14" priority="2" operator="containsText" text="SELL"/>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25" hidden="0" customWidth="1"/>
    <x:col min="2" max="2" width="48" hidden="0" customWidth="1"/>
    <x:col min="3" max="3" width="22" hidden="0" customWidth="1"/>
    <x:col min="4" max="4" width="24" hidden="0" customWidth="1"/>
    <x:col min="5" max="5" width="25" hidden="0" customWidth="1"/>
    <x:col min="6" max="6" width="25" hidden="0" customWidth="1"/>
    <x:col min="7" max="7" width="22" hidden="0" customWidth="1"/>
    <x:col min="8" max="8" width="38" hidden="0" customWidth="1"/>
  </x:cols>
  <x:sheetData>
    <x:row r="1" ht="30" customHeight="1">
      <x:c r="A1" s="4" t="str">
        <x:v>Phase 0 — Research Mandate</x:v>
      </x:c>
      <x:c r="B1" s="4" t="str">
        <x:v>Phase 0 — Research Mandate</x:v>
      </x:c>
      <x:c r="C1" s="4" t="str">
        <x:v>Phase 0 — Research Mandate</x:v>
      </x:c>
      <x:c r="D1" s="4" t="str">
        <x:v>Phase 0 — Research Mandate</x:v>
      </x:c>
      <x:c r="E1" s="4" t="str">
        <x:v>Phase 0 — Research Mandate</x:v>
      </x:c>
      <x:c r="F1" s="4" t="str">
        <x:v>Phase 0 — Research Mandate</x:v>
      </x:c>
      <x:c r="G1" s="4" t="str">
        <x:v>Phase 0 — Research Mandate</x:v>
      </x:c>
      <x:c r="H1" s="4" t="str">
        <x:v>Phase 0 — Research Mandate</x:v>
      </x:c>
    </x:row>
    <x:row r="2" ht="34" customHeight="1">
      <x:c r="A2" s="9" t="str">
        <x:v>The brief converts a broad sector idea into a falsifiable equity-research question.</x:v>
      </x:c>
      <x:c r="B2" s="9" t="str">
        <x:v>The brief converts a broad sector idea into a falsifiable equity-research question.</x:v>
      </x:c>
      <x:c r="C2" s="9" t="str">
        <x:v>The brief converts a broad sector idea into a falsifiable equity-research question.</x:v>
      </x:c>
      <x:c r="D2" s="9" t="str">
        <x:v>The brief converts a broad sector idea into a falsifiable equity-research question.</x:v>
      </x:c>
      <x:c r="E2" s="9" t="str">
        <x:v>The brief converts a broad sector idea into a falsifiable equity-research question.</x:v>
      </x:c>
      <x:c r="F2" s="9" t="str">
        <x:v>The brief converts a broad sector idea into a falsifiable equity-research question.</x:v>
      </x:c>
      <x:c r="G2" s="9" t="str">
        <x:v>The brief converts a broad sector idea into a falsifiable equity-research question.</x:v>
      </x:c>
      <x:c r="H2" s="9" t="str">
        <x:v>The brief converts a broad sector idea into a falsifiable equity-research question.</x:v>
      </x:c>
    </x:row>
    <x:row r="4" ht="21" customHeight="1">
      <x:c r="A4" s="13" t="str">
        <x:v>Research question and working hypothesis</x:v>
      </x:c>
      <x:c r="B4" s="13" t="str">
        <x:v>Research question and working hypothesis</x:v>
      </x:c>
      <x:c r="C4" s="13" t="str">
        <x:v>Research question and working hypothesis</x:v>
      </x:c>
      <x:c r="D4" s="13" t="str">
        <x:v>Research question and working hypothesis</x:v>
      </x:c>
      <x:c r="E4" s="13" t="str">
        <x:v>Research question and working hypothesis</x:v>
      </x:c>
      <x:c r="F4" s="13" t="str">
        <x:v>Research question and working hypothesis</x:v>
      </x:c>
      <x:c r="G4" s="13" t="str">
        <x:v>Research question and working hypothesis</x:v>
      </x:c>
      <x:c r="H4" s="13" t="str">
        <x:v>Research question and working hypothesis</x:v>
      </x:c>
    </x:row>
    <x:row r="5" ht="38" customHeight="1">
      <x:c r="A5" s="17" t="str">
        <x:v>Decision question</x:v>
      </x:c>
      <x:c r="B5" s="21" t="str">
        <x:v>If Vietnam trade keeps growing, which listed port operator converts that growth into the most reliable EBITDA and FCF in 2026–2028?</x:v>
      </x:c>
    </x:row>
    <x:row r="6" ht="38" customHeight="1">
      <x:c r="A6" s="17" t="str">
        <x:v>Hypothesis 1 — Macro to volume</x:v>
      </x:c>
      <x:c r="B6" s="21" t="str">
        <x:v>Trade and disbursed FDI support cargo/container volumes, but the elasticity must be estimated rather than assumed.</x:v>
      </x:c>
    </x:row>
    <x:row r="7" ht="38" customHeight="1">
      <x:c r="A7" s="17" t="str">
        <x:v>Hypothesis 2 — Volume to company</x:v>
      </x:c>
      <x:c r="B7" s="21" t="str">
        <x:v>Benefits concentrate in the region and assets with available capacity, suitable channel depth, shipping-line connectivity and defensible market share.</x:v>
      </x:c>
    </x:row>
    <x:row r="8" ht="38" customHeight="1">
      <x:c r="A8" s="17" t="str">
        <x:v>Hypothesis 3 — Company to equity</x:v>
      </x:c>
      <x:c r="B8" s="21" t="str">
        <x:v>Throughput × realized tariff must survive opex, capex, interest and minority-interest leakage before creating shareholder value.</x:v>
      </x:c>
    </x:row>
    <x:row r="9" ht="38" customHeight="1">
      <x:c r="A9" s="17" t="str">
        <x:v>Preliminary focal name</x:v>
      </x:c>
      <x:c r="B9" s="21" t="str">
        <x:v>GMD is the candidate for full modeling; Phase 2 can reject it in favor of VSC, PHP or DVP.</x:v>
      </x:c>
    </x:row>
    <x:row r="11" ht="21" customHeight="1">
      <x:c r="A11" s="13" t="str">
        <x:v>Top-down chain and required tests</x:v>
      </x:c>
      <x:c r="B11" s="13" t="str">
        <x:v>Top-down chain and required tests</x:v>
      </x:c>
      <x:c r="C11" s="13" t="str">
        <x:v>Top-down chain and required tests</x:v>
      </x:c>
      <x:c r="D11" s="13" t="str">
        <x:v>Top-down chain and required tests</x:v>
      </x:c>
      <x:c r="E11" s="13" t="str">
        <x:v>Top-down chain and required tests</x:v>
      </x:c>
      <x:c r="F11" s="13" t="str">
        <x:v>Top-down chain and required tests</x:v>
      </x:c>
      <x:c r="G11" s="13" t="str">
        <x:v>Top-down chain and required tests</x:v>
      </x:c>
      <x:c r="H11" s="13" t="str">
        <x:v>Top-down chain and required tests</x:v>
      </x:c>
    </x:row>
    <x:row r="12" ht="32" customHeight="1">
      <x:c r="A12" s="65" t="str">
        <x:v>Layer</x:v>
      </x:c>
      <x:c r="B12" s="65" t="str">
        <x:v>Macro</x:v>
      </x:c>
      <x:c r="C12" s="65" t="str">
        <x:v>Industry</x:v>
      </x:c>
      <x:c r="D12" s="65" t="str">
        <x:v>Regional</x:v>
      </x:c>
      <x:c r="E12" s="65" t="str">
        <x:v>Asset / company</x:v>
      </x:c>
      <x:c r="F12" s="65" t="str">
        <x:v>Financial bridge</x:v>
      </x:c>
      <x:c r="G12" s="65" t="str">
        <x:v>Equity</x:v>
      </x:c>
      <x:c r="H12" s="65" t="str">
        <x:v>Failure test</x:v>
      </x:c>
    </x:row>
    <x:row r="13" ht="34" customHeight="1">
      <x:c r="A13" s="85" t="str">
        <x:v>Driver</x:v>
      </x:c>
      <x:c r="B13" s="86" t="str">
        <x:v>Trade / FDI</x:v>
      </x:c>
      <x:c r="C13" s="86" t="str">
        <x:v>National TEU</x:v>
      </x:c>
      <x:c r="D13" s="86" t="str">
        <x:v>North / Central / South</x:v>
      </x:c>
      <x:c r="E13" s="86" t="str">
        <x:v>Capacity, share, routes</x:v>
      </x:c>
      <x:c r="F13" s="86" t="str">
        <x:v>Throughput × tariff</x:v>
      </x:c>
      <x:c r="G13" s="86" t="str">
        <x:v>FCF / valuation</x:v>
      </x:c>
      <x:c r="H13" s="87" t="str">
        <x:v>Any broken link weakens the thesis</x:v>
      </x:c>
    </x:row>
    <x:row r="14" ht="34" customHeight="1">
      <x:c r="A14" s="88" t="str">
        <x:v>Primary metric</x:v>
      </x:c>
      <x:c r="B14" s="89" t="str">
        <x:v>USD bn</x:v>
      </x:c>
      <x:c r="C14" s="89" t="str">
        <x:v>m TEU / mn tonnes</x:v>
      </x:c>
      <x:c r="D14" s="89" t="str">
        <x:v>Comparable TEU</x:v>
      </x:c>
      <x:c r="E14" s="89" t="str">
        <x:v>TEU, utilization, share</x:v>
      </x:c>
      <x:c r="F14" s="89" t="str">
        <x:v>VND bn, margin</x:v>
      </x:c>
      <x:c r="G14" s="89" t="str">
        <x:v>EV/EBITDA, DCF</x:v>
      </x:c>
      <x:c r="H14" s="90" t="str">
        <x:v>Definitions and units must align</x:v>
      </x:c>
    </x:row>
    <x:row r="15" ht="34" customHeight="1">
      <x:c r="A15" s="88" t="str">
        <x:v>Main risk</x:v>
      </x:c>
      <x:c r="B15" s="89" t="str">
        <x:v>Value ≠ volume</x:v>
      </x:c>
      <x:c r="C15" s="89" t="str">
        <x:v>Scope changes</x:v>
      </x:c>
      <x:c r="D15" s="89" t="str">
        <x:v>National ≠ regional</x:v>
      </x:c>
      <x:c r="E15" s="89" t="str">
        <x:v>Capacity ≠ throughput</x:v>
      </x:c>
      <x:c r="F15" s="89" t="str">
        <x:v>Mix / opex / capex</x:v>
      </x:c>
      <x:c r="G15" s="89" t="str">
        <x:v>Priced-in growth</x:v>
      </x:c>
      <x:c r="H15" s="90" t="str">
        <x:v>Document in Gap Log</x:v>
      </x:c>
    </x:row>
    <x:row r="16" ht="34" customHeight="1">
      <x:c r="A16" s="91" t="str">
        <x:v>Phase</x:v>
      </x:c>
      <x:c r="B16" s="92" t="str">
        <x:v>1–3</x:v>
      </x:c>
      <x:c r="C16" s="92" t="str">
        <x:v>1–3</x:v>
      </x:c>
      <x:c r="D16" s="92" t="str">
        <x:v>2–3</x:v>
      </x:c>
      <x:c r="E16" s="92" t="str">
        <x:v>2–3</x:v>
      </x:c>
      <x:c r="F16" s="92" t="str">
        <x:v>3</x:v>
      </x:c>
      <x:c r="G16" s="92" t="str">
        <x:v>4</x:v>
      </x:c>
      <x:c r="H16" s="93" t="str">
        <x:v>Every phase</x:v>
      </x:c>
    </x:row>
    <x:row r="18" ht="21" customHeight="1">
      <x:c r="A18" s="13" t="str">
        <x:v>Falsification tests</x:v>
      </x:c>
      <x:c r="B18" s="13" t="str">
        <x:v>Falsification tests</x:v>
      </x:c>
      <x:c r="C18" s="13" t="str">
        <x:v>Falsification tests</x:v>
      </x:c>
      <x:c r="D18" s="13" t="str">
        <x:v>Falsification tests</x:v>
      </x:c>
      <x:c r="E18" s="13" t="str">
        <x:v>Falsification tests</x:v>
      </x:c>
      <x:c r="F18" s="13" t="str">
        <x:v>Falsification tests</x:v>
      </x:c>
      <x:c r="G18" s="13" t="str">
        <x:v>Falsification tests</x:v>
      </x:c>
      <x:c r="H18" s="13" t="str">
        <x:v>Falsification tests</x:v>
      </x:c>
    </x:row>
    <x:row r="19" ht="27" customHeight="1">
      <x:c r="A19" s="96" t="str">
        <x:v>F-01</x:v>
      </x:c>
      <x:c r="B19" s="21" t="str">
        <x:v>Trade growth does not produce a stable relationship with comparable TEU history.</x:v>
      </x:c>
    </x:row>
    <x:row r="20" ht="27" customHeight="1">
      <x:c r="A20" s="96" t="str">
        <x:v>F-02</x:v>
      </x:c>
      <x:c r="B20" s="21" t="str">
        <x:v>Volume growth is concentrated outside GMD's relevant regions or GMD loses market share.</x:v>
      </x:c>
    </x:row>
    <x:row r="21" ht="27" customHeight="1">
      <x:c r="A21" s="96" t="str">
        <x:v>F-03</x:v>
      </x:c>
      <x:c r="B21" s="21" t="str">
        <x:v>New capacity ramps slowly or competition compresses tariff and margin.</x:v>
      </x:c>
    </x:row>
    <x:row r="22" ht="27" customHeight="1">
      <x:c r="A22" s="96" t="str">
        <x:v>F-04</x:v>
      </x:c>
      <x:c r="B22" s="21" t="str">
        <x:v>Capex, interest or minority interests absorb most EBITDA growth.</x:v>
      </x:c>
    </x:row>
    <x:row r="23" ht="27" customHeight="1">
      <x:c r="A23" s="96" t="str">
        <x:v>F-05</x:v>
      </x:c>
      <x:c r="B23" s="21" t="str">
        <x:v>A peer has superior asset position and risk-adjusted earnings after normalization.</x:v>
      </x:c>
    </x:row>
    <x:row r="24" ht="27" customHeight="1">
      <x:c r="A24" s="96" t="str">
        <x:v>F-06</x:v>
      </x:c>
      <x:c r="B24" s="21" t="str">
        <x:v>Valuation already prices in the 2026–2028 recovery with insufficient margin of safety.</x:v>
      </x:c>
    </x:row>
    <x:row r="26" ht="21" customHeight="1">
      <x:c r="A26" s="13" t="str">
        <x:v>Boundary conditions</x:v>
      </x:c>
      <x:c r="B26" s="13" t="str">
        <x:v>Boundary conditions</x:v>
      </x:c>
      <x:c r="C26" s="13" t="str">
        <x:v>Boundary conditions</x:v>
      </x:c>
      <x:c r="D26" s="13" t="str">
        <x:v>Boundary conditions</x:v>
      </x:c>
      <x:c r="E26" s="13" t="str">
        <x:v>Boundary conditions</x:v>
      </x:c>
      <x:c r="F26" s="13" t="str">
        <x:v>Boundary conditions</x:v>
      </x:c>
      <x:c r="G26" s="13" t="str">
        <x:v>Boundary conditions</x:v>
      </x:c>
      <x:c r="H26" s="13" t="str">
        <x:v>Boundary conditions</x:v>
      </x:c>
    </x:row>
    <x:row r="27" ht="24" customHeight="1">
      <x:c r="A27" s="46"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B27" s="47"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C27" s="47"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D27" s="47"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E27" s="47"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F27" s="47"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G27" s="47"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H27" s="48"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row>
    <x:row r="28" ht="24" customHeight="1">
      <x:c r="A28" s="49"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B28"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C28"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D28"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E28"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F28"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G28"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H28" s="51"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row>
    <x:row r="29" ht="24" customHeight="1">
      <x:c r="A29" s="49"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B29"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C29"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D29"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E29"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F29"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G29" s="50"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H29" s="51"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row>
    <x:row r="30" ht="24" customHeight="1">
      <x:c r="A30" s="52"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B30" s="53"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C30" s="53"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D30" s="53"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E30" s="53"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F30" s="53"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G30" s="53"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c r="H30" s="54" t="str">
        <x:v>In scope: trade, FDI, cargo/TEU, regional port demand, asset position, capacity, throughput, tariff, margin, capex and valuation. Out of scope: shipping-line freight rates and a combined port-plus-shipping thesis. No rating, target price or recommendation is allowed before the forecast and valuation phases.</x:v>
      </x:c>
    </x:row>
  </x:sheetData>
  <x:mergeCells>
    <x:mergeCell ref="A1:H1"/>
    <x:mergeCell ref="A2:H2"/>
    <x:mergeCell ref="A4:H4"/>
    <x:mergeCell ref="A11:H11"/>
    <x:mergeCell ref="A18:H18"/>
    <x:mergeCell ref="A26:H26"/>
    <x:mergeCell ref="A27:H30"/>
  </x:mergeCell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2" hidden="0" customWidth="1"/>
    <x:col min="2" max="2" width="17" hidden="0" customWidth="1"/>
    <x:col min="3" max="3" width="29" hidden="0" customWidth="1"/>
    <x:col min="4" max="4" width="42" hidden="0" customWidth="1"/>
    <x:col min="5" max="5" width="20" hidden="0" customWidth="1"/>
    <x:col min="6" max="6" width="16" hidden="0" customWidth="1"/>
    <x:col min="7" max="7" width="14" hidden="0" customWidth="1"/>
    <x:col min="8" max="8" width="20" hidden="0" customWidth="1"/>
    <x:col min="9" max="9" width="72" hidden="0" customWidth="1"/>
    <x:col min="10" max="10" width="34" hidden="0" customWidth="1"/>
    <x:col min="11" max="11" width="54" hidden="0" customWidth="1"/>
  </x:cols>
  <x:sheetData>
    <x:row r="1" ht="30" customHeight="1">
      <x:c r="A1" s="4" t="str">
        <x:v>Phase 1 to 4 — Source Audit</x:v>
      </x:c>
      <x:c r="B1" s="4" t="str">
        <x:v>Phase 1 — Source Audit</x:v>
      </x:c>
      <x:c r="C1" s="4" t="str">
        <x:v>Phase 1 — Source Audit</x:v>
      </x:c>
      <x:c r="D1" s="4" t="str">
        <x:v>Phase 1 — Source Audit</x:v>
      </x:c>
      <x:c r="E1" s="4" t="str">
        <x:v>Phase 1 — Source Audit</x:v>
      </x:c>
      <x:c r="F1" s="4" t="str">
        <x:v>Phase 1 — Source Audit</x:v>
      </x:c>
      <x:c r="G1" s="4" t="str">
        <x:v>Phase 1 — Source Audit</x:v>
      </x:c>
      <x:c r="H1" s="4" t="str">
        <x:v>Phase 1 — Source Audit</x:v>
      </x:c>
      <x:c r="I1" s="4" t="str">
        <x:v>Phase 1 — Source Audit</x:v>
      </x:c>
      <x:c r="J1" s="4" t="str">
        <x:v>Phase 1 — Source Audit</x:v>
      </x:c>
      <x:c r="K1" s="4" t="str">
        <x:v>Phase 1 — Source Audit</x:v>
      </x:c>
    </x:row>
    <x:row r="2" ht="34" customHeight="1">
      <x:c r="A2" s="9" t="str">
        <x:v>One row per registered source. URLs are stored as plain text for traceability; evidence class and caveats determine whether a fact may enter the model.</x:v>
      </x:c>
      <x:c r="B2" s="9" t="str">
        <x:v>One row per registered source. URLs are stored as plain text for traceability; evidence class and caveats determine whether a fact may enter the model.</x:v>
      </x:c>
      <x:c r="C2" s="9" t="str">
        <x:v>One row per registered source. URLs are stored as plain text for traceability; evidence class and caveats determine whether a fact may enter the model.</x:v>
      </x:c>
      <x:c r="D2" s="9" t="str">
        <x:v>One row per registered source. URLs are stored as plain text for traceability; evidence class and caveats determine whether a fact may enter the model.</x:v>
      </x:c>
      <x:c r="E2" s="9" t="str">
        <x:v>One row per registered source. URLs are stored as plain text for traceability; evidence class and caveats determine whether a fact may enter the model.</x:v>
      </x:c>
      <x:c r="F2" s="9" t="str">
        <x:v>One row per registered source. URLs are stored as plain text for traceability; evidence class and caveats determine whether a fact may enter the model.</x:v>
      </x:c>
      <x:c r="G2" s="9" t="str">
        <x:v>One row per registered source. URLs are stored as plain text for traceability; evidence class and caveats determine whether a fact may enter the model.</x:v>
      </x:c>
      <x:c r="H2" s="9" t="str">
        <x:v>One row per registered source. URLs are stored as plain text for traceability; evidence class and caveats determine whether a fact may enter the model.</x:v>
      </x:c>
      <x:c r="I2" s="9" t="str">
        <x:v>One row per registered source. URLs are stored as plain text for traceability; evidence class and caveats determine whether a fact may enter the model.</x:v>
      </x:c>
      <x:c r="J2" s="9" t="str">
        <x:v>One row per registered source. URLs are stored as plain text for traceability; evidence class and caveats determine whether a fact may enter the model.</x:v>
      </x:c>
      <x:c r="K2" s="9" t="str">
        <x:v>One row per registered source. URLs are stored as plain text for traceability; evidence class and caveats determine whether a fact may enter the model.</x:v>
      </x:c>
    </x:row>
    <x:row r="4" ht="21" customHeight="1">
      <x:c r="A4" s="13" t="str">
        <x:v>Source register</x:v>
      </x:c>
      <x:c r="B4" s="13" t="str">
        <x:v>Source register</x:v>
      </x:c>
      <x:c r="C4" s="13" t="str">
        <x:v>Source register</x:v>
      </x:c>
      <x:c r="D4" s="13" t="str">
        <x:v>Source register</x:v>
      </x:c>
      <x:c r="E4" s="13" t="str">
        <x:v>Source register</x:v>
      </x:c>
      <x:c r="F4" s="13" t="str">
        <x:v>Source register</x:v>
      </x:c>
      <x:c r="G4" s="13" t="str">
        <x:v>Source register</x:v>
      </x:c>
      <x:c r="H4" s="13" t="str">
        <x:v>Source register</x:v>
      </x:c>
      <x:c r="I4" s="13" t="str">
        <x:v>Source register</x:v>
      </x:c>
      <x:c r="J4" s="13" t="str">
        <x:v>Source register</x:v>
      </x:c>
      <x:c r="K4" s="13" t="str">
        <x:v>Source register</x:v>
      </x:c>
    </x:row>
    <x:row r="6" ht="32" customHeight="1">
      <x:c r="A6" s="65" t="str">
        <x:v>Source ID</x:v>
      </x:c>
      <x:c r="B6" s="65" t="str">
        <x:v>Topic</x:v>
      </x:c>
      <x:c r="C6" s="65" t="str">
        <x:v>Issuer / publisher</x:v>
      </x:c>
      <x:c r="D6" s="65" t="str">
        <x:v>Document</x:v>
      </x:c>
      <x:c r="E6" s="65" t="str">
        <x:v>Evidence class</x:v>
      </x:c>
      <x:c r="F6" s="65" t="str">
        <x:v>Period</x:v>
      </x:c>
      <x:c r="G6" s="65" t="str">
        <x:v>Accessed</x:v>
      </x:c>
      <x:c r="H6" s="65" t="str">
        <x:v>Status</x:v>
      </x:c>
      <x:c r="I6" s="65" t="str">
        <x:v>Source URL</x:v>
      </x:c>
      <x:c r="J6" s="65" t="str">
        <x:v>Intended use</x:v>
      </x:c>
      <x:c r="K6" s="65" t="str">
        <x:v>Audit note</x:v>
      </x:c>
    </x:row>
    <x:row r="7" ht="42" customHeight="1">
      <x:c r="A7" s="85" t="str">
        <x:v>SRC-M01</x:v>
      </x:c>
      <x:c r="B7" s="86" t="str">
        <x:v>Macro</x:v>
      </x:c>
      <x:c r="C7" s="86" t="str">
        <x:v>National Statistics Office</x:v>
      </x:c>
      <x:c r="D7" s="86" t="str">
        <x:v>Vietnam socio-economic situation, June and 1H2026</x:v>
      </x:c>
      <x:c r="E7" s="86" t="str">
        <x:v>Official statistics</x:v>
      </x:c>
      <x:c r="F7" s="86" t="str">
        <x:v>1H2026</x:v>
      </x:c>
      <x:c r="G7" s="86" t="str">
        <x:v>25-Jul-2026</x:v>
      </x:c>
      <x:c r="H7" s="86" t="str">
        <x:v>Verified</x:v>
      </x:c>
      <x:c r="I7" s="97" t="str">
        <x:v>https://www.nso.gov.vn/wp-content/uploads/2026/07/VN.-T6.2026-final.pdf</x:v>
      </x:c>
      <x:c r="J7" s="86" t="str">
        <x:v>Trade and FDI snapshot</x:v>
      </x:c>
      <x:c r="K7" s="87" t="str">
        <x:v>Primary source; values are reported actuals.</x:v>
      </x:c>
    </x:row>
    <x:row r="8" ht="42" customHeight="1">
      <x:c r="A8" s="88" t="str">
        <x:v>SRC-M02</x:v>
      </x:c>
      <x:c r="B8" s="89" t="str">
        <x:v>Macro</x:v>
      </x:c>
      <x:c r="C8" s="89" t="str">
        <x:v>National Statistics Office</x:v>
      </x:c>
      <x:c r="D8" s="89" t="str">
        <x:v>Socio-economic situation in Q4 and 2025</x:v>
      </x:c>
      <x:c r="E8" s="89" t="str">
        <x:v>Official statistics</x:v>
      </x:c>
      <x:c r="F8" s="89" t="str">
        <x:v>FY2025</x:v>
      </x:c>
      <x:c r="G8" s="89" t="str">
        <x:v>25-Jul-2026</x:v>
      </x:c>
      <x:c r="H8" s="89" t="str">
        <x:v>Verified</x:v>
      </x:c>
      <x:c r="I8" s="98" t="str">
        <x:v>https://www.nso.gov.vn/en/data-and-statistics/2026/01/socio-economic-situation-in-the-fourth-quarter-and-2025/</x:v>
      </x:c>
      <x:c r="J8" s="89" t="str">
        <x:v>Annual trade and FDI</x:v>
      </x:c>
      <x:c r="K8" s="90" t="str">
        <x:v>Use detailed table: exports 475.04 and imports 455.01 imply total 930.05.</x:v>
      </x:c>
    </x:row>
    <x:row r="9" ht="42" customHeight="1">
      <x:c r="A9" s="88" t="str">
        <x:v>SRC-M03</x:v>
      </x:c>
      <x:c r="B9" s="89" t="str">
        <x:v>Macro</x:v>
      </x:c>
      <x:c r="C9" s="89" t="str">
        <x:v>National Statistics Office</x:v>
      </x:c>
      <x:c r="D9" s="89" t="str">
        <x:v>Socio-economic situation in Q4 and 2024</x:v>
      </x:c>
      <x:c r="E9" s="89" t="str">
        <x:v>Official statistics</x:v>
      </x:c>
      <x:c r="F9" s="89" t="str">
        <x:v>FY2024</x:v>
      </x:c>
      <x:c r="G9" s="89" t="str">
        <x:v>25-Jul-2026</x:v>
      </x:c>
      <x:c r="H9" s="89" t="str">
        <x:v>Verified</x:v>
      </x:c>
      <x:c r="I9" s="98" t="str">
        <x:v>https://www.nso.gov.vn/en/highlight/2025/02/socio-economic-situation-in-the-fourth-quarter-and-2024/</x:v>
      </x:c>
      <x:c r="J9" s="89" t="str">
        <x:v>Annual trade and FDI</x:v>
      </x:c>
      <x:c r="K9" s="90" t="str">
        <x:v>Primary source.</x:v>
      </x:c>
    </x:row>
    <x:row r="10" ht="42" customHeight="1">
      <x:c r="A10" s="88" t="str">
        <x:v>SRC-M04</x:v>
      </x:c>
      <x:c r="B10" s="89" t="str">
        <x:v>Macro</x:v>
      </x:c>
      <x:c r="C10" s="89" t="str">
        <x:v>National Statistics Office</x:v>
      </x:c>
      <x:c r="D10" s="89" t="str">
        <x:v>Socio-economic situation in Q4 and 2023</x:v>
      </x:c>
      <x:c r="E10" s="89" t="str">
        <x:v>Official statistics</x:v>
      </x:c>
      <x:c r="F10" s="89" t="str">
        <x:v>FY2023</x:v>
      </x:c>
      <x:c r="G10" s="89" t="str">
        <x:v>25-Jul-2026</x:v>
      </x:c>
      <x:c r="H10" s="89" t="str">
        <x:v>Verified</x:v>
      </x:c>
      <x:c r="I10" s="98" t="str">
        <x:v>https://www.nso.gov.vn/en/data-and-statistics/2024/02/socio-economic-situation-in-the-fourth-quarter-and-2023/</x:v>
      </x:c>
      <x:c r="J10" s="89" t="str">
        <x:v>Annual trade and FDI</x:v>
      </x:c>
      <x:c r="K10" s="90" t="str">
        <x:v>Primary source.</x:v>
      </x:c>
    </x:row>
    <x:row r="11" ht="42" customHeight="1">
      <x:c r="A11" s="88" t="str">
        <x:v>SRC-M05</x:v>
      </x:c>
      <x:c r="B11" s="89" t="str">
        <x:v>Macro</x:v>
      </x:c>
      <x:c r="C11" s="89" t="str">
        <x:v>National Statistics Office</x:v>
      </x:c>
      <x:c r="D11" s="89" t="str">
        <x:v>Socio-economic situation in Q4 and 2022</x:v>
      </x:c>
      <x:c r="E11" s="89" t="str">
        <x:v>Official statistics</x:v>
      </x:c>
      <x:c r="F11" s="89" t="str">
        <x:v>FY2022</x:v>
      </x:c>
      <x:c r="G11" s="89" t="str">
        <x:v>25-Jul-2026</x:v>
      </x:c>
      <x:c r="H11" s="89" t="str">
        <x:v>Verified</x:v>
      </x:c>
      <x:c r="I11" s="98" t="str">
        <x:v>https://www.nso.gov.vn/en/data-and-statistics/2023/01/socio-economic-situation-in-the-fourth-quarter-and-2022/</x:v>
      </x:c>
      <x:c r="J11" s="89" t="str">
        <x:v>Annual trade and disbursed FDI</x:v>
      </x:c>
      <x:c r="K11" s="90" t="str">
        <x:v>Primary source.</x:v>
      </x:c>
    </x:row>
    <x:row r="12" ht="42" customHeight="1">
      <x:c r="A12" s="88" t="str">
        <x:v>SRC-M06</x:v>
      </x:c>
      <x:c r="B12" s="89" t="str">
        <x:v>Macro</x:v>
      </x:c>
      <x:c r="C12" s="89" t="str">
        <x:v>National Statistics Office</x:v>
      </x:c>
      <x:c r="D12" s="89" t="str">
        <x:v>December 2022 socio-economic infographic</x:v>
      </x:c>
      <x:c r="E12" s="89" t="str">
        <x:v>Official statistics</x:v>
      </x:c>
      <x:c r="F12" s="89" t="str">
        <x:v>FY2022</x:v>
      </x:c>
      <x:c r="G12" s="89" t="str">
        <x:v>25-Jul-2026</x:v>
      </x:c>
      <x:c r="H12" s="89" t="str">
        <x:v>Verified</x:v>
      </x:c>
      <x:c r="I12" s="98" t="str">
        <x:v>https://www.nso.gov.vn/wp-content/uploads/2022/12/EN.-T12.2022_Ban-moi-copy.pdf</x:v>
      </x:c>
      <x:c r="J12" s="89" t="str">
        <x:v>Registered FDI 2022</x:v>
      </x:c>
      <x:c r="K12" s="90" t="str">
        <x:v>Used because the annual article excerpt did not expose the registered-FDI figure consistently.</x:v>
      </x:c>
    </x:row>
    <x:row r="13" ht="42" customHeight="1">
      <x:c r="A13" s="88" t="str">
        <x:v>SRC-M07</x:v>
      </x:c>
      <x:c r="B13" s="89" t="str">
        <x:v>Macro</x:v>
      </x:c>
      <x:c r="C13" s="89" t="str">
        <x:v>National Statistics Office</x:v>
      </x:c>
      <x:c r="D13" s="89" t="str">
        <x:v>Export and import in 2021</x:v>
      </x:c>
      <x:c r="E13" s="89" t="str">
        <x:v>Official statistics</x:v>
      </x:c>
      <x:c r="F13" s="89" t="str">
        <x:v>FY2021</x:v>
      </x:c>
      <x:c r="G13" s="89" t="str">
        <x:v>25-Jul-2026</x:v>
      </x:c>
      <x:c r="H13" s="89" t="str">
        <x:v>Verified</x:v>
      </x:c>
      <x:c r="I13" s="98" t="str">
        <x:v>https://www.nso.gov.vn/en/data-and-statistics/2022/03/overcoming-difficulties-export-and-import-in-2021-to-spectacular-destination/</x:v>
      </x:c>
      <x:c r="J13" s="89" t="str">
        <x:v>Annual trade</x:v>
      </x:c>
      <x:c r="K13" s="90" t="str">
        <x:v>Primary source.</x:v>
      </x:c>
    </x:row>
    <x:row r="14" ht="42" customHeight="1">
      <x:c r="A14" s="88" t="str">
        <x:v>SRC-M08</x:v>
      </x:c>
      <x:c r="B14" s="89" t="str">
        <x:v>Macro</x:v>
      </x:c>
      <x:c r="C14" s="89" t="str">
        <x:v>National Statistics Office</x:v>
      </x:c>
      <x:c r="D14" s="89" t="str">
        <x:v>Socio-economic situation in Q4 and 2021</x:v>
      </x:c>
      <x:c r="E14" s="89" t="str">
        <x:v>Official statistics</x:v>
      </x:c>
      <x:c r="F14" s="89" t="str">
        <x:v>FY2021</x:v>
      </x:c>
      <x:c r="G14" s="89" t="str">
        <x:v>25-Jul-2026</x:v>
      </x:c>
      <x:c r="H14" s="89" t="str">
        <x:v>Verified</x:v>
      </x:c>
      <x:c r="I14" s="98" t="str">
        <x:v>https://www.nso.gov.vn/en/data-and-statistics/2022/01/socio-economic-situation-in-the-fourth-quarter-and-2021/</x:v>
      </x:c>
      <x:c r="J14" s="89" t="str">
        <x:v>Annual FDI</x:v>
      </x:c>
      <x:c r="K14" s="90" t="str">
        <x:v>Primary source.</x:v>
      </x:c>
    </x:row>
    <x:row r="15" ht="42" customHeight="1">
      <x:c r="A15" s="88" t="str">
        <x:v>SRC-M09</x:v>
      </x:c>
      <x:c r="B15" s="89" t="str">
        <x:v>Macro</x:v>
      </x:c>
      <x:c r="C15" s="89" t="str">
        <x:v>Foreign Investment Agency</x:v>
      </x:c>
      <x:c r="D15" s="89" t="str">
        <x:v>1H2026 disbursed FDI update</x:v>
      </x:c>
      <x:c r="E15" s="89" t="str">
        <x:v>Government agency</x:v>
      </x:c>
      <x:c r="F15" s="89" t="str">
        <x:v>1H2026</x:v>
      </x:c>
      <x:c r="G15" s="89" t="str">
        <x:v>25-Jul-2026</x:v>
      </x:c>
      <x:c r="H15" s="89" t="str">
        <x:v>Verified</x:v>
      </x:c>
      <x:c r="I15" s="98" t="str">
        <x:v>https://fia.mof.gov.vn/Detail/CatID/660c5d67-53dc-464d-b07d-003e466e777b/NewsID/d1421a33-6967-4621-9d10-16aef2ec695c</x:v>
      </x:c>
      <x:c r="J15" s="89" t="str">
        <x:v>Cross-check FDI direction</x:v>
      </x:c>
      <x:c r="K15" s="90" t="str">
        <x:v>Cross-check only; NSO is the numerical source in the raw table.</x:v>
      </x:c>
    </x:row>
    <x:row r="16" ht="42" customHeight="1">
      <x:c r="A16" s="88" t="str">
        <x:v>SRC-I01</x:v>
      </x:c>
      <x:c r="B16" s="89" t="str">
        <x:v>Industry</x:v>
      </x:c>
      <x:c r="C16" s="89" t="str">
        <x:v>Vietnam Maritime and Waterway Administration</x:v>
      </x:c>
      <x:c r="D16" s="89" t="str">
        <x:v>2025 transport results</x:v>
      </x:c>
      <x:c r="E16" s="89" t="str">
        <x:v>Regulator</x:v>
      </x:c>
      <x:c r="F16" s="89" t="str">
        <x:v>FY2025</x:v>
      </x:c>
      <x:c r="G16" s="89" t="str">
        <x:v>25-Jul-2026</x:v>
      </x:c>
      <x:c r="H16" s="89" t="str">
        <x:v>Verified</x:v>
      </x:c>
      <x:c r="I16" s="98" t="str">
        <x:v>https://vimawa.gov.vn/vi/node/15301</x:v>
      </x:c>
      <x:c r="J16" s="89" t="str">
        <x:v>National cargo and container anchor</x:v>
      </x:c>
      <x:c r="K16" s="90" t="str">
        <x:v>Scope is combined seaport and inland-waterway throughput; do not relabel as seaport-only.</x:v>
      </x:c>
    </x:row>
    <x:row r="17" ht="42" customHeight="1">
      <x:c r="A17" s="88" t="str">
        <x:v>SRC-I02</x:v>
      </x:c>
      <x:c r="B17" s="89" t="str">
        <x:v>Industry</x:v>
      </x:c>
      <x:c r="C17" s="89" t="str">
        <x:v>Vietnam Maritime Administration</x:v>
      </x:c>
      <x:c r="D17" s="89" t="str">
        <x:v>Maritime activity in the first five months of 2024</x:v>
      </x:c>
      <x:c r="E17" s="89" t="str">
        <x:v>Regulator</x:v>
      </x:c>
      <x:c r="F17" s="89" t="str">
        <x:v>5M2024</x:v>
      </x:c>
      <x:c r="G17" s="89" t="str">
        <x:v>25-Jul-2026</x:v>
      </x:c>
      <x:c r="H17" s="89" t="str">
        <x:v>Verified</x:v>
      </x:c>
      <x:c r="I17" s="98" t="str">
        <x:v>https://vimawa.gov.vn/vi/node/14557</x:v>
      </x:c>
      <x:c r="J17" s="89" t="str">
        <x:v>Import-export containers and service routes</x:v>
      </x:c>
      <x:c r="K17" s="90" t="str">
        <x:v>Partial-year datapoint; not comparable with full-year totals.</x:v>
      </x:c>
    </x:row>
    <x:row r="18" ht="42" customHeight="1">
      <x:c r="A18" s="88" t="str">
        <x:v>SRC-I03</x:v>
      </x:c>
      <x:c r="B18" s="89" t="str">
        <x:v>Industry</x:v>
      </x:c>
      <x:c r="C18" s="89" t="str">
        <x:v>Vietnam Maritime and Waterway Administration</x:v>
      </x:c>
      <x:c r="D18" s="89" t="str">
        <x:v>Updated national seaport plan to 2030</x:v>
      </x:c>
      <x:c r="E18" s="89" t="str">
        <x:v>Regulator</x:v>
      </x:c>
      <x:c r="F18" s="89" t="str">
        <x:v>2030 target</x:v>
      </x:c>
      <x:c r="G18" s="89" t="str">
        <x:v>25-Jul-2026</x:v>
      </x:c>
      <x:c r="H18" s="89" t="str">
        <x:v>Verified</x:v>
      </x:c>
      <x:c r="I18" s="98" t="str">
        <x:v>https://vimawa.gov.vn/vi/tin-tuc/quy-hoach-cang-bien-moi-ca-nuoc-con-23-cang-bien-uu-tien-can-gio-lien-chieu-nam-do-son-0</x:v>
      </x:c>
      <x:c r="J18" s="89" t="str">
        <x:v>Long-term national capacity context</x:v>
      </x:c>
      <x:c r="K18" s="90" t="str">
        <x:v>Planning target, not forecast or actual throughput.</x:v>
      </x:c>
    </x:row>
    <x:row r="19" ht="42" customHeight="1">
      <x:c r="A19" s="88" t="str">
        <x:v>SRC-I04</x:v>
      </x:c>
      <x:c r="B19" s="89" t="str">
        <x:v>Industry</x:v>
      </x:c>
      <x:c r="C19" s="89" t="str">
        <x:v>Prime Minister / Maritime Administration</x:v>
      </x:c>
      <x:c r="D19" s="89" t="str">
        <x:v>Detailed plan for Seaport Group 1</x:v>
      </x:c>
      <x:c r="E19" s="89" t="str">
        <x:v>Official plan</x:v>
      </x:c>
      <x:c r="F19" s="89" t="str">
        <x:v>2030 target</x:v>
      </x:c>
      <x:c r="G19" s="89" t="str">
        <x:v>25-Jul-2026</x:v>
      </x:c>
      <x:c r="H19" s="89" t="str">
        <x:v>Verified</x:v>
      </x:c>
      <x:c r="I19" s="98" t="str">
        <x:v>https://www.vimawa.gov.vn/f/250116%20TTg%20140%20QD%20duyet%20QHCT%20Nhom.pdf</x:v>
      </x:c>
      <x:c r="J19" s="89" t="str">
        <x:v>Hai Phong and northern-region demand context</x:v>
      </x:c>
      <x:c r="K19" s="90" t="str">
        <x:v>Planning range, not forecast.</x:v>
      </x:c>
    </x:row>
    <x:row r="20" ht="42" customHeight="1">
      <x:c r="A20" s="88" t="str">
        <x:v>SRC-I05</x:v>
      </x:c>
      <x:c r="B20" s="89" t="str">
        <x:v>Industry</x:v>
      </x:c>
      <x:c r="C20" s="89" t="str">
        <x:v>Vietnam Maritime and Waterway Administration</x:v>
      </x:c>
      <x:c r="D20" s="89" t="str">
        <x:v>Cai Mep–Thi Vai development update</x:v>
      </x:c>
      <x:c r="E20" s="89" t="str">
        <x:v>Regulator</x:v>
      </x:c>
      <x:c r="F20" s="89" t="str">
        <x:v>Current disclosure</x:v>
      </x:c>
      <x:c r="G20" s="89" t="str">
        <x:v>25-Jul-2026</x:v>
      </x:c>
      <x:c r="H20" s="89" t="str">
        <x:v>Verified with caution</x:v>
      </x:c>
      <x:c r="I20" s="98" t="str">
        <x:v>https://www.vimawa.gov.vn/vi/tin-tuc/bo-truong-nguyen-van-thang-phat-huy-toi-da-tiem-nang-loi-cang-bien</x:v>
      </x:c>
      <x:c r="J20" s="89" t="str">
        <x:v>Deep-water capability and southern context</x:v>
      </x:c>
      <x:c r="K20" s="90" t="str">
        <x:v>The cited national-share wording is broad; only physical port facts are used as verified inputs.</x:v>
      </x:c>
    </x:row>
    <x:row r="21" ht="42" customHeight="1">
      <x:c r="A21" s="88" t="str">
        <x:v>SRC-G01</x:v>
      </x:c>
      <x:c r="B21" s="89" t="str">
        <x:v>GMD</x:v>
      </x:c>
      <x:c r="C21" s="89" t="str">
        <x:v>Gemadept</x:v>
      </x:c>
      <x:c r="D21" s="89" t="str">
        <x:v>Annual Report 2025</x:v>
      </x:c>
      <x:c r="E21" s="89" t="str">
        <x:v>Issuer filing</x:v>
      </x:c>
      <x:c r="F21" s="89" t="str">
        <x:v>FY2025</x:v>
      </x:c>
      <x:c r="G21" s="89" t="str">
        <x:v>25-Jul-2026</x:v>
      </x:c>
      <x:c r="H21" s="89" t="str">
        <x:v>Verified</x:v>
      </x:c>
      <x:c r="I21" s="98" t="str">
        <x:v>https://www.gemadept.com.vn/wp-content/uploads/2026/04/GMD-AR-2025_EN.pdf</x:v>
      </x:c>
      <x:c r="J21" s="89" t="str">
        <x:v>Historical financials, segments, throughput and capacity</x:v>
      </x:c>
      <x:c r="K21" s="90" t="str">
        <x:v>Primary issuer source. Reported PBT comparability is affected by prior divestment gains; use the core series where labelled.</x:v>
      </x:c>
    </x:row>
    <x:row r="22" ht="42" customHeight="1">
      <x:c r="A22" s="88" t="str">
        <x:v>SRC-G02</x:v>
      </x:c>
      <x:c r="B22" s="89" t="str">
        <x:v>GMD</x:v>
      </x:c>
      <x:c r="C22" s="89" t="str">
        <x:v>Gemadept</x:v>
      </x:c>
      <x:c r="D22" s="89" t="str">
        <x:v>IR Newsletter Q1 2026</x:v>
      </x:c>
      <x:c r="E22" s="89" t="str">
        <x:v>Issuer IR</x:v>
      </x:c>
      <x:c r="F22" s="89" t="str">
        <x:v>Q1 2026</x:v>
      </x:c>
      <x:c r="G22" s="89" t="str">
        <x:v>25-Jul-2026</x:v>
      </x:c>
      <x:c r="H22" s="89" t="str">
        <x:v>Verified</x:v>
      </x:c>
      <x:c r="I22" s="98" t="str">
        <x:v>https://www.gemadept.com.vn/wp-content/uploads/2026/05/IR-NEWSLETTER-Q12026.pdf</x:v>
      </x:c>
      <x:c r="J22" s="89" t="str">
        <x:v>Current trading and regional throughput</x:v>
      </x:c>
      <x:c r="K22" s="90" t="str">
        <x:v>Central-region volume is reported in tonnes, while North and South are in TEU.</x:v>
      </x:c>
    </x:row>
    <x:row r="23" ht="42" customHeight="1">
      <x:c r="A23" s="88" t="str">
        <x:v>SRC-G03</x:v>
      </x:c>
      <x:c r="B23" s="89" t="str">
        <x:v>GMD</x:v>
      </x:c>
      <x:c r="C23" s="89" t="str">
        <x:v>Gemadept</x:v>
      </x:c>
      <x:c r="D23" s="89" t="str">
        <x:v>AGM 2026 business plan submission</x:v>
      </x:c>
      <x:c r="E23" s="89" t="str">
        <x:v>Issuer AGM filing</x:v>
      </x:c>
      <x:c r="F23" s="89" t="str">
        <x:v>FY2026 plan</x:v>
      </x:c>
      <x:c r="G23" s="89" t="str">
        <x:v>25-Jul-2026</x:v>
      </x:c>
      <x:c r="H23" s="89" t="str">
        <x:v>Verified</x:v>
      </x:c>
      <x:c r="I23" s="98" t="str">
        <x:v>https://www.gemadept.com.vn/wp-content/uploads/2026/04/AGM-2026-7.3.-Submission-03-Business-Plan-2026.pdf</x:v>
      </x:c>
      <x:c r="J23" s="89" t="str">
        <x:v>Management plan and target</x:v>
      </x:c>
      <x:c r="K23" s="90" t="str">
        <x:v>Guidance is not an analyst forecast.</x:v>
      </x:c>
    </x:row>
    <x:row r="24" ht="42" customHeight="1">
      <x:c r="A24" s="88" t="str">
        <x:v>SRC-G04</x:v>
      </x:c>
      <x:c r="B24" s="89" t="str">
        <x:v>GMD</x:v>
      </x:c>
      <x:c r="C24" s="89" t="str">
        <x:v>Gemadept</x:v>
      </x:c>
      <x:c r="D24" s="89" t="str">
        <x:v>Nam Dinh Vu Phase 3 put into operation</x:v>
      </x:c>
      <x:c r="E24" s="89" t="str">
        <x:v>Issuer IR</x:v>
      </x:c>
      <x:c r="F24" s="89" t="str">
        <x:v>30-Sep-2025</x:v>
      </x:c>
      <x:c r="G24" s="89" t="str">
        <x:v>25-Jul-2026</x:v>
      </x:c>
      <x:c r="H24" s="89" t="str">
        <x:v>Verified with variance</x:v>
      </x:c>
      <x:c r="I24" s="98" t="str">
        <x:v>https://www.gemadept.com.vn/en/gemadept-officially-puts-phase-3-of-the-nam-dinh-vu-port-cluster-into-operation/</x:v>
      </x:c>
      <x:c r="J24" s="89" t="str">
        <x:v>Commissioning date and disclosed capacity</x:v>
      </x:c>
      <x:c r="K24" s="90" t="str">
        <x:v>Page states about 650k TEU added; annual report table states 800k TEU. Treat as a definition variance until reconciled.</x:v>
      </x:c>
    </x:row>
    <x:row r="25" ht="42" customHeight="1">
      <x:c r="A25" s="88" t="str">
        <x:v>SRC-G05</x:v>
      </x:c>
      <x:c r="B25" s="89" t="str">
        <x:v>GMD</x:v>
      </x:c>
      <x:c r="C25" s="89" t="str">
        <x:v>Gemadept</x:v>
      </x:c>
      <x:c r="D25" s="89" t="str">
        <x:v>Port operation network</x:v>
      </x:c>
      <x:c r="E25" s="89" t="str">
        <x:v>Issuer IR</x:v>
      </x:c>
      <x:c r="F25" s="89" t="str">
        <x:v>Current disclosure</x:v>
      </x:c>
      <x:c r="G25" s="89" t="str">
        <x:v>25-Jul-2026</x:v>
      </x:c>
      <x:c r="H25" s="89" t="str">
        <x:v>Verified</x:v>
      </x:c>
      <x:c r="I25" s="98" t="str">
        <x:v>https://www.gemadept.com.vn/en/services/port-operation/</x:v>
      </x:c>
      <x:c r="J25" s="89" t="str">
        <x:v>Network scale and current capacity</x:v>
      </x:c>
      <x:c r="K25" s="90" t="str">
        <x:v>Marketing page; use for network facts, not financial forecast.</x:v>
      </x:c>
    </x:row>
    <x:row r="26" ht="42" customHeight="1">
      <x:c r="A26" s="88" t="str">
        <x:v>SRC-G06</x:v>
      </x:c>
      <x:c r="B26" s="89" t="str">
        <x:v>GMD</x:v>
      </x:c>
      <x:c r="C26" s="89" t="str">
        <x:v>Gemadept</x:v>
      </x:c>
      <x:c r="D26" s="89" t="str">
        <x:v>Gemalink vessel-license update</x:v>
      </x:c>
      <x:c r="E26" s="89" t="str">
        <x:v>Issuer IR</x:v>
      </x:c>
      <x:c r="F26" s="89" t="str">
        <x:v>Current disclosure</x:v>
      </x:c>
      <x:c r="G26" s="89" t="str">
        <x:v>25-Jul-2026</x:v>
      </x:c>
      <x:c r="H26" s="89" t="str">
        <x:v>Verified</x:v>
      </x:c>
      <x:c r="I26" s="98" t="str">
        <x:v>https://www.gemadept.com.vn/en/gemalink-port-licensed-to-receive-container-vessels-up-to-2324945-dwt/</x:v>
      </x:c>
      <x:c r="J26" s="89" t="str">
        <x:v>Asset capability and ownership</x:v>
      </x:c>
      <x:c r="K26" s="90" t="str">
        <x:v>Primary issuer source.</x:v>
      </x:c>
    </x:row>
    <x:row r="27" ht="42" customHeight="1">
      <x:c r="A27" s="88" t="str">
        <x:v>SRC-G07</x:v>
      </x:c>
      <x:c r="B27" s="89" t="str">
        <x:v>GMD</x:v>
      </x:c>
      <x:c r="C27" s="89" t="str">
        <x:v>Gemadept</x:v>
      </x:c>
      <x:c r="D27" s="89" t="str">
        <x:v>2025 AGM operating update</x:v>
      </x:c>
      <x:c r="E27" s="89" t="str">
        <x:v>Issuer IR</x:v>
      </x:c>
      <x:c r="F27" s="89" t="str">
        <x:v>2025 update</x:v>
      </x:c>
      <x:c r="G27" s="89" t="str">
        <x:v>25-Jul-2026</x:v>
      </x:c>
      <x:c r="H27" s="89" t="str">
        <x:v>Verified with timing revision</x:v>
      </x:c>
      <x:c r="I27" s="98" t="str">
        <x:v>https://www.gemadept.com.vn/en/gemadept-gmd-agm-strong-first-half-business-results-nam-dinh-vu-phase-3-project-to-complete-in-q42025/</x:v>
      </x:c>
      <x:c r="J27" s="89" t="str">
        <x:v>Capex and expansion timing</x:v>
      </x:c>
      <x:c r="K27" s="90" t="str">
        <x:v>Older page said Gemalink Phase 2A early 2027; Q1 2026 newsletter says late 2027. Use latest disclosure.</x:v>
      </x:c>
    </x:row>
    <x:row r="28" ht="42" customHeight="1">
      <x:c r="A28" s="88" t="str">
        <x:v>SRC-P01</x:v>
      </x:c>
      <x:c r="B28" s="89" t="str">
        <x:v>Peer</x:v>
      </x:c>
      <x:c r="C28" s="89" t="str">
        <x:v>Viconship</x:v>
      </x:c>
      <x:c r="D28" s="89" t="str">
        <x:v>Annual Report 2025 filing mirror</x:v>
      </x:c>
      <x:c r="E28" s="89" t="str">
        <x:v>Issuer filing mirror</x:v>
      </x:c>
      <x:c r="F28" s="89" t="str">
        <x:v>FY2025</x:v>
      </x:c>
      <x:c r="G28" s="89" t="str">
        <x:v>25-Jul-2026</x:v>
      </x:c>
      <x:c r="H28" s="89" t="str">
        <x:v>Registered</x:v>
      </x:c>
      <x:c r="I28" s="98" t="str">
        <x:v>https://cafef1.mediacdn.vn/download/090426/vsc-bao-cao-thuong-nien-nam-2025-0.pdf</x:v>
      </x:c>
      <x:c r="J28" s="89" t="str">
        <x:v>VSC primary-document registry</x:v>
      </x:c>
      <x:c r="K28" s="90" t="str">
        <x:v>Scanned filing; numerical extraction needs manual/OCR validation before use.</x:v>
      </x:c>
    </x:row>
    <x:row r="29" ht="42" customHeight="1">
      <x:c r="A29" s="88" t="str">
        <x:v>SRC-P02</x:v>
      </x:c>
      <x:c r="B29" s="89" t="str">
        <x:v>Peer</x:v>
      </x:c>
      <x:c r="C29" s="89" t="str">
        <x:v>Port of Hai Phong</x:v>
      </x:c>
      <x:c r="D29" s="89" t="str">
        <x:v>Annual Report 2025</x:v>
      </x:c>
      <x:c r="E29" s="89" t="str">
        <x:v>Issuer filing</x:v>
      </x:c>
      <x:c r="F29" s="89" t="str">
        <x:v>FY2025</x:v>
      </x:c>
      <x:c r="G29" s="89" t="str">
        <x:v>25-Jul-2026</x:v>
      </x:c>
      <x:c r="H29" s="89" t="str">
        <x:v>Verified</x:v>
      </x:c>
      <x:c r="I29" s="98" t="str">
        <x:v>https://haiphongport.com.vn/FileUpload/Documents/annual_report_2025pdf.pdf</x:v>
      </x:c>
      <x:c r="J29" s="89" t="str">
        <x:v>PHP operations and financials</x:v>
      </x:c>
      <x:c r="K29" s="90" t="str">
        <x:v>Primary issuer source.</x:v>
      </x:c>
    </x:row>
    <x:row r="30" ht="42" customHeight="1">
      <x:c r="A30" s="88" t="str">
        <x:v>SRC-P03</x:v>
      </x:c>
      <x:c r="B30" s="89" t="str">
        <x:v>Peer</x:v>
      </x:c>
      <x:c r="C30" s="89" t="str">
        <x:v>Dinh Vu Port</x:v>
      </x:c>
      <x:c r="D30" s="89" t="str">
        <x:v>Annual report archive</x:v>
      </x:c>
      <x:c r="E30" s="89" t="str">
        <x:v>Issuer IR</x:v>
      </x:c>
      <x:c r="F30" s="89" t="str">
        <x:v>FY2025</x:v>
      </x:c>
      <x:c r="G30" s="89" t="str">
        <x:v>25-Jul-2026</x:v>
      </x:c>
      <x:c r="H30" s="89" t="str">
        <x:v>Registered</x:v>
      </x:c>
      <x:c r="I30" s="98" t="str">
        <x:v>https://dinhvuport.com.vn/vn/quan-he-co-dong/bao-cao-thuong-nien</x:v>
      </x:c>
      <x:c r="J30" s="89" t="str">
        <x:v>DVP primary-document registry</x:v>
      </x:c>
      <x:c r="K30" s="90" t="str">
        <x:v>Viewer/download access requires manual retrieval for numerical extraction.</x:v>
      </x:c>
    </x:row>
    <x:row r="31" ht="42" customHeight="1">
      <x:c r="A31" s="88" t="str">
        <x:v>SRC-P04</x:v>
      </x:c>
      <x:c r="B31" s="89" t="str">
        <x:v>Peer</x:v>
      </x:c>
      <x:c r="C31" s="89" t="str">
        <x:v>Dinh Vu Port</x:v>
      </x:c>
      <x:c r="D31" s="89" t="str">
        <x:v>Board report for 2026 AGM</x:v>
      </x:c>
      <x:c r="E31" s="89" t="str">
        <x:v>Issuer AGM filing</x:v>
      </x:c>
      <x:c r="F31" s="89" t="str">
        <x:v>FY2025 review</x:v>
      </x:c>
      <x:c r="G31" s="89" t="str">
        <x:v>25-Jul-2026</x:v>
      </x:c>
      <x:c r="H31" s="89" t="str">
        <x:v>Verified qualitative</x:v>
      </x:c>
      <x:c r="I31" s="98" t="str">
        <x:v>https://dinhvuport.com.vn/aj/Download.ashx?Key=874</x:v>
      </x:c>
      <x:c r="J31" s="89" t="str">
        <x:v>DVP competitive position</x:v>
      </x:c>
      <x:c r="K31" s="90" t="str">
        <x:v>Used only for qualitative evidence on Lach Huyen/Nam Dinh Vu competition and dredging disruption.</x:v>
      </x:c>
    </x:row>
    <x:row r="32" ht="42" customHeight="1">
      <x:c r="A32" s="91" t="str">
        <x:v>SRC-S01</x:v>
      </x:c>
      <x:c r="B32" s="92" t="str">
        <x:v>Peer / secondary</x:v>
      </x:c>
      <x:c r="C32" s="92" t="str">
        <x:v>Viet Dragon Securities</x:v>
      </x:c>
      <x:c r="D32" s="92" t="str">
        <x:v>VSC Initial Report, October 2025</x:v>
      </x:c>
      <x:c r="E32" s="92" t="str">
        <x:v>Secondary research</x:v>
      </x:c>
      <x:c r="F32" s="92" t="str">
        <x:v>Oct-2025</x:v>
      </x:c>
      <x:c r="G32" s="92" t="str">
        <x:v>25-Jul-2026</x:v>
      </x:c>
      <x:c r="H32" s="92" t="str">
        <x:v>Secondary only</x:v>
      </x:c>
      <x:c r="I32" s="99" t="str">
        <x:v>https://www1.vdsc.com.vn/data/api/app/file-storage/c6571c22-8f63-4903-58ed-08de0d19dae9/VSC_Initial%20Report_October%202025_ENG.pdf?downloadFrom=ManagementDocument-10039</x:v>
      </x:c>
      <x:c r="J32" s="92" t="str">
        <x:v>Temporary VSC capacity reference</x:v>
      </x:c>
      <x:c r="K32" s="93" t="str">
        <x:v>Must be replaced or cross-checked against issuer disclosure before the peer score is finalized.</x:v>
      </x:c>
    </x:row>
    <x:row r="33" ht="42" customHeight="1">
      <x:c r="A33" s="85" t="str">
        <x:v>SRC-P05</x:v>
      </x:c>
      <x:c r="B33" s="86" t="str">
        <x:v>Peer</x:v>
      </x:c>
      <x:c r="C33" s="86" t="str">
        <x:v>Viconship</x:v>
      </x:c>
      <x:c r="D33" s="86" t="str">
        <x:v>Annual Report 2025</x:v>
      </x:c>
      <x:c r="E33" s="86" t="str">
        <x:v>Issuer filing</x:v>
      </x:c>
      <x:c r="F33" s="86" t="str">
        <x:v>FY2025</x:v>
      </x:c>
      <x:c r="G33" s="86" t="str">
        <x:v>25-Jul-2026</x:v>
      </x:c>
      <x:c r="H33" s="86" t="str">
        <x:v>Verified</x:v>
      </x:c>
      <x:c r="I33" s="97" t="str">
        <x:v>https://viconship.com/wp-content/uploads/2026/04/CBTT-Bao-cao-thuong-nien-nam-2025.pdf</x:v>
      </x:c>
      <x:c r="J33" s="86" t="str">
        <x:v>VSC business and financial review</x:v>
      </x:c>
      <x:c r="K33" s="87" t="str">
        <x:v>Primary issuer source; scanned document visually reviewed.</x:v>
      </x:c>
    </x:row>
    <x:row r="34" ht="42" customHeight="1">
      <x:c r="A34" s="88" t="str">
        <x:v>SRC-P06</x:v>
      </x:c>
      <x:c r="B34" s="89" t="str">
        <x:v>Peer</x:v>
      </x:c>
      <x:c r="C34" s="89" t="str">
        <x:v>Viconship</x:v>
      </x:c>
      <x:c r="D34" s="89" t="str">
        <x:v>Audited consolidated financial statements 2025</x:v>
      </x:c>
      <x:c r="E34" s="89" t="str">
        <x:v>Issuer filing</x:v>
      </x:c>
      <x:c r="F34" s="89" t="str">
        <x:v>FY2025</x:v>
      </x:c>
      <x:c r="G34" s="89" t="str">
        <x:v>25-Jul-2026</x:v>
      </x:c>
      <x:c r="H34" s="89" t="str">
        <x:v>Verified</x:v>
      </x:c>
      <x:c r="I34" s="98" t="str">
        <x:v>https://viconship.com/wp-content/uploads/2026/03/VSC_Consolidated-FS-31.12.2025_VN.pdf</x:v>
      </x:c>
      <x:c r="J34" s="89" t="str">
        <x:v>VSC normalized financial facts</x:v>
      </x:c>
      <x:c r="K34" s="90" t="str">
        <x:v>Primary issuer source; statement pages visually reviewed.</x:v>
      </x:c>
    </x:row>
    <x:row r="35" ht="42" customHeight="1">
      <x:c r="A35" s="88" t="str">
        <x:v>SRC-P07</x:v>
      </x:c>
      <x:c r="B35" s="89" t="str">
        <x:v>Peer</x:v>
      </x:c>
      <x:c r="C35" s="89" t="str">
        <x:v>Viconship</x:v>
      </x:c>
      <x:c r="D35" s="89" t="str">
        <x:v>Corporate overview and asset network</x:v>
      </x:c>
      <x:c r="E35" s="89" t="str">
        <x:v>Issuer IR</x:v>
      </x:c>
      <x:c r="F35" s="89" t="str">
        <x:v>Current disclosure</x:v>
      </x:c>
      <x:c r="G35" s="89" t="str">
        <x:v>25-Jul-2026</x:v>
      </x:c>
      <x:c r="H35" s="89" t="str">
        <x:v>Verified qualitative</x:v>
      </x:c>
      <x:c r="I35" s="98" t="str">
        <x:v>https://viconship.com/en/about-us</x:v>
      </x:c>
      <x:c r="J35" s="89" t="str">
        <x:v>VSC asset map and non-port exposure</x:v>
      </x:c>
      <x:c r="K35" s="90" t="str">
        <x:v>Used for asset ownership and HAH/VNA exposure, not numerical forecasts.</x:v>
      </x:c>
    </x:row>
    <x:row r="36" ht="42" customHeight="1">
      <x:c r="A36" s="88" t="str">
        <x:v>SRC-P08</x:v>
      </x:c>
      <x:c r="B36" s="89" t="str">
        <x:v>Peer</x:v>
      </x:c>
      <x:c r="C36" s="89" t="str">
        <x:v>VIP Greenport</x:v>
      </x:c>
      <x:c r="D36" s="89" t="str">
        <x:v>Port overview</x:v>
      </x:c>
      <x:c r="E36" s="89" t="str">
        <x:v>Issuer subsidiary IR</x:v>
      </x:c>
      <x:c r="F36" s="89" t="str">
        <x:v>Current disclosure</x:v>
      </x:c>
      <x:c r="G36" s="89" t="str">
        <x:v>25-Jul-2026</x:v>
      </x:c>
      <x:c r="H36" s="89" t="str">
        <x:v>Verified</x:v>
      </x:c>
      <x:c r="I36" s="98" t="str">
        <x:v>https://vipgreenport.com.vn/index.php/s-gioi-thieu</x:v>
      </x:c>
      <x:c r="J36" s="89" t="str">
        <x:v>VSC downstream asset capability</x:v>
      </x:c>
      <x:c r="K36" s="90" t="str">
        <x:v>Physical asset facts only.</x:v>
      </x:c>
    </x:row>
    <x:row r="37" ht="42" customHeight="1">
      <x:c r="A37" s="88" t="str">
        <x:v>SRC-P09</x:v>
      </x:c>
      <x:c r="B37" s="89" t="str">
        <x:v>Peer</x:v>
      </x:c>
      <x:c r="C37" s="89" t="str">
        <x:v>Dinh Vu Port</x:v>
      </x:c>
      <x:c r="D37" s="89" t="str">
        <x:v>Proposal approving 2025 business results</x:v>
      </x:c>
      <x:c r="E37" s="89" t="str">
        <x:v>Issuer AGM filing</x:v>
      </x:c>
      <x:c r="F37" s="89" t="str">
        <x:v>FY2025</x:v>
      </x:c>
      <x:c r="G37" s="89" t="str">
        <x:v>25-Jul-2026</x:v>
      </x:c>
      <x:c r="H37" s="89" t="str">
        <x:v>Verified</x:v>
      </x:c>
      <x:c r="I37" s="98" t="str">
        <x:v>https://dinhvuport.com.vn/aj/Download.ashx?Key=885</x:v>
      </x:c>
      <x:c r="J37" s="89" t="str">
        <x:v>DVP throughput, revenue and PBT</x:v>
      </x:c>
      <x:c r="K37" s="90" t="str">
        <x:v>Primary issuer source.</x:v>
      </x:c>
    </x:row>
    <x:row r="38" ht="42" customHeight="1">
      <x:c r="A38" s="88" t="str">
        <x:v>SRC-P10</x:v>
      </x:c>
      <x:c r="B38" s="89" t="str">
        <x:v>Peer</x:v>
      </x:c>
      <x:c r="C38" s="89" t="str">
        <x:v>Dinh Vu Port</x:v>
      </x:c>
      <x:c r="D38" s="89" t="str">
        <x:v>2026 AGM operating update</x:v>
      </x:c>
      <x:c r="E38" s="89" t="str">
        <x:v>Issuer IR</x:v>
      </x:c>
      <x:c r="F38" s="89" t="str">
        <x:v>FY2026 plan</x:v>
      </x:c>
      <x:c r="G38" s="89" t="str">
        <x:v>25-Jul-2026</x:v>
      </x:c>
      <x:c r="H38" s="89" t="str">
        <x:v>Verified</x:v>
      </x:c>
      <x:c r="I38" s="98" t="str">
        <x:v>https://dinhvuport.com.vn/vn/blog/297/Cang-Dinh-Vu-to-chuc-hop-Dai-hoi-dong-co-dong-thuong-nien-nam-2026.htm</x:v>
      </x:c>
      <x:c r="J38" s="89" t="str">
        <x:v>DVP 2026 plan</x:v>
      </x:c>
      <x:c r="K38" s="90" t="str">
        <x:v>Management plan; not an analyst forecast.</x:v>
      </x:c>
    </x:row>
    <x:row r="39" ht="42" customHeight="1">
      <x:c r="A39" s="91" t="str">
        <x:v>SRC-P11</x:v>
      </x:c>
      <x:c r="B39" s="92" t="str">
        <x:v>Peer</x:v>
      </x:c>
      <x:c r="C39" s="92" t="str">
        <x:v>Dinh Vu Port</x:v>
      </x:c>
      <x:c r="D39" s="92" t="str">
        <x:v>Board report for 2026 AGM</x:v>
      </x:c>
      <x:c r="E39" s="92" t="str">
        <x:v>Issuer AGM filing</x:v>
      </x:c>
      <x:c r="F39" s="92" t="str">
        <x:v>FY2025 review</x:v>
      </x:c>
      <x:c r="G39" s="92" t="str">
        <x:v>25-Jul-2026</x:v>
      </x:c>
      <x:c r="H39" s="92" t="str">
        <x:v>Verified</x:v>
      </x:c>
      <x:c r="I39" s="99" t="str">
        <x:v>https://dinhvuport.com.vn/aj/Download.ashx?Key=873</x:v>
      </x:c>
      <x:c r="J39" s="92" t="str">
        <x:v>DVP competitive mechanism</x:v>
      </x:c>
      <x:c r="K39" s="93" t="str">
        <x:v>Primary evidence for channel constraints and SITC service relocation.</x:v>
      </x:c>
    </x:row>
    <x:row r="40" ht="43" customHeight="1">
      <x:c r="A40" s="85" t="str">
        <x:v>SRC-G08</x:v>
      </x:c>
      <x:c r="B40" s="86" t="str">
        <x:v>GMD</x:v>
      </x:c>
      <x:c r="C40" s="86" t="str">
        <x:v>Gemadept</x:v>
      </x:c>
      <x:c r="D40" s="86" t="str">
        <x:v>Annual Report 2024</x:v>
      </x:c>
      <x:c r="E40" s="86" t="str">
        <x:v>Issuer filing</x:v>
      </x:c>
      <x:c r="F40" s="86" t="str">
        <x:v>FY2024 and FY2023 comparatives</x:v>
      </x:c>
      <x:c r="G40" s="86" t="str">
        <x:v>25-Jul-2026</x:v>
      </x:c>
      <x:c r="H40" s="86" t="str">
        <x:v>Verified</x:v>
      </x:c>
      <x:c r="I40" s="97" t="str">
        <x:v>https://www.gemadept.com.vn/wp-content/uploads/2025/04/GMD_Annual-Report-2024.pdf</x:v>
      </x:c>
      <x:c r="J40" s="86" t="str">
        <x:v>Audited historical financials, segments and cash flow</x:v>
      </x:c>
      <x:c r="K40" s="87" t="str">
        <x:v>Primary issuer source; statement and segment pages reconciled.</x:v>
      </x:c>
    </x:row>
    <x:row r="41" ht="43" customHeight="1">
      <x:c r="A41" s="88" t="str">
        <x:v>SRC-G09</x:v>
      </x:c>
      <x:c r="B41" s="89" t="str">
        <x:v>GMD</x:v>
      </x:c>
      <x:c r="C41" s="89" t="str">
        <x:v>Gemadept</x:v>
      </x:c>
      <x:c r="D41" s="89" t="str">
        <x:v>Annual Report 2023</x:v>
      </x:c>
      <x:c r="E41" s="89" t="str">
        <x:v>Issuer filing</x:v>
      </x:c>
      <x:c r="F41" s="89" t="str">
        <x:v>FY2023</x:v>
      </x:c>
      <x:c r="G41" s="89" t="str">
        <x:v>25-Jul-2026</x:v>
      </x:c>
      <x:c r="H41" s="89" t="str">
        <x:v>Verified</x:v>
      </x:c>
      <x:c r="I41" s="98" t="str">
        <x:v>https://www.gemadept.com.vn/wp-content/uploads/2024/04/2023-Annual-Report.pdf</x:v>
      </x:c>
      <x:c r="J41" s="89" t="str">
        <x:v>2023 system and asset throughput</x:v>
      </x:c>
      <x:c r="K41" s="90" t="str">
        <x:v>Primary issuer source; exact system throughput is 3.011m TEU.</x:v>
      </x:c>
    </x:row>
    <x:row r="42" ht="43" customHeight="1">
      <x:c r="A42" s="88" t="str">
        <x:v>SRC-G10</x:v>
      </x:c>
      <x:c r="B42" s="89" t="str">
        <x:v>GMD</x:v>
      </x:c>
      <x:c r="C42" s="89" t="str">
        <x:v>Gemadept</x:v>
      </x:c>
      <x:c r="D42" s="89" t="str">
        <x:v>Annual Report 2022</x:v>
      </x:c>
      <x:c r="E42" s="89" t="str">
        <x:v>Issuer filing</x:v>
      </x:c>
      <x:c r="F42" s="89" t="str">
        <x:v>FY2022 and FY2021 comparatives</x:v>
      </x:c>
      <x:c r="G42" s="89" t="str">
        <x:v>25-Jul-2026</x:v>
      </x:c>
      <x:c r="H42" s="89" t="str">
        <x:v>Verified</x:v>
      </x:c>
      <x:c r="I42" s="98" t="str">
        <x:v>https://www.gemadept.com.vn/wp-content/uploads/2023/04/2022-Annual-Report.pdf</x:v>
      </x:c>
      <x:c r="J42" s="89" t="str">
        <x:v>Segment revenue, associate ownership and asset history</x:v>
      </x:c>
      <x:c r="K42" s="90" t="str">
        <x:v>Primary issuer source for 2021–2022 segment and associate disclosures.</x:v>
      </x:c>
    </x:row>
    <x:row r="43" ht="43" customHeight="1">
      <x:c r="A43" s="88" t="str">
        <x:v>SRC-G11</x:v>
      </x:c>
      <x:c r="B43" s="89" t="str">
        <x:v>GMD</x:v>
      </x:c>
      <x:c r="C43" s="89" t="str">
        <x:v>Gemadept</x:v>
      </x:c>
      <x:c r="D43" s="89" t="str">
        <x:v>Annual Report 2021</x:v>
      </x:c>
      <x:c r="E43" s="89" t="str">
        <x:v>Issuer filing</x:v>
      </x:c>
      <x:c r="F43" s="89" t="str">
        <x:v>FY2021</x:v>
      </x:c>
      <x:c r="G43" s="89" t="str">
        <x:v>25-Jul-2026</x:v>
      </x:c>
      <x:c r="H43" s="89" t="str">
        <x:v>Verified</x:v>
      </x:c>
      <x:c r="I43" s="98" t="str">
        <x:v>https://www.gemadept.com.vn/wp-content/uploads/2022/04/2021-1.pdf</x:v>
      </x:c>
      <x:c r="J43" s="89" t="str">
        <x:v>2021 associate ownership and earnings</x:v>
      </x:c>
      <x:c r="K43" s="90" t="str">
        <x:v>Used to identify Gemalink, SCS and CJ Gemadept Logistics contributions.</x:v>
      </x:c>
    </x:row>
    <x:row r="44" ht="43" customHeight="1">
      <x:c r="A44" s="91" t="str">
        <x:v>SRC-API01</x:v>
      </x:c>
      <x:c r="B44" s="92" t="str">
        <x:v>GMD</x:v>
      </x:c>
      <x:c r="C44" s="92" t="str">
        <x:v>VNStock / VCI</x:v>
      </x:c>
      <x:c r="D44" s="92" t="str">
        <x:v>VNStock 4.0.5 Finance API</x:v>
      </x:c>
      <x:c r="E44" s="92" t="str">
        <x:v>Data API</x:v>
      </x:c>
      <x:c r="F44" s="92" t="str">
        <x:v>FY2021–FY2025 annual financial statements</x:v>
      </x:c>
      <x:c r="G44" s="92" t="str">
        <x:v>25-Jul-2026</x:v>
      </x:c>
      <x:c r="H44" s="92" t="str">
        <x:v>Verified against filings</x:v>
      </x:c>
      <x:c r="I44" s="99" t="str">
        <x:v>https://vnstocks.com/docs/vnstock/phan-tich-co-ban-fundamental</x:v>
      </x:c>
      <x:c r="J44" s="92" t="str">
        <x:v>Income statement, balance sheet and cash flow raw data</x:v>
      </x:c>
      <x:c r="K44" s="93" t="str">
        <x:v>Retrieved 2026-07-25T20:58:54+07:00; raw unit VND; expenses and cash outflows may be negative.</x:v>
      </x:c>
    </x:row>
    <x:row r="45" ht="43" customHeight="1">
      <x:c r="A45" s="85" t="str">
        <x:v>SRC-P401</x:v>
      </x:c>
      <x:c r="B45" s="86" t="str">
        <x:v>Market</x:v>
      </x:c>
      <x:c r="C45" s="86" t="str">
        <x:v>VNStock / VCI and KBS</x:v>
      </x:c>
      <x:c r="D45" s="86" t="str">
        <x:v>GMD daily OHLCV</x:v>
      </x:c>
      <x:c r="E45" s="86" t="str">
        <x:v>Market data API</x:v>
      </x:c>
      <x:c r="F45" s="86" t="str">
        <x:v>17–24 Jul 2026</x:v>
      </x:c>
      <x:c r="G45" s="86" t="str">
        <x:v>25-Jul-2026</x:v>
      </x:c>
      <x:c r="H45" s="86" t="str">
        <x:v>Verified across two VNStock adapters</x:v>
      </x:c>
      <x:c r="I45" s="97" t="str">
        <x:v>https://vnstocks.com/docs/vnstock/du-lieu-thi-truong-market-data</x:v>
      </x:c>
      <x:c r="J45" s="86" t="str">
        <x:v>Current price and valuation date</x:v>
      </x:c>
      <x:c r="K45" s="87" t="str">
        <x:v>24-Jul-2026 close was VND 73,200; prices are returned in VND thousand.</x:v>
      </x:c>
    </x:row>
    <x:row r="46" ht="43" customHeight="1">
      <x:c r="A46" s="88" t="str">
        <x:v>SRC-P402</x:v>
      </x:c>
      <x:c r="B46" s="89" t="str">
        <x:v>GMD</x:v>
      </x:c>
      <x:c r="C46" s="89" t="str">
        <x:v>Gemadept</x:v>
      </x:c>
      <x:c r="D46" s="89" t="str">
        <x:v>Shareholders page</x:v>
      </x:c>
      <x:c r="E46" s="89" t="str">
        <x:v>Issuer IR</x:v>
      </x:c>
      <x:c r="F46" s="89" t="str">
        <x:v>As of 25-Jul-2026</x:v>
      </x:c>
      <x:c r="G46" s="89" t="str">
        <x:v>25-Jul-2026</x:v>
      </x:c>
      <x:c r="H46" s="89" t="str">
        <x:v>Verified</x:v>
      </x:c>
      <x:c r="I46" s="98" t="str">
        <x:v>https://www.gemadept.com.vn/en/shareholders/</x:v>
      </x:c>
      <x:c r="J46" s="89" t="str">
        <x:v>Listed share count</x:v>
      </x:c>
      <x:c r="K46" s="90" t="str">
        <x:v>Charter capital VND 4,264,951,090,000 and 426,495,109 listed shares.</x:v>
      </x:c>
    </x:row>
    <x:row r="47" ht="43" customHeight="1">
      <x:c r="A47" s="91" t="str">
        <x:v>SRC-P403</x:v>
      </x:c>
      <x:c r="B47" s="92" t="str">
        <x:v>Macro / valuation</x:v>
      </x:c>
      <x:c r="C47" s="92" t="str">
        <x:v>Asian Development Bank — AsianBondsOnline</x:v>
      </x:c>
      <x:c r="D47" s="92" t="str">
        <x:v>Vietnam bond-market watch</x:v>
      </x:c>
      <x:c r="E47" s="92" t="str">
        <x:v>Official multilateral market data</x:v>
      </x:c>
      <x:c r="F47" s="92" t="str">
        <x:v>Close 23-Jul-2026</x:v>
      </x:c>
      <x:c r="G47" s="92" t="str">
        <x:v>25-Jul-2026</x:v>
      </x:c>
      <x:c r="H47" s="92" t="str">
        <x:v>Verified</x:v>
      </x:c>
      <x:c r="I47" s="99" t="str">
        <x:v>https://asianbondsonline.adb.org/vietnam/</x:v>
      </x:c>
      <x:c r="J47" s="92" t="str">
        <x:v>Risk-free-rate anchor</x:v>
      </x:c>
      <x:c r="K47" s="93" t="str">
        <x:v>Vietnam 10-year government bond yield was 4.409%; the model rounds this to 4.5%.</x:v>
      </x:c>
    </x:row>
  </x:sheetData>
  <x:mergeCells>
    <x:mergeCell ref="A1:K1"/>
    <x:mergeCell ref="A2:K2"/>
    <x:mergeCell ref="A4:K4"/>
  </x:mergeCells>
  <x:pageMargins left="0.7" right="0.7" top="0.75" bottom="0.75" header="0.3" footer="0.3"/>
  <x:tableParts count="1">
    <x:tablePart xmlns:r="http://schemas.openxmlformats.org/officeDocument/2006/relationships" r:id="R38d7aa246bf742e6"/>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0" hidden="0" customWidth="1"/>
    <x:col min="2" max="2" width="14" hidden="0" customWidth="1"/>
    <x:col min="3" max="3" width="14" hidden="0" customWidth="1"/>
    <x:col min="4" max="4" width="16" hidden="0" customWidth="1"/>
    <x:col min="5" max="5" width="13" hidden="0" customWidth="1"/>
    <x:col min="6" max="6" width="17" hidden="0" customWidth="1"/>
    <x:col min="7" max="7" width="17" hidden="0" customWidth="1"/>
    <x:col min="8" max="8" width="17" hidden="0" customWidth="1"/>
    <x:col min="9" max="9" width="14" hidden="0" customWidth="1"/>
    <x:col min="10" max="10" width="22" hidden="0" customWidth="1"/>
    <x:col min="11" max="11" width="17" hidden="0" customWidth="1"/>
    <x:col min="12" max="12" width="50" hidden="0" customWidth="1"/>
  </x:cols>
  <x:sheetData>
    <x:row r="1" ht="30" customHeight="1">
      <x:c r="A1" s="4" t="str">
        <x:v>Macro Annual — Vietnam Trade and FDI</x:v>
      </x:c>
      <x:c r="B1" s="4" t="str">
        <x:v>Macro Annual — Vietnam Trade and FDI</x:v>
      </x:c>
      <x:c r="C1" s="4" t="str">
        <x:v>Macro Annual — Vietnam Trade and FDI</x:v>
      </x:c>
      <x:c r="D1" s="4" t="str">
        <x:v>Macro Annual — Vietnam Trade and FDI</x:v>
      </x:c>
      <x:c r="E1" s="4" t="str">
        <x:v>Macro Annual — Vietnam Trade and FDI</x:v>
      </x:c>
      <x:c r="F1" s="4" t="str">
        <x:v>Macro Annual — Vietnam Trade and FDI</x:v>
      </x:c>
      <x:c r="G1" s="4" t="str">
        <x:v>Macro Annual — Vietnam Trade and FDI</x:v>
      </x:c>
      <x:c r="H1" s="4" t="str">
        <x:v>Macro Annual — Vietnam Trade and FDI</x:v>
      </x:c>
      <x:c r="I1" s="4" t="str">
        <x:v>Macro Annual — Vietnam Trade and FDI</x:v>
      </x:c>
      <x:c r="J1" s="4" t="str">
        <x:v>Macro Annual — Vietnam Trade and FDI</x:v>
      </x:c>
      <x:c r="K1" s="4" t="str">
        <x:v>Macro Annual — Vietnam Trade and FDI</x:v>
      </x:c>
      <x:c r="L1" s="4" t="str">
        <x:v>Macro Annual — Vietnam Trade and FDI</x:v>
      </x:c>
    </x:row>
    <x:row r="2" ht="34" customHeight="1">
      <x:c r="A2" s="9" t="str">
        <x:v>Official annual actuals. Total trade, growth rates and FDI intensity are formulas; blue-font cells are sourced inputs.</x:v>
      </x:c>
      <x:c r="B2" s="9" t="str">
        <x:v>Official annual actuals. Total trade, growth rates and FDI intensity are formulas; blue-font cells are sourced inputs.</x:v>
      </x:c>
      <x:c r="C2" s="9" t="str">
        <x:v>Official annual actuals. Total trade, growth rates and FDI intensity are formulas; blue-font cells are sourced inputs.</x:v>
      </x:c>
      <x:c r="D2" s="9" t="str">
        <x:v>Official annual actuals. Total trade, growth rates and FDI intensity are formulas; blue-font cells are sourced inputs.</x:v>
      </x:c>
      <x:c r="E2" s="9" t="str">
        <x:v>Official annual actuals. Total trade, growth rates and FDI intensity are formulas; blue-font cells are sourced inputs.</x:v>
      </x:c>
      <x:c r="F2" s="9" t="str">
        <x:v>Official annual actuals. Total trade, growth rates and FDI intensity are formulas; blue-font cells are sourced inputs.</x:v>
      </x:c>
      <x:c r="G2" s="9" t="str">
        <x:v>Official annual actuals. Total trade, growth rates and FDI intensity are formulas; blue-font cells are sourced inputs.</x:v>
      </x:c>
      <x:c r="H2" s="9" t="str">
        <x:v>Official annual actuals. Total trade, growth rates and FDI intensity are formulas; blue-font cells are sourced inputs.</x:v>
      </x:c>
      <x:c r="I2" s="9" t="str">
        <x:v>Official annual actuals. Total trade, growth rates and FDI intensity are formulas; blue-font cells are sourced inputs.</x:v>
      </x:c>
      <x:c r="J2" s="9" t="str">
        <x:v>Official annual actuals. Total trade, growth rates and FDI intensity are formulas; blue-font cells are sourced inputs.</x:v>
      </x:c>
      <x:c r="K2" s="9" t="str">
        <x:v>Official annual actuals. Total trade, growth rates and FDI intensity are formulas; blue-font cells are sourced inputs.</x:v>
      </x:c>
      <x:c r="L2" s="9" t="str">
        <x:v>Official annual actuals. Total trade, growth rates and FDI intensity are formulas; blue-font cells are sourced inputs.</x:v>
      </x:c>
    </x:row>
    <x:row r="4" ht="21" customHeight="1">
      <x:c r="A4" s="13" t="str">
        <x:v>Annual history</x:v>
      </x:c>
      <x:c r="B4" s="13" t="str">
        <x:v>Annual history</x:v>
      </x:c>
      <x:c r="C4" s="13" t="str">
        <x:v>Annual history</x:v>
      </x:c>
      <x:c r="D4" s="13" t="str">
        <x:v>Annual history</x:v>
      </x:c>
      <x:c r="E4" s="13" t="str">
        <x:v>Annual history</x:v>
      </x:c>
      <x:c r="F4" s="13" t="str">
        <x:v>Annual history</x:v>
      </x:c>
      <x:c r="G4" s="13" t="str">
        <x:v>Annual history</x:v>
      </x:c>
      <x:c r="H4" s="13" t="str">
        <x:v>Annual history</x:v>
      </x:c>
      <x:c r="I4" s="13" t="str">
        <x:v>Annual history</x:v>
      </x:c>
      <x:c r="J4" s="13" t="str">
        <x:v>Annual history</x:v>
      </x:c>
      <x:c r="K4" s="13" t="str">
        <x:v>Annual history</x:v>
      </x:c>
      <x:c r="L4" s="13" t="str">
        <x:v>Annual history</x:v>
      </x:c>
    </x:row>
    <x:row r="6" ht="32" customHeight="1">
      <x:c r="A6" s="65" t="str">
        <x:v>Year</x:v>
      </x:c>
      <x:c r="B6" s="65" t="str">
        <x:v>Exports</x:v>
      </x:c>
      <x:c r="C6" s="65" t="str">
        <x:v>Imports</x:v>
      </x:c>
      <x:c r="D6" s="65" t="str">
        <x:v>Total trade</x:v>
      </x:c>
      <x:c r="E6" s="65" t="str">
        <x:v>Trade YoY</x:v>
      </x:c>
      <x:c r="F6" s="65" t="str">
        <x:v>Registered FDI</x:v>
      </x:c>
      <x:c r="G6" s="65" t="str">
        <x:v>Disbursed FDI</x:v>
      </x:c>
      <x:c r="H6" s="65" t="str">
        <x:v>FDI realization</x:v>
      </x:c>
      <x:c r="I6" s="65" t="str">
        <x:v>Trade check</x:v>
      </x:c>
      <x:c r="J6" s="65" t="str">
        <x:v>Source ID</x:v>
      </x:c>
      <x:c r="K6" s="65" t="str">
        <x:v>Data class</x:v>
      </x:c>
      <x:c r="L6" s="65" t="str">
        <x:v>Audit note</x:v>
      </x:c>
    </x:row>
    <x:row r="7" ht="34" customHeight="1">
      <x:c r="A7" s="85" t="n">
        <x:v>2021</x:v>
      </x:c>
      <x:c r="B7" s="103" t="n">
        <x:v>336.31</x:v>
      </x:c>
      <x:c r="C7" s="103" t="n">
        <x:v>332.23</x:v>
      </x:c>
      <x:c r="D7" s="104" t="n">
        <x:f>SUM(B7:C7)</x:f>
        <x:v>668.54</x:v>
      </x:c>
      <x:c r="E7" s="86" t="str">
        <x:v>n.m.</x:v>
      </x:c>
      <x:c r="F7" s="103" t="n">
        <x:v>31.15</x:v>
      </x:c>
      <x:c r="G7" s="103" t="n">
        <x:v>19.74</x:v>
      </x:c>
      <x:c r="H7" s="111" t="n">
        <x:f>G7/F7</x:f>
        <x:v>0.6337078651685393</x:v>
      </x:c>
      <x:c r="I7" s="112" t="n">
        <x:f>ROUND(D7-B7-C7,2)</x:f>
        <x:v>0</x:v>
      </x:c>
      <x:c r="J7" s="86" t="str">
        <x:v>SRC-M07 / SRC-M08</x:v>
      </x:c>
      <x:c r="K7" s="86" t="str">
        <x:v>Official actual</x:v>
      </x:c>
      <x:c r="L7" s="87" t="str">
        <x:v>Trade and FDI come from two NSO releases.</x:v>
      </x:c>
    </x:row>
    <x:row r="8" ht="34" customHeight="1">
      <x:c r="A8" s="88" t="n">
        <x:v>2022</x:v>
      </x:c>
      <x:c r="B8" s="105" t="n">
        <x:v>371.85</x:v>
      </x:c>
      <x:c r="C8" s="105" t="n">
        <x:v>360.65</x:v>
      </x:c>
      <x:c r="D8" s="106" t="n">
        <x:f>SUM(B8:C8)</x:f>
        <x:v>732.5</x:v>
      </x:c>
      <x:c r="E8" s="109" t="n">
        <x:f>D8/D7-1</x:f>
        <x:v>0.09567116402907838</x:v>
      </x:c>
      <x:c r="F8" s="105" t="n">
        <x:v>27.72</x:v>
      </x:c>
      <x:c r="G8" s="105" t="n">
        <x:v>22.4</x:v>
      </x:c>
      <x:c r="H8" s="109" t="n">
        <x:f>G8/F8</x:f>
        <x:v>0.8080808080808081</x:v>
      </x:c>
      <x:c r="I8" s="113" t="n">
        <x:f>ROUND(D8-B8-C8,2)</x:f>
        <x:v>0</x:v>
      </x:c>
      <x:c r="J8" s="89" t="str">
        <x:v>SRC-M05 / SRC-M06</x:v>
      </x:c>
      <x:c r="K8" s="89" t="str">
        <x:v>Official actual</x:v>
      </x:c>
      <x:c r="L8" s="90" t="str">
        <x:v>Registered FDI from the official December infographic.</x:v>
      </x:c>
    </x:row>
    <x:row r="9" ht="34" customHeight="1">
      <x:c r="A9" s="88" t="n">
        <x:v>2023</x:v>
      </x:c>
      <x:c r="B9" s="105" t="n">
        <x:v>355.5</x:v>
      </x:c>
      <x:c r="C9" s="105" t="n">
        <x:v>327.5</x:v>
      </x:c>
      <x:c r="D9" s="106" t="n">
        <x:f>SUM(B9:C9)</x:f>
        <x:v>683</x:v>
      </x:c>
      <x:c r="E9" s="109" t="n">
        <x:f>D9/D8-1</x:f>
        <x:v>-0.06757679180887377</x:v>
      </x:c>
      <x:c r="F9" s="105" t="n">
        <x:v>36.6</x:v>
      </x:c>
      <x:c r="G9" s="105" t="n">
        <x:v>23.18</x:v>
      </x:c>
      <x:c r="H9" s="109" t="n">
        <x:f>G9/F9</x:f>
        <x:v>0.6333333333333333</x:v>
      </x:c>
      <x:c r="I9" s="113" t="n">
        <x:f>ROUND(D9-B9-C9,2)</x:f>
        <x:v>0</x:v>
      </x:c>
      <x:c r="J9" s="89" t="str">
        <x:v>SRC-M04</x:v>
      </x:c>
      <x:c r="K9" s="89" t="str">
        <x:v>Official actual</x:v>
      </x:c>
      <x:c r="L9" s="90" t="str">
        <x:v>Primary source.</x:v>
      </x:c>
    </x:row>
    <x:row r="10" ht="34" customHeight="1">
      <x:c r="A10" s="88" t="n">
        <x:v>2024</x:v>
      </x:c>
      <x:c r="B10" s="105" t="n">
        <x:v>405.53</x:v>
      </x:c>
      <x:c r="C10" s="105" t="n">
        <x:v>380.76</x:v>
      </x:c>
      <x:c r="D10" s="106" t="n">
        <x:f>SUM(B10:C10)</x:f>
        <x:v>786.29</x:v>
      </x:c>
      <x:c r="E10" s="109" t="n">
        <x:f>D10/D9-1</x:f>
        <x:v>0.15122986822840412</x:v>
      </x:c>
      <x:c r="F10" s="105" t="n">
        <x:v>38.23</x:v>
      </x:c>
      <x:c r="G10" s="105" t="n">
        <x:v>25.35</x:v>
      </x:c>
      <x:c r="H10" s="109" t="n">
        <x:f>G10/F10</x:f>
        <x:v>0.6630918127125295</x:v>
      </x:c>
      <x:c r="I10" s="113" t="n">
        <x:f>ROUND(D10-B10-C10,2)</x:f>
        <x:v>0</x:v>
      </x:c>
      <x:c r="J10" s="89" t="str">
        <x:v>SRC-M03</x:v>
      </x:c>
      <x:c r="K10" s="89" t="str">
        <x:v>Official actual</x:v>
      </x:c>
      <x:c r="L10" s="90" t="str">
        <x:v>Primary source.</x:v>
      </x:c>
    </x:row>
    <x:row r="11" ht="34" customHeight="1">
      <x:c r="A11" s="91" t="n">
        <x:v>2025</x:v>
      </x:c>
      <x:c r="B11" s="107" t="n">
        <x:v>475.04</x:v>
      </x:c>
      <x:c r="C11" s="107" t="n">
        <x:v>455.01</x:v>
      </x:c>
      <x:c r="D11" s="108" t="n">
        <x:f>SUM(B11:C11)</x:f>
        <x:v>930.05</x:v>
      </x:c>
      <x:c r="E11" s="110" t="n">
        <x:f>D11/D10-1</x:f>
        <x:v>0.18283330577776646</x:v>
      </x:c>
      <x:c r="F11" s="107" t="n">
        <x:v>38.42</x:v>
      </x:c>
      <x:c r="G11" s="107" t="n">
        <x:v>27.62</x:v>
      </x:c>
      <x:c r="H11" s="110" t="n">
        <x:f>G11/F11</x:f>
        <x:v>0.7188964081207704</x:v>
      </x:c>
      <x:c r="I11" s="114" t="n">
        <x:f>ROUND(D11-B11-C11,2)</x:f>
        <x:v>0</x:v>
      </x:c>
      <x:c r="J11" s="92" t="str">
        <x:v>SRC-M02</x:v>
      </x:c>
      <x:c r="K11" s="92" t="str">
        <x:v>Official actual</x:v>
      </x:c>
      <x:c r="L11" s="93" t="str">
        <x:v>Total trade is calculated as exports plus imports.</x:v>
      </x:c>
    </x:row>
  </x:sheetData>
  <x:mergeCells>
    <x:mergeCell ref="A1:L1"/>
    <x:mergeCell ref="A2:L2"/>
    <x:mergeCell ref="A4:L4"/>
  </x:mergeCells>
  <x:pageMargins left="0.7" right="0.7" top="0.75" bottom="0.75" header="0.3" footer="0.3"/>
  <x:legacyDrawing xmlns:r="http://schemas.openxmlformats.org/officeDocument/2006/relationships" r:id="R1603ece3f4694b18"/>
  <x:tableParts count="1">
    <x:tablePart xmlns:r="http://schemas.openxmlformats.org/officeDocument/2006/relationships" r:id="R33ece54c4331493b"/>
  </x:tableParts>
</x:worksheet>
</file>

<file path=xl/worksheets/sheet5.xml><?xml version="1.0" encoding="utf-8"?>
<x:worksheet xmlns:x="http://schemas.openxmlformats.org/spreadsheetml/2006/main">
  <x:sheetViews>
    <x:sheetView showGridLines="0" workbookViewId="0"/>
  </x:sheetViews>
  <x:sheetFormatPr defaultRowHeight="15"/>
  <x:cols>
    <x:col min="1" max="1" width="13" hidden="0" customWidth="1"/>
    <x:col min="2" max="2" width="30" hidden="0" customWidth="1"/>
    <x:col min="3" max="3" width="15" hidden="0" customWidth="1"/>
    <x:col min="4" max="4" width="12" hidden="0" customWidth="1"/>
    <x:col min="5" max="5" width="14" hidden="0" customWidth="1"/>
    <x:col min="6" max="6" width="18" hidden="0" customWidth="1"/>
    <x:col min="7" max="7" width="18" hidden="0" customWidth="1"/>
    <x:col min="8" max="8" width="13" hidden="0" customWidth="1"/>
    <x:col min="9" max="9" width="32" hidden="0" customWidth="1"/>
    <x:col min="10" max="10" width="48" hidden="0" customWidth="1"/>
  </x:cols>
  <x:sheetData>
    <x:row r="1" ht="30" customHeight="1">
      <x:c r="A1" s="4" t="str">
        <x:v>Macro Snapshot — 1H2026</x:v>
      </x:c>
      <x:c r="B1" s="4" t="str">
        <x:v>Macro Snapshot — 1H2026</x:v>
      </x:c>
      <x:c r="C1" s="4" t="str">
        <x:v>Macro Snapshot — 1H2026</x:v>
      </x:c>
      <x:c r="D1" s="4" t="str">
        <x:v>Macro Snapshot — 1H2026</x:v>
      </x:c>
      <x:c r="E1" s="4" t="str">
        <x:v>Macro Snapshot — 1H2026</x:v>
      </x:c>
      <x:c r="F1" s="4" t="str">
        <x:v>Macro Snapshot — 1H2026</x:v>
      </x:c>
      <x:c r="G1" s="4" t="str">
        <x:v>Macro Snapshot — 1H2026</x:v>
      </x:c>
      <x:c r="H1" s="4" t="str">
        <x:v>Macro Snapshot — 1H2026</x:v>
      </x:c>
      <x:c r="I1" s="4" t="str">
        <x:v>Macro Snapshot — 1H2026</x:v>
      </x:c>
      <x:c r="J1" s="4" t="str">
        <x:v>Macro Snapshot — 1H2026</x:v>
      </x:c>
    </x:row>
    <x:row r="2" ht="34" customHeight="1">
      <x:c r="A2" s="9" t="str">
        <x:v>The latest macro setup is strong, but each row records why it cannot be inserted directly into a port-volume forecast.</x:v>
      </x:c>
      <x:c r="B2" s="9" t="str">
        <x:v>The latest macro setup is strong, but each row records why it cannot be inserted directly into a port-volume forecast.</x:v>
      </x:c>
      <x:c r="C2" s="9" t="str">
        <x:v>The latest macro setup is strong, but each row records why it cannot be inserted directly into a port-volume forecast.</x:v>
      </x:c>
      <x:c r="D2" s="9" t="str">
        <x:v>The latest macro setup is strong, but each row records why it cannot be inserted directly into a port-volume forecast.</x:v>
      </x:c>
      <x:c r="E2" s="9" t="str">
        <x:v>The latest macro setup is strong, but each row records why it cannot be inserted directly into a port-volume forecast.</x:v>
      </x:c>
      <x:c r="F2" s="9" t="str">
        <x:v>The latest macro setup is strong, but each row records why it cannot be inserted directly into a port-volume forecast.</x:v>
      </x:c>
      <x:c r="G2" s="9" t="str">
        <x:v>The latest macro setup is strong, but each row records why it cannot be inserted directly into a port-volume forecast.</x:v>
      </x:c>
      <x:c r="H2" s="9" t="str">
        <x:v>The latest macro setup is strong, but each row records why it cannot be inserted directly into a port-volume forecast.</x:v>
      </x:c>
      <x:c r="I2" s="9" t="str">
        <x:v>The latest macro setup is strong, but each row records why it cannot be inserted directly into a port-volume forecast.</x:v>
      </x:c>
      <x:c r="J2" s="9" t="str">
        <x:v>The latest macro setup is strong, but each row records why it cannot be inserted directly into a port-volume forecast.</x:v>
      </x:c>
    </x:row>
    <x:row r="4" ht="21" customHeight="1">
      <x:c r="A4" s="13" t="str">
        <x:v>Official 1H2026 facts</x:v>
      </x:c>
      <x:c r="B4" s="13" t="str">
        <x:v>Official 1H2026 facts</x:v>
      </x:c>
      <x:c r="C4" s="13" t="str">
        <x:v>Official 1H2026 facts</x:v>
      </x:c>
      <x:c r="D4" s="13" t="str">
        <x:v>Official 1H2026 facts</x:v>
      </x:c>
      <x:c r="E4" s="13" t="str">
        <x:v>Official 1H2026 facts</x:v>
      </x:c>
      <x:c r="F4" s="13" t="str">
        <x:v>Official 1H2026 facts</x:v>
      </x:c>
      <x:c r="G4" s="13" t="str">
        <x:v>Official 1H2026 facts</x:v>
      </x:c>
      <x:c r="H4" s="13" t="str">
        <x:v>Official 1H2026 facts</x:v>
      </x:c>
      <x:c r="I4" s="13" t="str">
        <x:v>Official 1H2026 facts</x:v>
      </x:c>
      <x:c r="J4" s="13" t="str">
        <x:v>Official 1H2026 facts</x:v>
      </x:c>
    </x:row>
    <x:row r="6" ht="32" customHeight="1">
      <x:c r="A6" s="65" t="str">
        <x:v>Data ID</x:v>
      </x:c>
      <x:c r="B6" s="65" t="str">
        <x:v>Indicator</x:v>
      </x:c>
      <x:c r="C6" s="65" t="str">
        <x:v>Value</x:v>
      </x:c>
      <x:c r="D6" s="65" t="str">
        <x:v>Unit</x:v>
      </x:c>
      <x:c r="E6" s="65" t="str">
        <x:v>YoY growth</x:v>
      </x:c>
      <x:c r="F6" s="65" t="str">
        <x:v>Period</x:v>
      </x:c>
      <x:c r="G6" s="65" t="str">
        <x:v>Data class</x:v>
      </x:c>
      <x:c r="H6" s="65" t="str">
        <x:v>Source ID</x:v>
      </x:c>
      <x:c r="I6" s="65" t="str">
        <x:v>Intended use</x:v>
      </x:c>
      <x:c r="J6" s="65" t="str">
        <x:v>Key caveat</x:v>
      </x:c>
    </x:row>
    <x:row r="7" ht="36" customHeight="1">
      <x:c r="A7" s="85" t="str">
        <x:v>MAC-H1-01</x:v>
      </x:c>
      <x:c r="B7" s="86" t="str">
        <x:v>Total merchandise trade</x:v>
      </x:c>
      <x:c r="C7" s="103" t="n">
        <x:v>549.69</x:v>
      </x:c>
      <x:c r="D7" s="86" t="str">
        <x:v>USD bn</x:v>
      </x:c>
      <x:c r="E7" s="115" t="n">
        <x:v>0.271</x:v>
      </x:c>
      <x:c r="F7" s="86" t="str">
        <x:v>1H2026</x:v>
      </x:c>
      <x:c r="G7" s="86" t="str">
        <x:v>Official actual</x:v>
      </x:c>
      <x:c r="H7" s="86" t="str">
        <x:v>SRC-M01</x:v>
      </x:c>
      <x:c r="I7" s="86" t="str">
        <x:v>Macro demand backdrop</x:v>
      </x:c>
      <x:c r="J7" s="87" t="str">
        <x:v>Aggregate trade value is not container volume.</x:v>
      </x:c>
    </x:row>
    <x:row r="8" ht="36" customHeight="1">
      <x:c r="A8" s="88" t="str">
        <x:v>MAC-H1-02</x:v>
      </x:c>
      <x:c r="B8" s="89" t="str">
        <x:v>Exports</x:v>
      </x:c>
      <x:c r="C8" s="105" t="n">
        <x:v>266.52</x:v>
      </x:c>
      <x:c r="D8" s="89" t="str">
        <x:v>USD bn</x:v>
      </x:c>
      <x:c r="E8" s="116" t="n">
        <x:v>0.21</x:v>
      </x:c>
      <x:c r="F8" s="89" t="str">
        <x:v>1H2026</x:v>
      </x:c>
      <x:c r="G8" s="89" t="str">
        <x:v>Official actual</x:v>
      </x:c>
      <x:c r="H8" s="89" t="str">
        <x:v>SRC-M01</x:v>
      </x:c>
      <x:c r="I8" s="89" t="str">
        <x:v>Macro demand backdrop</x:v>
      </x:c>
      <x:c r="J8" s="90" t="str">
        <x:v>Product mix and prices can break the link to TEU.</x:v>
      </x:c>
    </x:row>
    <x:row r="9" ht="36" customHeight="1">
      <x:c r="A9" s="88" t="str">
        <x:v>MAC-H1-03</x:v>
      </x:c>
      <x:c r="B9" s="89" t="str">
        <x:v>Imports</x:v>
      </x:c>
      <x:c r="C9" s="105" t="n">
        <x:v>283.17</x:v>
      </x:c>
      <x:c r="D9" s="89" t="str">
        <x:v>USD bn</x:v>
      </x:c>
      <x:c r="E9" s="116" t="n">
        <x:v>0.334</x:v>
      </x:c>
      <x:c r="F9" s="89" t="str">
        <x:v>1H2026</x:v>
      </x:c>
      <x:c r="G9" s="89" t="str">
        <x:v>Official actual</x:v>
      </x:c>
      <x:c r="H9" s="89" t="str">
        <x:v>SRC-M01</x:v>
      </x:c>
      <x:c r="I9" s="89" t="str">
        <x:v>Macro demand backdrop</x:v>
      </x:c>
      <x:c r="J9" s="90" t="str">
        <x:v>Product mix and prices can break the link to TEU.</x:v>
      </x:c>
    </x:row>
    <x:row r="10" ht="36" customHeight="1">
      <x:c r="A10" s="88" t="str">
        <x:v>MAC-H1-04</x:v>
      </x:c>
      <x:c r="B10" s="89" t="str">
        <x:v>Registered FDI</x:v>
      </x:c>
      <x:c r="C10" s="105" t="n">
        <x:v>34.65</x:v>
      </x:c>
      <x:c r="D10" s="89" t="str">
        <x:v>USD bn</x:v>
      </x:c>
      <x:c r="E10" s="116" t="n">
        <x:v>0.61</x:v>
      </x:c>
      <x:c r="F10" s="89" t="str">
        <x:v>to 30-Jun-2026</x:v>
      </x:c>
      <x:c r="G10" s="89" t="str">
        <x:v>Official actual</x:v>
      </x:c>
      <x:c r="H10" s="89" t="str">
        <x:v>SRC-M01</x:v>
      </x:c>
      <x:c r="I10" s="89" t="str">
        <x:v>Medium-term manufacturing setup</x:v>
      </x:c>
      <x:c r="J10" s="90" t="str">
        <x:v>Not a near-term throughput proxy.</x:v>
      </x:c>
    </x:row>
    <x:row r="11" ht="36" customHeight="1">
      <x:c r="A11" s="91" t="str">
        <x:v>MAC-H1-05</x:v>
      </x:c>
      <x:c r="B11" s="92" t="str">
        <x:v>Disbursed FDI</x:v>
      </x:c>
      <x:c r="C11" s="107" t="n">
        <x:v>13.03</x:v>
      </x:c>
      <x:c r="D11" s="92" t="str">
        <x:v>USD bn</x:v>
      </x:c>
      <x:c r="E11" s="117" t="n">
        <x:v>0.112</x:v>
      </x:c>
      <x:c r="F11" s="92" t="str">
        <x:v>1H2026</x:v>
      </x:c>
      <x:c r="G11" s="92" t="str">
        <x:v>Official actual</x:v>
      </x:c>
      <x:c r="H11" s="92" t="str">
        <x:v>SRC-M01</x:v>
      </x:c>
      <x:c r="I11" s="92" t="str">
        <x:v>Real-activity cross-check</x:v>
      </x:c>
      <x:c r="J11" s="93" t="str">
        <x:v>More relevant than registered FDI, but still indirect.</x:v>
      </x:c>
    </x:row>
  </x:sheetData>
  <x:mergeCells>
    <x:mergeCell ref="A1:J1"/>
    <x:mergeCell ref="A2:J2"/>
    <x:mergeCell ref="A4:J4"/>
  </x:mergeCells>
  <x:pageMargins left="0.7" right="0.7" top="0.75" bottom="0.75" header="0.3" footer="0.3"/>
  <x:legacyDrawing xmlns:r="http://schemas.openxmlformats.org/officeDocument/2006/relationships" r:id="Rec21ae6f8a184028"/>
  <x:tableParts count="1">
    <x:tablePart xmlns:r="http://schemas.openxmlformats.org/officeDocument/2006/relationships" r:id="R9962a40083ff4e7c"/>
  </x:tableParts>
</x:worksheet>
</file>

<file path=xl/worksheets/sheet6.xml><?xml version="1.0" encoding="utf-8"?>
<x:worksheet xmlns:x="http://schemas.openxmlformats.org/spreadsheetml/2006/main">
  <x:sheetViews>
    <x:sheetView showGridLines="0" workbookViewId="0"/>
  </x:sheetViews>
  <x:sheetFormatPr defaultRowHeight="15"/>
  <x:cols>
    <x:col min="1" max="1" width="12" hidden="0" customWidth="1"/>
    <x:col min="2" max="2" width="39" hidden="0" customWidth="1"/>
    <x:col min="3" max="3" width="14" hidden="0" customWidth="1"/>
    <x:col min="4" max="4" width="15" hidden="0" customWidth="1"/>
    <x:col min="5" max="5" width="13" hidden="0" customWidth="1"/>
    <x:col min="6" max="6" width="18" hidden="0" customWidth="1"/>
    <x:col min="7" max="7" width="43" hidden="0" customWidth="1"/>
    <x:col min="8" max="8" width="24" hidden="0" customWidth="1"/>
    <x:col min="9" max="9" width="13" hidden="0" customWidth="1"/>
    <x:col min="10" max="10" width="30" hidden="0" customWidth="1"/>
    <x:col min="11" max="11" width="48" hidden="0" customWidth="1"/>
  </x:cols>
  <x:sheetData>
    <x:row r="1" ht="30" customHeight="1">
      <x:c r="A1" s="4" t="str">
        <x:v>Industry Facts — Vietnam Port Market</x:v>
      </x:c>
      <x:c r="B1" s="4" t="str">
        <x:v>Industry Facts — Vietnam Port Market</x:v>
      </x:c>
      <x:c r="C1" s="4" t="str">
        <x:v>Industry Facts — Vietnam Port Market</x:v>
      </x:c>
      <x:c r="D1" s="4" t="str">
        <x:v>Industry Facts — Vietnam Port Market</x:v>
      </x:c>
      <x:c r="E1" s="4" t="str">
        <x:v>Industry Facts — Vietnam Port Market</x:v>
      </x:c>
      <x:c r="F1" s="4" t="str">
        <x:v>Industry Facts — Vietnam Port Market</x:v>
      </x:c>
      <x:c r="G1" s="4" t="str">
        <x:v>Industry Facts — Vietnam Port Market</x:v>
      </x:c>
      <x:c r="H1" s="4" t="str">
        <x:v>Industry Facts — Vietnam Port Market</x:v>
      </x:c>
      <x:c r="I1" s="4" t="str">
        <x:v>Industry Facts — Vietnam Port Market</x:v>
      </x:c>
      <x:c r="J1" s="4" t="str">
        <x:v>Industry Facts — Vietnam Port Market</x:v>
      </x:c>
      <x:c r="K1" s="4" t="str">
        <x:v>Industry Facts — Vietnam Port Market</x:v>
      </x:c>
    </x:row>
    <x:row r="2" ht="34" customHeight="1">
      <x:c r="A2" s="9" t="str">
        <x:v>Actuals, route facts and planning targets are separated. TEU, tonnes, DWT, berths and routes are intentionally not aggregated.</x:v>
      </x:c>
      <x:c r="B2" s="9" t="str">
        <x:v>Actuals, route facts and planning targets are separated. TEU, tonnes, DWT, berths and routes are intentionally not aggregated.</x:v>
      </x:c>
      <x:c r="C2" s="9" t="str">
        <x:v>Actuals, route facts and planning targets are separated. TEU, tonnes, DWT, berths and routes are intentionally not aggregated.</x:v>
      </x:c>
      <x:c r="D2" s="9" t="str">
        <x:v>Actuals, route facts and planning targets are separated. TEU, tonnes, DWT, berths and routes are intentionally not aggregated.</x:v>
      </x:c>
      <x:c r="E2" s="9" t="str">
        <x:v>Actuals, route facts and planning targets are separated. TEU, tonnes, DWT, berths and routes are intentionally not aggregated.</x:v>
      </x:c>
      <x:c r="F2" s="9" t="str">
        <x:v>Actuals, route facts and planning targets are separated. TEU, tonnes, DWT, berths and routes are intentionally not aggregated.</x:v>
      </x:c>
      <x:c r="G2" s="9" t="str">
        <x:v>Actuals, route facts and planning targets are separated. TEU, tonnes, DWT, berths and routes are intentionally not aggregated.</x:v>
      </x:c>
      <x:c r="H2" s="9" t="str">
        <x:v>Actuals, route facts and planning targets are separated. TEU, tonnes, DWT, berths and routes are intentionally not aggregated.</x:v>
      </x:c>
      <x:c r="I2" s="9" t="str">
        <x:v>Actuals, route facts and planning targets are separated. TEU, tonnes, DWT, berths and routes are intentionally not aggregated.</x:v>
      </x:c>
      <x:c r="J2" s="9" t="str">
        <x:v>Actuals, route facts and planning targets are separated. TEU, tonnes, DWT, berths and routes are intentionally not aggregated.</x:v>
      </x:c>
      <x:c r="K2" s="9" t="str">
        <x:v>Actuals, route facts and planning targets are separated. TEU, tonnes, DWT, berths and routes are intentionally not aggregated.</x:v>
      </x:c>
    </x:row>
    <x:row r="4" ht="21" customHeight="1">
      <x:c r="A4" s="13" t="str">
        <x:v>Verified sector anchors</x:v>
      </x:c>
      <x:c r="B4" s="13" t="str">
        <x:v>Verified sector anchors</x:v>
      </x:c>
      <x:c r="C4" s="13" t="str">
        <x:v>Verified sector anchors</x:v>
      </x:c>
      <x:c r="D4" s="13" t="str">
        <x:v>Verified sector anchors</x:v>
      </x:c>
      <x:c r="E4" s="13" t="str">
        <x:v>Verified sector anchors</x:v>
      </x:c>
      <x:c r="F4" s="13" t="str">
        <x:v>Verified sector anchors</x:v>
      </x:c>
      <x:c r="G4" s="13" t="str">
        <x:v>Verified sector anchors</x:v>
      </x:c>
      <x:c r="H4" s="13" t="str">
        <x:v>Verified sector anchors</x:v>
      </x:c>
      <x:c r="I4" s="13" t="str">
        <x:v>Verified sector anchors</x:v>
      </x:c>
      <x:c r="J4" s="13" t="str">
        <x:v>Verified sector anchors</x:v>
      </x:c>
      <x:c r="K4" s="13" t="str">
        <x:v>Verified sector anchors</x:v>
      </x:c>
    </x:row>
    <x:row r="6" ht="32" customHeight="1">
      <x:c r="A6" s="65" t="str">
        <x:v>Data ID</x:v>
      </x:c>
      <x:c r="B6" s="65" t="str">
        <x:v>Metric</x:v>
      </x:c>
      <x:c r="C6" s="65" t="str">
        <x:v>Value</x:v>
      </x:c>
      <x:c r="D6" s="65" t="str">
        <x:v>Unit</x:v>
      </x:c>
      <x:c r="E6" s="65" t="str">
        <x:v>Growth</x:v>
      </x:c>
      <x:c r="F6" s="65" t="str">
        <x:v>Period</x:v>
      </x:c>
      <x:c r="G6" s="65" t="str">
        <x:v>Scope</x:v>
      </x:c>
      <x:c r="H6" s="65" t="str">
        <x:v>Data class</x:v>
      </x:c>
      <x:c r="I6" s="65" t="str">
        <x:v>Source ID</x:v>
      </x:c>
      <x:c r="J6" s="65" t="str">
        <x:v>Intended use</x:v>
      </x:c>
      <x:c r="K6" s="65" t="str">
        <x:v>Audit note</x:v>
      </x:c>
    </x:row>
    <x:row r="7" ht="38" customHeight="1">
      <x:c r="A7" s="85" t="str">
        <x:v>IND-001</x:v>
      </x:c>
      <x:c r="B7" s="86" t="str">
        <x:v>Cargo throughput</x:v>
      </x:c>
      <x:c r="C7" s="103" t="n">
        <x:v>1170</x:v>
      </x:c>
      <x:c r="D7" s="86" t="str">
        <x:v>mn tonnes</x:v>
      </x:c>
      <x:c r="E7" s="111"/>
      <x:c r="F7" s="86" t="str">
        <x:v>FY2025</x:v>
      </x:c>
      <x:c r="G7" s="86" t="str">
        <x:v>Seaports + inland waterways</x:v>
      </x:c>
      <x:c r="H7" s="86" t="str">
        <x:v>Official actual</x:v>
      </x:c>
      <x:c r="I7" s="86" t="str">
        <x:v>SRC-I01</x:v>
      </x:c>
      <x:c r="J7" s="86" t="str">
        <x:v>National demand anchor</x:v>
      </x:c>
      <x:c r="K7" s="87" t="str">
        <x:v>Scope is broader than seaports.</x:v>
      </x:c>
    </x:row>
    <x:row r="8" ht="38" customHeight="1">
      <x:c r="A8" s="88" t="str">
        <x:v>IND-002</x:v>
      </x:c>
      <x:c r="B8" s="89" t="str">
        <x:v>Container throughput</x:v>
      </x:c>
      <x:c r="C8" s="105" t="n">
        <x:v>34.36</x:v>
      </x:c>
      <x:c r="D8" s="89" t="str">
        <x:v>m TEU</x:v>
      </x:c>
      <x:c r="E8" s="109" t="n">
        <x:v>0.11</x:v>
      </x:c>
      <x:c r="F8" s="89" t="str">
        <x:v>FY2025</x:v>
      </x:c>
      <x:c r="G8" s="89" t="str">
        <x:v>Seaports + inland waterways</x:v>
      </x:c>
      <x:c r="H8" s="89" t="str">
        <x:v>Official actual</x:v>
      </x:c>
      <x:c r="I8" s="89" t="str">
        <x:v>SRC-I01</x:v>
      </x:c>
      <x:c r="J8" s="89" t="str">
        <x:v>National container anchor</x:v>
      </x:c>
      <x:c r="K8" s="90" t="str">
        <x:v>Scope definition must stay unchanged.</x:v>
      </x:c>
    </x:row>
    <x:row r="9" ht="38" customHeight="1">
      <x:c r="A9" s="88" t="str">
        <x:v>IND-003</x:v>
      </x:c>
      <x:c r="B9" s="89" t="str">
        <x:v>Import-export seaborne containers</x:v>
      </x:c>
      <x:c r="C9" s="105" t="n">
        <x:v>7.56</x:v>
      </x:c>
      <x:c r="D9" s="89" t="str">
        <x:v>m TEU</x:v>
      </x:c>
      <x:c r="E9" s="109" t="n">
        <x:v>0.16</x:v>
      </x:c>
      <x:c r="F9" s="89" t="str">
        <x:v>5M2024</x:v>
      </x:c>
      <x:c r="G9" s="89" t="str">
        <x:v>Vietnam seaports</x:v>
      </x:c>
      <x:c r="H9" s="89" t="str">
        <x:v>Official partial-year actual</x:v>
      </x:c>
      <x:c r="I9" s="89" t="str">
        <x:v>SRC-I02</x:v>
      </x:c>
      <x:c r="J9" s="89" t="str">
        <x:v>Historic sector momentum</x:v>
      </x:c>
      <x:c r="K9" s="90" t="str">
        <x:v>Partial year; not annualized in Phase 1.</x:v>
      </x:c>
    </x:row>
    <x:row r="10" ht="38" customHeight="1">
      <x:c r="A10" s="88" t="str">
        <x:v>IND-004</x:v>
      </x:c>
      <x:c r="B10" s="89" t="str">
        <x:v>Direct routes to North America from Hai Phong</x:v>
      </x:c>
      <x:c r="C10" s="105" t="n">
        <x:v>7</x:v>
      </x:c>
      <x:c r="D10" s="89" t="str">
        <x:v>routes</x:v>
      </x:c>
      <x:c r="E10" s="109"/>
      <x:c r="F10" s="89" t="str">
        <x:v>5M2024 disclosure</x:v>
      </x:c>
      <x:c r="G10" s="89" t="str">
        <x:v>Hai Phong</x:v>
      </x:c>
      <x:c r="H10" s="89" t="str">
        <x:v>Official network fact</x:v>
      </x:c>
      <x:c r="I10" s="89" t="str">
        <x:v>SRC-I02</x:v>
      </x:c>
      <x:c r="J10" s="89" t="str">
        <x:v>Northern connectivity</x:v>
      </x:c>
      <x:c r="K10" s="90" t="str">
        <x:v>Route count can change; refresh before final report.</x:v>
      </x:c>
    </x:row>
    <x:row r="11" ht="38" customHeight="1">
      <x:c r="A11" s="88" t="str">
        <x:v>IND-005</x:v>
      </x:c>
      <x:c r="B11" s="89" t="str">
        <x:v>Direct service routes from Cai Mep–Thi Vai</x:v>
      </x:c>
      <x:c r="C11" s="105" t="n">
        <x:v>35</x:v>
      </x:c>
      <x:c r="D11" s="89" t="str">
        <x:v>routes, &gt; than</x:v>
      </x:c>
      <x:c r="E11" s="109"/>
      <x:c r="F11" s="89" t="str">
        <x:v>5M2024 disclosure</x:v>
      </x:c>
      <x:c r="G11" s="89" t="str">
        <x:v>Cai Mep–Thi Vai</x:v>
      </x:c>
      <x:c r="H11" s="89" t="str">
        <x:v>Official network fact</x:v>
      </x:c>
      <x:c r="I11" s="89" t="str">
        <x:v>SRC-I02</x:v>
      </x:c>
      <x:c r="J11" s="89" t="str">
        <x:v>Southern connectivity</x:v>
      </x:c>
      <x:c r="K11" s="90" t="str">
        <x:v>Includes Europe, America and intra-Asia.</x:v>
      </x:c>
    </x:row>
    <x:row r="12" ht="38" customHeight="1">
      <x:c r="A12" s="88" t="str">
        <x:v>IND-006</x:v>
      </x:c>
      <x:c r="B12" s="89" t="str">
        <x:v>National container target — low</x:v>
      </x:c>
      <x:c r="C12" s="105" t="n">
        <x:v>48.6</x:v>
      </x:c>
      <x:c r="D12" s="89" t="str">
        <x:v>m TEU</x:v>
      </x:c>
      <x:c r="E12" s="109"/>
      <x:c r="F12" s="89" t="str">
        <x:v>2030</x:v>
      </x:c>
      <x:c r="G12" s="89" t="str">
        <x:v>Vietnam seaport plan</x:v>
      </x:c>
      <x:c r="H12" s="89" t="str">
        <x:v>Official planning target</x:v>
      </x:c>
      <x:c r="I12" s="89" t="str">
        <x:v>SRC-I03</x:v>
      </x:c>
      <x:c r="J12" s="89" t="str">
        <x:v>Long-term context</x:v>
      </x:c>
      <x:c r="K12" s="90" t="str">
        <x:v>Not a forecast or actual.</x:v>
      </x:c>
    </x:row>
    <x:row r="13" ht="38" customHeight="1">
      <x:c r="A13" s="88" t="str">
        <x:v>IND-007</x:v>
      </x:c>
      <x:c r="B13" s="89" t="str">
        <x:v>National container target — high</x:v>
      </x:c>
      <x:c r="C13" s="105" t="n">
        <x:v>57.4</x:v>
      </x:c>
      <x:c r="D13" s="89" t="str">
        <x:v>m TEU</x:v>
      </x:c>
      <x:c r="E13" s="109"/>
      <x:c r="F13" s="89" t="str">
        <x:v>2030</x:v>
      </x:c>
      <x:c r="G13" s="89" t="str">
        <x:v>Vietnam seaport plan</x:v>
      </x:c>
      <x:c r="H13" s="89" t="str">
        <x:v>Official planning target</x:v>
      </x:c>
      <x:c r="I13" s="89" t="str">
        <x:v>SRC-I03</x:v>
      </x:c>
      <x:c r="J13" s="89" t="str">
        <x:v>Long-term context</x:v>
      </x:c>
      <x:c r="K13" s="90" t="str">
        <x:v>Excludes transshipment.</x:v>
      </x:c>
    </x:row>
    <x:row r="14" ht="38" customHeight="1">
      <x:c r="A14" s="88" t="str">
        <x:v>IND-008</x:v>
      </x:c>
      <x:c r="B14" s="89" t="str">
        <x:v>Seaport Group 1 container target — low</x:v>
      </x:c>
      <x:c r="C14" s="105" t="n">
        <x:v>13</x:v>
      </x:c>
      <x:c r="D14" s="89" t="str">
        <x:v>m TEU</x:v>
      </x:c>
      <x:c r="E14" s="109"/>
      <x:c r="F14" s="89" t="str">
        <x:v>2030</x:v>
      </x:c>
      <x:c r="G14" s="89" t="str">
        <x:v>Hai Phong, Quang Ninh, Thai Binh, Nam Dinh, Ninh Binh</x:v>
      </x:c>
      <x:c r="H14" s="89" t="str">
        <x:v>Official planning target</x:v>
      </x:c>
      <x:c r="I14" s="89" t="str">
        <x:v>SRC-I04</x:v>
      </x:c>
      <x:c r="J14" s="89" t="str">
        <x:v>Northern-region context</x:v>
      </x:c>
      <x:c r="K14" s="90" t="str">
        <x:v>Not a forecast or actual.</x:v>
      </x:c>
    </x:row>
    <x:row r="15" ht="38" customHeight="1">
      <x:c r="A15" s="88" t="str">
        <x:v>IND-009</x:v>
      </x:c>
      <x:c r="B15" s="89" t="str">
        <x:v>Seaport Group 1 container target — high</x:v>
      </x:c>
      <x:c r="C15" s="105" t="n">
        <x:v>16</x:v>
      </x:c>
      <x:c r="D15" s="89" t="str">
        <x:v>m TEU</x:v>
      </x:c>
      <x:c r="E15" s="109"/>
      <x:c r="F15" s="89" t="str">
        <x:v>2030</x:v>
      </x:c>
      <x:c r="G15" s="89" t="str">
        <x:v>Hai Phong, Quang Ninh, Thai Binh, Nam Dinh, Ninh Binh</x:v>
      </x:c>
      <x:c r="H15" s="89" t="str">
        <x:v>Official planning target</x:v>
      </x:c>
      <x:c r="I15" s="89" t="str">
        <x:v>SRC-I04</x:v>
      </x:c>
      <x:c r="J15" s="89" t="str">
        <x:v>Northern-region context</x:v>
      </x:c>
      <x:c r="K15" s="90" t="str">
        <x:v>Not a forecast or actual.</x:v>
      </x:c>
    </x:row>
    <x:row r="16" ht="38" customHeight="1">
      <x:c r="A16" s="88" t="str">
        <x:v>IND-010</x:v>
      </x:c>
      <x:c r="B16" s="89" t="str">
        <x:v>Cai Mep–Thi Vai berths</x:v>
      </x:c>
      <x:c r="C16" s="105" t="n">
        <x:v>54</x:v>
      </x:c>
      <x:c r="D16" s="89" t="str">
        <x:v>berths</x:v>
      </x:c>
      <x:c r="E16" s="109"/>
      <x:c r="F16" s="89" t="str">
        <x:v>Current disclosure</x:v>
      </x:c>
      <x:c r="G16" s="89" t="str">
        <x:v>Cai Mep–Thi Vai</x:v>
      </x:c>
      <x:c r="H16" s="89" t="str">
        <x:v>Official physical fact</x:v>
      </x:c>
      <x:c r="I16" s="89" t="str">
        <x:v>SRC-I05</x:v>
      </x:c>
      <x:c r="J16" s="89" t="str">
        <x:v>Asset-cluster context</x:v>
      </x:c>
      <x:c r="K16" s="90" t="str">
        <x:v>Do not use the page's broad national-share wording without clarification.</x:v>
      </x:c>
    </x:row>
    <x:row r="17" ht="38" customHeight="1">
      <x:c r="A17" s="91" t="str">
        <x:v>IND-011</x:v>
      </x:c>
      <x:c r="B17" s="92" t="str">
        <x:v>Largest vessel received at Cai Mep–Thi Vai</x:v>
      </x:c>
      <x:c r="C17" s="107" t="n">
        <x:v>232494</x:v>
      </x:c>
      <x:c r="D17" s="92" t="str">
        <x:v>DWT</x:v>
      </x:c>
      <x:c r="E17" s="110"/>
      <x:c r="F17" s="92" t="str">
        <x:v>Current disclosure</x:v>
      </x:c>
      <x:c r="G17" s="92" t="str">
        <x:v>Cai Mep–Thi Vai</x:v>
      </x:c>
      <x:c r="H17" s="92" t="str">
        <x:v>Official physical fact</x:v>
      </x:c>
      <x:c r="I17" s="92" t="str">
        <x:v>SRC-I05</x:v>
      </x:c>
      <x:c r="J17" s="92" t="str">
        <x:v>Deep-water capability</x:v>
      </x:c>
      <x:c r="K17" s="93" t="str">
        <x:v>Vessel size is not annual capacity.</x:v>
      </x:c>
    </x:row>
  </x:sheetData>
  <x:mergeCells>
    <x:mergeCell ref="A1:K1"/>
    <x:mergeCell ref="A2:K2"/>
    <x:mergeCell ref="A4:K4"/>
  </x:mergeCells>
  <x:pageMargins left="0.7" right="0.7" top="0.75" bottom="0.75" header="0.3" footer="0.3"/>
  <x:legacyDrawing xmlns:r="http://schemas.openxmlformats.org/officeDocument/2006/relationships" r:id="R3d94624ad4bd4214"/>
  <x:tableParts count="1">
    <x:tablePart xmlns:r="http://schemas.openxmlformats.org/officeDocument/2006/relationships" r:id="R26a67f3149484203"/>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0" hidden="0" customWidth="1"/>
    <x:col min="2" max="2" width="16" hidden="0" customWidth="1"/>
    <x:col min="3" max="3" width="18" hidden="0" customWidth="1"/>
    <x:col min="4" max="4" width="14" hidden="0" customWidth="1"/>
    <x:col min="5" max="5" width="16" hidden="0" customWidth="1"/>
    <x:col min="6" max="6" width="16" hidden="0" customWidth="1"/>
    <x:col min="7" max="7" width="13" hidden="0" customWidth="1"/>
    <x:col min="8" max="8" width="16" hidden="0" customWidth="1"/>
    <x:col min="9" max="9" width="15" hidden="0" customWidth="1"/>
    <x:col min="10" max="10" width="13" hidden="0" customWidth="1"/>
    <x:col min="11" max="11" width="40" hidden="0" customWidth="1"/>
  </x:cols>
  <x:sheetData>
    <x:row r="1" ht="30" customHeight="1">
      <x:c r="A1" s="4" t="str">
        <x:v>GMD Historical — Financial and Segment Evidence</x:v>
      </x:c>
      <x:c r="B1" s="4" t="str">
        <x:v>GMD Historical — Financial and Segment Evidence</x:v>
      </x:c>
      <x:c r="C1" s="4" t="str">
        <x:v>GMD Historical — Financial and Segment Evidence</x:v>
      </x:c>
      <x:c r="D1" s="4" t="str">
        <x:v>GMD Historical — Financial and Segment Evidence</x:v>
      </x:c>
      <x:c r="E1" s="4" t="str">
        <x:v>GMD Historical — Financial and Segment Evidence</x:v>
      </x:c>
      <x:c r="F1" s="4" t="str">
        <x:v>GMD Historical — Financial and Segment Evidence</x:v>
      </x:c>
      <x:c r="G1" s="4" t="str">
        <x:v>GMD Historical — Financial and Segment Evidence</x:v>
      </x:c>
      <x:c r="H1" s="4" t="str">
        <x:v>GMD Historical — Financial and Segment Evidence</x:v>
      </x:c>
      <x:c r="I1" s="4" t="str">
        <x:v>GMD Historical — Financial and Segment Evidence</x:v>
      </x:c>
      <x:c r="J1" s="4" t="str">
        <x:v>GMD Historical — Financial and Segment Evidence</x:v>
      </x:c>
      <x:c r="K1" s="4" t="str">
        <x:v>GMD Historical — Financial and Segment Evidence</x:v>
      </x:c>
    </x:row>
    <x:row r="2" ht="34" customHeight="1">
      <x:c r="A2" s="9" t="str">
        <x:v>2020 remains a legacy issuer reference. All FY2021–FY2025 financial-statement values are formula-linked to Raw GMD VNStock; segment and core-PBT disclosures link to Raw GMD Disclosures.</x:v>
      </x:c>
      <x:c r="B2" s="9" t="str">
        <x:v>Historical actuals from the 2025 Annual Report. Green cells are formulas; blue cells are disclosed inputs.</x:v>
      </x:c>
      <x:c r="C2" s="9" t="str">
        <x:v>Historical actuals from the 2025 Annual Report. Green cells are formulas; blue cells are disclosed inputs.</x:v>
      </x:c>
      <x:c r="D2" s="9" t="str">
        <x:v>Historical actuals from the 2025 Annual Report. Green cells are formulas; blue cells are disclosed inputs.</x:v>
      </x:c>
      <x:c r="E2" s="9" t="str">
        <x:v>Historical actuals from the 2025 Annual Report. Green cells are formulas; blue cells are disclosed inputs.</x:v>
      </x:c>
      <x:c r="F2" s="9" t="str">
        <x:v>Historical actuals from the 2025 Annual Report. Green cells are formulas; blue cells are disclosed inputs.</x:v>
      </x:c>
      <x:c r="G2" s="9" t="str">
        <x:v>Historical actuals from the 2025 Annual Report. Green cells are formulas; blue cells are disclosed inputs.</x:v>
      </x:c>
      <x:c r="H2" s="9" t="str">
        <x:v>Historical actuals from the 2025 Annual Report. Green cells are formulas; blue cells are disclosed inputs.</x:v>
      </x:c>
      <x:c r="I2" s="9" t="str">
        <x:v>Historical actuals from the 2025 Annual Report. Green cells are formulas; blue cells are disclosed inputs.</x:v>
      </x:c>
      <x:c r="J2" s="9" t="str">
        <x:v>Historical actuals from the 2025 Annual Report. Green cells are formulas; blue cells are disclosed inputs.</x:v>
      </x:c>
      <x:c r="K2" s="9" t="str">
        <x:v>Historical actuals from the 2025 Annual Report. Green cells are formulas; blue cells are disclosed inputs.</x:v>
      </x:c>
    </x:row>
    <x:row r="4" ht="21" customHeight="1">
      <x:c r="A4" s="13" t="str">
        <x:v>Consolidated / disclosed historical series</x:v>
      </x:c>
      <x:c r="B4" s="13" t="str">
        <x:v>Consolidated / disclosed historical series</x:v>
      </x:c>
      <x:c r="C4" s="13" t="str">
        <x:v>Consolidated / disclosed historical series</x:v>
      </x:c>
      <x:c r="D4" s="13" t="str">
        <x:v>Consolidated / disclosed historical series</x:v>
      </x:c>
      <x:c r="E4" s="13" t="str">
        <x:v>Consolidated / disclosed historical series</x:v>
      </x:c>
      <x:c r="F4" s="13" t="str">
        <x:v>Consolidated / disclosed historical series</x:v>
      </x:c>
      <x:c r="G4" s="13" t="str">
        <x:v>Consolidated / disclosed historical series</x:v>
      </x:c>
      <x:c r="H4" s="13" t="str">
        <x:v>Consolidated / disclosed historical series</x:v>
      </x:c>
      <x:c r="I4" s="13" t="str">
        <x:v>Consolidated / disclosed historical series</x:v>
      </x:c>
      <x:c r="J4" s="13" t="str">
        <x:v>Consolidated / disclosed historical series</x:v>
      </x:c>
      <x:c r="K4" s="13" t="str">
        <x:v>Consolidated / disclosed historical series</x:v>
      </x:c>
    </x:row>
    <x:row r="6" ht="32" customHeight="1">
      <x:c r="A6" s="65" t="str">
        <x:v>Year</x:v>
      </x:c>
      <x:c r="B6" s="65" t="str">
        <x:v>Net revenue</x:v>
      </x:c>
      <x:c r="C6" s="65" t="str">
        <x:v>PBT / core PBT</x:v>
      </x:c>
      <x:c r="D6" s="65" t="str">
        <x:v>PBT margin</x:v>
      </x:c>
      <x:c r="E6" s="65" t="str">
        <x:v>Total assets</x:v>
      </x:c>
      <x:c r="F6" s="65" t="str">
        <x:v>Equity</x:v>
      </x:c>
      <x:c r="G6" s="65" t="str">
        <x:v>D/E</x:v>
      </x:c>
      <x:c r="H6" s="65" t="str">
        <x:v>Debt / assets</x:v>
      </x:c>
      <x:c r="I6" s="65" t="str">
        <x:v>Interest cover</x:v>
      </x:c>
      <x:c r="J6" s="65" t="str">
        <x:v>Source ID</x:v>
      </x:c>
      <x:c r="K6" s="65" t="str">
        <x:v>Data note</x:v>
      </x:c>
    </x:row>
    <x:row r="7" ht="32" customHeight="1">
      <x:c r="A7" s="85" t="n">
        <x:v>2020</x:v>
      </x:c>
      <x:c r="B7" s="121" t="n">
        <x:v>2606</x:v>
      </x:c>
      <x:c r="C7" s="121" t="n">
        <x:v>513</x:v>
      </x:c>
      <x:c r="D7" s="124" t="n">
        <x:f>C7/B7</x:f>
        <x:v>0.19685341519570224</x:v>
      </x:c>
      <x:c r="E7" s="121" t="n">
        <x:v>9835</x:v>
      </x:c>
      <x:c r="F7" s="121" t="n">
        <x:v>6595</x:v>
      </x:c>
      <x:c r="G7" s="127" t="n">
        <x:v>0.49</x:v>
      </x:c>
      <x:c r="H7" s="127" t="n">
        <x:v>0.33</x:v>
      </x:c>
      <x:c r="I7" s="127" t="n">
        <x:v>4.5</x:v>
      </x:c>
      <x:c r="J7" s="86" t="str">
        <x:v>SRC-G01</x:v>
      </x:c>
      <x:c r="K7" s="87" t="str">
        <x:v>Reported actual</x:v>
      </x:c>
    </x:row>
    <x:row r="8" ht="32" customHeight="1">
      <x:c r="A8" s="88" t="n">
        <x:v>2021</x:v>
      </x:c>
      <x:c r="B8" s="288" t="n">
        <x:f>'Raw GMD VNStock'!E8/'Raw GMD VNStock'!$B$3</x:f>
        <x:v>3206.290165333</x:v>
      </x:c>
      <x:c r="C8" s="288" t="n">
        <x:f>'Raw GMD Disclosures'!D5</x:f>
        <x:v>806.212</x:v>
      </x:c>
      <x:c r="D8" s="109" t="n">
        <x:f>C8/B8</x:f>
        <x:v>0.25144698652570896</x:v>
      </x:c>
      <x:c r="E8" s="288" t="n">
        <x:f>'Raw GMD VNStock'!E83/'Raw GMD VNStock'!$B$3</x:f>
        <x:v>10731.211063284</x:v>
      </x:c>
      <x:c r="F8" s="288" t="n">
        <x:f>'Raw GMD VNStock'!E107/'Raw GMD VNStock'!$B$3</x:f>
        <x:v>7044.618371909</x:v>
      </x:c>
      <x:c r="G8" s="125" t="n">
        <x:f>('Raw GMD VNStock'!E86+'Raw GMD VNStock'!E101)/'Raw GMD VNStock'!E107</x:f>
        <x:v>0.27279115980007895</x:v>
      </x:c>
      <x:c r="H8" s="125" t="n">
        <x:f>('Raw GMD VNStock'!E86+'Raw GMD VNStock'!E101)/'Raw GMD VNStock'!E83</x:f>
        <x:v>0.179076676871726</x:v>
      </x:c>
      <x:c r="I8" s="368" t="n">
        <x:f>'P3 Historical IS'!C32/'P3 Historical IS'!C19</x:f>
        <x:v>7.76052008476036</x:v>
      </x:c>
      <x:c r="J8" s="89" t="str">
        <x:v>SRC-API01 / SRC-G01</x:v>
      </x:c>
      <x:c r="K8" s="90" t="str">
        <x:v>Linked to raw sheets; core PBT uses issuer normalization where disclosed.</x:v>
      </x:c>
    </x:row>
    <x:row r="9" ht="32" customHeight="1">
      <x:c r="A9" s="88" t="n">
        <x:v>2022</x:v>
      </x:c>
      <x:c r="B9" s="288" t="n">
        <x:f>'Raw GMD VNStock'!F8/'Raw GMD VNStock'!$B$3</x:f>
        <x:v>3898.24360857</x:v>
      </x:c>
      <x:c r="C9" s="288" t="n">
        <x:f>'Raw GMD Disclosures'!E5</x:f>
        <x:v>1308.478</x:v>
      </x:c>
      <x:c r="D9" s="109" t="n">
        <x:f>C9/B9</x:f>
        <x:v>0.3356583454978052</x:v>
      </x:c>
      <x:c r="E9" s="288" t="n">
        <x:f>'Raw GMD VNStock'!F83/'Raw GMD VNStock'!$B$3</x:f>
        <x:v>13030.653009572</x:v>
      </x:c>
      <x:c r="F9" s="288" t="n">
        <x:f>'Raw GMD VNStock'!F107/'Raw GMD VNStock'!$B$3</x:f>
        <x:v>7947.756019956</x:v>
      </x:c>
      <x:c r="G9" s="125" t="n">
        <x:f>('Raw GMD VNStock'!F86+'Raw GMD VNStock'!F101)/'Raw GMD VNStock'!F107</x:f>
        <x:v>0.2553649971033253</x:v>
      </x:c>
      <x:c r="H9" s="125" t="n">
        <x:f>('Raw GMD VNStock'!F86+'Raw GMD VNStock'!F101)/'Raw GMD VNStock'!F83</x:f>
        <x:v>0.155754181430748</x:v>
      </x:c>
      <x:c r="I9" s="368" t="n">
        <x:f>'P3 Historical IS'!D32/'P3 Historical IS'!D19</x:f>
        <x:v>11.006944358055453</x:v>
      </x:c>
      <x:c r="J9" s="89" t="str">
        <x:v>SRC-API01 / SRC-G01</x:v>
      </x:c>
      <x:c r="K9" s="90" t="str">
        <x:v>Linked to raw sheets; core PBT uses issuer normalization where disclosed.</x:v>
      </x:c>
    </x:row>
    <x:row r="10" ht="32" customHeight="1">
      <x:c r="A10" s="88" t="n">
        <x:v>2023</x:v>
      </x:c>
      <x:c r="B10" s="288" t="n">
        <x:f>'Raw GMD VNStock'!G8/'Raw GMD VNStock'!$B$3</x:f>
        <x:v>3845.826296568</x:v>
      </x:c>
      <x:c r="C10" s="288" t="n">
        <x:f>'Raw GMD Disclosures'!F5</x:f>
        <x:v>1307</x:v>
      </x:c>
      <x:c r="D10" s="109" t="n">
        <x:f>C10/B10</x:f>
        <x:v>0.3398489425188968</x:v>
      </x:c>
      <x:c r="E10" s="288" t="n">
        <x:f>'Raw GMD VNStock'!G83/'Raw GMD VNStock'!$B$3</x:f>
        <x:v>13546.025168428</x:v>
      </x:c>
      <x:c r="F10" s="288" t="n">
        <x:f>'Raw GMD VNStock'!G107/'Raw GMD VNStock'!$B$3</x:f>
        <x:v>9732.374052019</x:v>
      </x:c>
      <x:c r="G10" s="125" t="n">
        <x:f>('Raw GMD VNStock'!G86+'Raw GMD VNStock'!G101)/'Raw GMD VNStock'!G107</x:f>
        <x:v>0.20177481834410346</x:v>
      </x:c>
      <x:c r="H10" s="125" t="n">
        <x:f>('Raw GMD VNStock'!G86+'Raw GMD VNStock'!G101)/'Raw GMD VNStock'!G83</x:f>
        <x:v>0.14496857801356725</x:v>
      </x:c>
      <x:c r="I10" s="368" t="n">
        <x:f>'P3 Historical IS'!E32/'P3 Historical IS'!E19</x:f>
        <x:v>10.681973565134351</x:v>
      </x:c>
      <x:c r="J10" s="89" t="str">
        <x:v>SRC-API01 / SRC-G01</x:v>
      </x:c>
      <x:c r="K10" s="90" t="str">
        <x:v>Linked to raw sheets; core PBT uses issuer normalization where disclosed.</x:v>
      </x:c>
    </x:row>
    <x:row r="11" ht="32" customHeight="1">
      <x:c r="A11" s="88" t="n">
        <x:v>2024</x:v>
      </x:c>
      <x:c r="B11" s="288" t="n">
        <x:f>'Raw GMD VNStock'!H8/'Raw GMD VNStock'!$B$3</x:f>
        <x:v>4832.024798961</x:v>
      </x:c>
      <x:c r="C11" s="288" t="n">
        <x:f>'Raw GMD Disclosures'!G5</x:f>
        <x:v>1781</x:v>
      </x:c>
      <x:c r="D11" s="109" t="n">
        <x:f>C11/B11</x:f>
        <x:v>0.36858254543373975</x:v>
      </x:c>
      <x:c r="E11" s="288" t="n">
        <x:f>'Raw GMD VNStock'!H83/'Raw GMD VNStock'!$B$3</x:f>
        <x:v>17997.853312717</x:v>
      </x:c>
      <x:c r="F11" s="288" t="n">
        <x:f>'Raw GMD VNStock'!H107/'Raw GMD VNStock'!$B$3</x:f>
        <x:v>13771.926002556</x:v>
      </x:c>
      <x:c r="G11" s="125" t="n">
        <x:f>('Raw GMD VNStock'!H86+'Raw GMD VNStock'!H101)/'Raw GMD VNStock'!H107</x:f>
        <x:v>0.15737691151591612</x:v>
      </x:c>
      <x:c r="H11" s="125" t="n">
        <x:f>('Raw GMD VNStock'!H86+'Raw GMD VNStock'!H101)/'Raw GMD VNStock'!H83</x:f>
        <x:v>0.12042453854074703</x:v>
      </x:c>
      <x:c r="I11" s="368" t="n">
        <x:f>'P3 Historical IS'!F32/'P3 Historical IS'!F19</x:f>
        <x:v>13.768169022452458</x:v>
      </x:c>
      <x:c r="J11" s="89" t="str">
        <x:v>SRC-API01 / SRC-G01</x:v>
      </x:c>
      <x:c r="K11" s="90" t="str">
        <x:v>Linked to raw sheets; core PBT uses issuer normalization where disclosed.</x:v>
      </x:c>
    </x:row>
    <x:row r="12" ht="32" customHeight="1">
      <x:c r="A12" s="91" t="n">
        <x:v>2025</x:v>
      </x:c>
      <x:c r="B12" s="360" t="n">
        <x:f>'Raw GMD VNStock'!I8/'Raw GMD VNStock'!$B$3</x:f>
        <x:v>5956.025297015</x:v>
      </x:c>
      <x:c r="C12" s="360" t="n">
        <x:f>'Raw GMD Disclosures'!H5</x:f>
        <x:v>2520.827</x:v>
      </x:c>
      <x:c r="D12" s="110" t="n">
        <x:f>C12/B12</x:f>
        <x:v>0.42323980747082635</x:v>
      </x:c>
      <x:c r="E12" s="360" t="n">
        <x:f>'Raw GMD VNStock'!I83/'Raw GMD VNStock'!$B$3</x:f>
        <x:v>19826.401375577</x:v>
      </x:c>
      <x:c r="F12" s="360" t="n">
        <x:f>'Raw GMD VNStock'!I107/'Raw GMD VNStock'!$B$3</x:f>
        <x:v>14918.254153163</x:v>
      </x:c>
      <x:c r="G12" s="126" t="n">
        <x:f>('Raw GMD VNStock'!I86+'Raw GMD VNStock'!I101)/'Raw GMD VNStock'!I107</x:f>
        <x:v>0.160150272988173</x:v>
      </x:c>
      <x:c r="H12" s="126" t="n">
        <x:f>('Raw GMD VNStock'!I86+'Raw GMD VNStock'!I101)/'Raw GMD VNStock'!I83</x:f>
        <x:v>0.12050409097835936</x:v>
      </x:c>
      <x:c r="I12" s="369" t="n">
        <x:f>'P3 Historical IS'!G32/'P3 Historical IS'!G19</x:f>
        <x:v>23.391279444272957</x:v>
      </x:c>
      <x:c r="J12" s="92" t="str">
        <x:v>SRC-API01 / SRC-G01</x:v>
      </x:c>
      <x:c r="K12" s="93" t="str">
        <x:v>Linked to raw sheets; core PBT uses issuer normalization where disclosed.</x:v>
      </x:c>
    </x:row>
    <x:row r="15" ht="21" customHeight="1">
      <x:c r="A15" s="13" t="str">
        <x:v>Revenue mix and operating-cost disclosures</x:v>
      </x:c>
      <x:c r="B15" s="13" t="str">
        <x:v>Revenue mix and operating-cost disclosures</x:v>
      </x:c>
      <x:c r="C15" s="13" t="str">
        <x:v>Revenue mix and operating-cost disclosures</x:v>
      </x:c>
      <x:c r="D15" s="13" t="str">
        <x:v>Revenue mix and operating-cost disclosures</x:v>
      </x:c>
      <x:c r="E15" s="13" t="str">
        <x:v>Revenue mix and operating-cost disclosures</x:v>
      </x:c>
      <x:c r="F15" s="13" t="str">
        <x:v>Revenue mix and operating-cost disclosures</x:v>
      </x:c>
      <x:c r="G15" s="13" t="str">
        <x:v>Revenue mix and operating-cost disclosures</x:v>
      </x:c>
      <x:c r="H15" s="13" t="str">
        <x:v>Revenue mix and operating-cost disclosures</x:v>
      </x:c>
      <x:c r="I15" s="13" t="str">
        <x:v>Revenue mix and operating-cost disclosures</x:v>
      </x:c>
      <x:c r="J15" s="13" t="str">
        <x:v>Revenue mix and operating-cost disclosures</x:v>
      </x:c>
      <x:c r="K15" s="13" t="str">
        <x:v>Revenue mix and operating-cost disclosures</x:v>
      </x:c>
    </x:row>
    <x:row r="17" ht="32" customHeight="1">
      <x:c r="A17" s="65" t="str">
        <x:v>Year</x:v>
      </x:c>
      <x:c r="B17" s="65" t="str">
        <x:v>Port revenue</x:v>
      </x:c>
      <x:c r="C17" s="65" t="str">
        <x:v>Logistics revenue</x:v>
      </x:c>
      <x:c r="D17" s="65" t="str">
        <x:v>Port mix</x:v>
      </x:c>
      <x:c r="E17" s="65" t="str">
        <x:v>COGS</x:v>
      </x:c>
      <x:c r="F17" s="65" t="str">
        <x:v>Selling expense</x:v>
      </x:c>
      <x:c r="G17" s="65" t="str">
        <x:v>G&amp;A</x:v>
      </x:c>
      <x:c r="H17" s="65" t="str">
        <x:v>Interest expense</x:v>
      </x:c>
      <x:c r="I17" s="65" t="str">
        <x:v>Source ID</x:v>
      </x:c>
    </x:row>
    <x:row r="18" ht="29" customHeight="1">
      <x:c r="A18" s="85" t="n">
        <x:v>2021</x:v>
      </x:c>
      <x:c r="B18" s="287" t="n">
        <x:f>'Raw GMD Disclosures'!D7</x:f>
        <x:v>2762.788218</x:v>
      </x:c>
      <x:c r="C18" s="287" t="n">
        <x:f>'Raw GMD Disclosures'!D8</x:f>
        <x:v>429.904936</x:v>
      </x:c>
      <x:c r="D18" s="111" t="n">
        <x:f>B18/SUM(B18:C18)</x:f>
        <x:v>0.8653472428249521</x:v>
      </x:c>
      <x:c r="E18" s="287" t="n">
        <x:f>-'Raw GMD VNStock'!E9/'Raw GMD VNStock'!$B$3</x:f>
        <x:v>2064.489230639</x:v>
      </x:c>
      <x:c r="F18" s="287" t="n">
        <x:f>-'Raw GMD VNStock'!E14/'Raw GMD VNStock'!$B$3</x:f>
        <x:v>154.146091638</x:v>
      </x:c>
      <x:c r="G18" s="287" t="n">
        <x:f>-'Raw GMD VNStock'!E15/'Raw GMD VNStock'!$B$3</x:f>
        <x:v>294.784653891</x:v>
      </x:c>
      <x:c r="H18" s="287" t="n">
        <x:f>-'Raw GMD VNStock'!E13/'Raw GMD VNStock'!$B$3</x:f>
        <x:v>119.252955378</x:v>
      </x:c>
      <x:c r="I18" s="86" t="str">
        <x:v>SRC-API01 / issuer AR</x:v>
      </x:c>
    </x:row>
    <x:row r="19" ht="29" customHeight="1">
      <x:c r="A19" s="88" t="n">
        <x:v>2022</x:v>
      </x:c>
      <x:c r="B19" s="288" t="n">
        <x:f>'Raw GMD Disclosures'!E7</x:f>
        <x:v>3086.178236</x:v>
      </x:c>
      <x:c r="C19" s="288" t="n">
        <x:f>'Raw GMD Disclosures'!E8</x:f>
        <x:v>810.822008</x:v>
      </x:c>
      <x:c r="D19" s="109" t="n">
        <x:f>B19/SUM(B19:C19)</x:f>
        <x:v>0.7919368854933025</x:v>
      </x:c>
      <x:c r="E19" s="288" t="n">
        <x:f>-'Raw GMD VNStock'!F9/'Raw GMD VNStock'!$B$3</x:f>
        <x:v>2180.183031483</x:v>
      </x:c>
      <x:c r="F19" s="288" t="n">
        <x:f>-'Raw GMD VNStock'!F14/'Raw GMD VNStock'!$B$3</x:f>
        <x:v>142.172449496</x:v>
      </x:c>
      <x:c r="G19" s="288" t="n">
        <x:f>-'Raw GMD VNStock'!F15/'Raw GMD VNStock'!$B$3</x:f>
        <x:v>524.441250459</x:v>
      </x:c>
      <x:c r="H19" s="288" t="n">
        <x:f>-'Raw GMD VNStock'!F13/'Raw GMD VNStock'!$B$3</x:f>
        <x:v>130.756997659</x:v>
      </x:c>
      <x:c r="I19" s="89" t="str">
        <x:v>SRC-API01 / issuer AR</x:v>
      </x:c>
    </x:row>
    <x:row r="20" ht="29" customHeight="1">
      <x:c r="A20" s="88" t="n">
        <x:v>2023</x:v>
      </x:c>
      <x:c r="B20" s="288" t="n">
        <x:f>'Raw GMD Disclosures'!F7</x:f>
        <x:v>2908.540764</x:v>
      </x:c>
      <x:c r="C20" s="288" t="n">
        <x:f>'Raw GMD Disclosures'!F8</x:f>
        <x:v>935.815647</x:v>
      </x:c>
      <x:c r="D20" s="109" t="n">
        <x:f>B20/SUM(B20:C20)</x:f>
        <x:v>0.7565741708228936</x:v>
      </x:c>
      <x:c r="E20" s="288" t="n">
        <x:f>-'Raw GMD VNStock'!G9/'Raw GMD VNStock'!$B$3</x:f>
        <x:v>2067.811109265</x:v>
      </x:c>
      <x:c r="F20" s="288" t="n">
        <x:f>-'Raw GMD VNStock'!G14/'Raw GMD VNStock'!$B$3</x:f>
        <x:v>109.543154417</x:v>
      </x:c>
      <x:c r="G20" s="288" t="n">
        <x:f>-'Raw GMD VNStock'!G15/'Raw GMD VNStock'!$B$3</x:f>
        <x:v>551.943343263</x:v>
      </x:c>
      <x:c r="H20" s="288" t="n">
        <x:f>-'Raw GMD VNStock'!G13/'Raw GMD VNStock'!$B$3</x:f>
        <x:v>134.993138662</x:v>
      </x:c>
      <x:c r="I20" s="89" t="str">
        <x:v>SRC-API01 / issuer AR</x:v>
      </x:c>
    </x:row>
    <x:row r="21" ht="29" customHeight="1">
      <x:c r="A21" s="88" t="n">
        <x:v>2024</x:v>
      </x:c>
      <x:c r="B21" s="288" t="n">
        <x:f>'Raw GMD Disclosures'!G7</x:f>
        <x:v>4190.786438</x:v>
      </x:c>
      <x:c r="C21" s="288" t="n">
        <x:f>'Raw GMD Disclosures'!G8</x:f>
        <x:v>630.775427</x:v>
      </x:c>
      <x:c r="D21" s="109" t="n">
        <x:f>B21/SUM(B21:C21)</x:f>
        <x:v>0.8691761207962848</x:v>
      </x:c>
      <x:c r="E21" s="288" t="n">
        <x:f>-'Raw GMD VNStock'!H9/'Raw GMD VNStock'!$B$3</x:f>
        <x:v>2696.544401941</x:v>
      </x:c>
      <x:c r="F21" s="288" t="n">
        <x:f>-'Raw GMD VNStock'!H14/'Raw GMD VNStock'!$B$3</x:f>
        <x:v>247.200313981</x:v>
      </x:c>
      <x:c r="G21" s="288" t="n">
        <x:f>-'Raw GMD VNStock'!H15/'Raw GMD VNStock'!$B$3</x:f>
        <x:v>574.83848571</x:v>
      </x:c>
      <x:c r="H21" s="288" t="n">
        <x:f>-'Raw GMD VNStock'!H13/'Raw GMD VNStock'!$B$3</x:f>
        <x:v>139.487501839</x:v>
      </x:c>
      <x:c r="I21" s="89" t="str">
        <x:v>SRC-API01 / issuer AR</x:v>
      </x:c>
    </x:row>
    <x:row r="22" ht="29" customHeight="1">
      <x:c r="A22" s="91" t="n">
        <x:v>2025</x:v>
      </x:c>
      <x:c r="B22" s="360" t="n">
        <x:f>'Raw GMD Disclosures'!H7</x:f>
        <x:v>5254.22761</x:v>
      </x:c>
      <x:c r="C22" s="360" t="n">
        <x:f>'Raw GMD Disclosures'!H8</x:f>
        <x:v>693.74057</x:v>
      </x:c>
      <x:c r="D22" s="110" t="n">
        <x:f>B22/SUM(B22:C22)</x:f>
        <x:v>0.8833651174643641</x:v>
      </x:c>
      <x:c r="E22" s="360" t="n">
        <x:f>-'Raw GMD VNStock'!I9/'Raw GMD VNStock'!$B$3</x:f>
        <x:v>3216.552758085</x:v>
      </x:c>
      <x:c r="F22" s="360" t="n">
        <x:f>-'Raw GMD VNStock'!I14/'Raw GMD VNStock'!$B$3</x:f>
        <x:v>481.965603944</x:v>
      </x:c>
      <x:c r="G22" s="360" t="n">
        <x:f>-'Raw GMD VNStock'!I15/'Raw GMD VNStock'!$B$3</x:f>
        <x:v>610.544456639</x:v>
      </x:c>
      <x:c r="H22" s="360" t="n">
        <x:f>-'Raw GMD VNStock'!I13/'Raw GMD VNStock'!$B$3</x:f>
        <x:v>112.580748513</x:v>
      </x:c>
      <x:c r="I22" s="92" t="str">
        <x:v>SRC-API01 / issuer AR</x:v>
      </x:c>
    </x:row>
  </x:sheetData>
  <x:mergeCells>
    <x:mergeCell ref="A1:K1"/>
    <x:mergeCell ref="A2:K2"/>
    <x:mergeCell ref="A4:K4"/>
    <x:mergeCell ref="A15:K15"/>
  </x:mergeCells>
  <x:pageMargins left="0.7" right="0.7" top="0.75" bottom="0.75" header="0.3" footer="0.3"/>
  <x:legacyDrawing xmlns:r="http://schemas.openxmlformats.org/officeDocument/2006/relationships" r:id="Rbd999d5dfca04686"/>
  <x:tableParts count="2">
    <x:tablePart xmlns:r="http://schemas.openxmlformats.org/officeDocument/2006/relationships" r:id="Re0651fdc593147e6"/>
    <x:tablePart xmlns:r="http://schemas.openxmlformats.org/officeDocument/2006/relationships" r:id="Rc09807891b47416f"/>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31" hidden="0" customWidth="1"/>
    <x:col min="3" max="3" width="13" hidden="0" customWidth="1"/>
    <x:col min="4" max="4" width="27" hidden="0" customWidth="1"/>
    <x:col min="5" max="5" width="15" hidden="0" customWidth="1"/>
    <x:col min="6" max="6" width="14" hidden="0" customWidth="1"/>
    <x:col min="7" max="7" width="24" hidden="0" customWidth="1"/>
    <x:col min="8" max="8" width="21" hidden="0" customWidth="1"/>
    <x:col min="9" max="9" width="19" hidden="0" customWidth="1"/>
    <x:col min="10" max="10" width="54" hidden="0" customWidth="1"/>
  </x:cols>
  <x:sheetData>
    <x:row r="1" ht="30" customHeight="1">
      <x:c r="A1" s="4" t="str">
        <x:v>GMD Operations — Throughput, Capacity and Asset Facts</x:v>
      </x:c>
      <x:c r="B1" s="4" t="str">
        <x:v>GMD Operations — Throughput, Capacity and Asset Facts</x:v>
      </x:c>
      <x:c r="C1" s="4" t="str">
        <x:v>GMD Operations — Throughput, Capacity and Asset Facts</x:v>
      </x:c>
      <x:c r="D1" s="4" t="str">
        <x:v>GMD Operations — Throughput, Capacity and Asset Facts</x:v>
      </x:c>
      <x:c r="E1" s="4" t="str">
        <x:v>GMD Operations — Throughput, Capacity and Asset Facts</x:v>
      </x:c>
      <x:c r="F1" s="4" t="str">
        <x:v>GMD Operations — Throughput, Capacity and Asset Facts</x:v>
      </x:c>
      <x:c r="G1" s="4" t="str">
        <x:v>GMD Operations — Throughput, Capacity and Asset Facts</x:v>
      </x:c>
      <x:c r="H1" s="4" t="str">
        <x:v>GMD Operations — Throughput, Capacity and Asset Facts</x:v>
      </x:c>
      <x:c r="I1" s="4" t="str">
        <x:v>GMD Operations — Throughput, Capacity and Asset Facts</x:v>
      </x:c>
      <x:c r="J1" s="4" t="str">
        <x:v>GMD Operations — Throughput, Capacity and Asset Facts</x:v>
      </x:c>
    </x:row>
    <x:row r="2" ht="34" customHeight="1">
      <x:c r="A2" s="9" t="str">
        <x:v>The sheet preserves each disclosed unit and definition. Two Nam Dinh Vu Phase 3 capacity figures are shown deliberately as an unresolved source variance.</x:v>
      </x:c>
      <x:c r="B2" s="9" t="str">
        <x:v>The sheet preserves each disclosed unit and definition. Two Nam Dinh Vu Phase 3 capacity figures are shown deliberately as an unresolved source variance.</x:v>
      </x:c>
      <x:c r="C2" s="9" t="str">
        <x:v>The sheet preserves each disclosed unit and definition. Two Nam Dinh Vu Phase 3 capacity figures are shown deliberately as an unresolved source variance.</x:v>
      </x:c>
      <x:c r="D2" s="9" t="str">
        <x:v>The sheet preserves each disclosed unit and definition. Two Nam Dinh Vu Phase 3 capacity figures are shown deliberately as an unresolved source variance.</x:v>
      </x:c>
      <x:c r="E2" s="9" t="str">
        <x:v>The sheet preserves each disclosed unit and definition. Two Nam Dinh Vu Phase 3 capacity figures are shown deliberately as an unresolved source variance.</x:v>
      </x:c>
      <x:c r="F2" s="9" t="str">
        <x:v>The sheet preserves each disclosed unit and definition. Two Nam Dinh Vu Phase 3 capacity figures are shown deliberately as an unresolved source variance.</x:v>
      </x:c>
      <x:c r="G2" s="9" t="str">
        <x:v>The sheet preserves each disclosed unit and definition. Two Nam Dinh Vu Phase 3 capacity figures are shown deliberately as an unresolved source variance.</x:v>
      </x:c>
      <x:c r="H2" s="9" t="str">
        <x:v>The sheet preserves each disclosed unit and definition. Two Nam Dinh Vu Phase 3 capacity figures are shown deliberately as an unresolved source variance.</x:v>
      </x:c>
      <x:c r="I2" s="9" t="str">
        <x:v>The sheet preserves each disclosed unit and definition. Two Nam Dinh Vu Phase 3 capacity figures are shown deliberately as an unresolved source variance.</x:v>
      </x:c>
      <x:c r="J2" s="9" t="str">
        <x:v>The sheet preserves each disclosed unit and definition. Two Nam Dinh Vu Phase 3 capacity figures are shown deliberately as an unresolved source variance.</x:v>
      </x:c>
    </x:row>
    <x:row r="4" ht="21" customHeight="1">
      <x:c r="A4" s="13" t="str">
        <x:v>Verified operating facts</x:v>
      </x:c>
      <x:c r="B4" s="13" t="str">
        <x:v>Verified operating facts</x:v>
      </x:c>
      <x:c r="C4" s="13" t="str">
        <x:v>Verified operating facts</x:v>
      </x:c>
      <x:c r="D4" s="13" t="str">
        <x:v>Verified operating facts</x:v>
      </x:c>
      <x:c r="E4" s="13" t="str">
        <x:v>Verified operating facts</x:v>
      </x:c>
      <x:c r="F4" s="13" t="str">
        <x:v>Verified operating facts</x:v>
      </x:c>
      <x:c r="G4" s="13" t="str">
        <x:v>Verified operating facts</x:v>
      </x:c>
      <x:c r="H4" s="13" t="str">
        <x:v>Verified operating facts</x:v>
      </x:c>
      <x:c r="I4" s="13" t="str">
        <x:v>Verified operating facts</x:v>
      </x:c>
      <x:c r="J4" s="13" t="str">
        <x:v>Verified operating facts</x:v>
      </x:c>
    </x:row>
    <x:row r="6" ht="32" customHeight="1">
      <x:c r="A6" s="65" t="str">
        <x:v>Data ID</x:v>
      </x:c>
      <x:c r="B6" s="65" t="str">
        <x:v>Asset / cluster</x:v>
      </x:c>
      <x:c r="C6" s="65" t="str">
        <x:v>Region</x:v>
      </x:c>
      <x:c r="D6" s="65" t="str">
        <x:v>Metric</x:v>
      </x:c>
      <x:c r="E6" s="65" t="str">
        <x:v>Value</x:v>
      </x:c>
      <x:c r="F6" s="65" t="str">
        <x:v>Unit</x:v>
      </x:c>
      <x:c r="G6" s="65" t="str">
        <x:v>Period / status</x:v>
      </x:c>
      <x:c r="H6" s="65" t="str">
        <x:v>Data class</x:v>
      </x:c>
      <x:c r="I6" s="65" t="str">
        <x:v>Source ID</x:v>
      </x:c>
      <x:c r="J6" s="65" t="str">
        <x:v>Audit note</x:v>
      </x:c>
    </x:row>
    <x:row r="7" ht="36" customHeight="1">
      <x:c r="A7" s="85" t="str">
        <x:v>GMD-OP-01</x:v>
      </x:c>
      <x:c r="B7" s="86" t="str">
        <x:v>System</x:v>
      </x:c>
      <x:c r="C7" s="86" t="str">
        <x:v>Vietnam</x:v>
      </x:c>
      <x:c r="D7" s="86" t="str">
        <x:v>Container throughput</x:v>
      </x:c>
      <x:c r="E7" s="136" t="n">
        <x:v>5.079</x:v>
      </x:c>
      <x:c r="F7" s="86" t="str">
        <x:v>m TEU</x:v>
      </x:c>
      <x:c r="G7" s="86" t="str">
        <x:v>FY2025</x:v>
      </x:c>
      <x:c r="H7" s="86" t="str">
        <x:v>Actual</x:v>
      </x:c>
      <x:c r="I7" s="86" t="str">
        <x:v>SRC-G01</x:v>
      </x:c>
      <x:c r="J7" s="87" t="str">
        <x:v>Annual-report chart; exceeds 5m TEU.</x:v>
      </x:c>
    </x:row>
    <x:row r="8" ht="36" customHeight="1">
      <x:c r="A8" s="88" t="str">
        <x:v>GMD-OP-02</x:v>
      </x:c>
      <x:c r="B8" s="89" t="str">
        <x:v>System</x:v>
      </x:c>
      <x:c r="C8" s="89" t="str">
        <x:v>Vietnam</x:v>
      </x:c>
      <x:c r="D8" s="89" t="str">
        <x:v>National market share</x:v>
      </x:c>
      <x:c r="E8" s="116" t="n">
        <x:v>0.15</x:v>
      </x:c>
      <x:c r="F8" s="89" t="str">
        <x:v>share</x:v>
      </x:c>
      <x:c r="G8" s="89" t="str">
        <x:v>FY2025</x:v>
      </x:c>
      <x:c r="H8" s="89" t="str">
        <x:v>Issuer estimate</x:v>
      </x:c>
      <x:c r="I8" s="89" t="str">
        <x:v>SRC-G01</x:v>
      </x:c>
      <x:c r="J8" s="90" t="str">
        <x:v>Approximate share disclosed by company.</x:v>
      </x:c>
    </x:row>
    <x:row r="9" ht="36" customHeight="1">
      <x:c r="A9" s="88" t="str">
        <x:v>GMD-OP-03</x:v>
      </x:c>
      <x:c r="B9" s="89" t="str">
        <x:v>System</x:v>
      </x:c>
      <x:c r="C9" s="89" t="str">
        <x:v>Vietnam</x:v>
      </x:c>
      <x:c r="D9" s="89" t="str">
        <x:v>Container throughput</x:v>
      </x:c>
      <x:c r="E9" s="137" t="n">
        <x:v>1.233</x:v>
      </x:c>
      <x:c r="F9" s="89" t="str">
        <x:v>m TEU</x:v>
      </x:c>
      <x:c r="G9" s="89" t="str">
        <x:v>Q1 2026</x:v>
      </x:c>
      <x:c r="H9" s="89" t="str">
        <x:v>Actual</x:v>
      </x:c>
      <x:c r="I9" s="89" t="str">
        <x:v>SRC-G02</x:v>
      </x:c>
      <x:c r="J9" s="90" t="str">
        <x:v>Approximately +8% YoY.</x:v>
      </x:c>
    </x:row>
    <x:row r="10" ht="36" customHeight="1">
      <x:c r="A10" s="88" t="str">
        <x:v>GMD-OP-04</x:v>
      </x:c>
      <x:c r="B10" s="89" t="str">
        <x:v>Northern ports</x:v>
      </x:c>
      <x:c r="C10" s="89" t="str">
        <x:v>North</x:v>
      </x:c>
      <x:c r="D10" s="89" t="str">
        <x:v>Container throughput</x:v>
      </x:c>
      <x:c r="E10" s="137" t="n">
        <x:v>0.327</x:v>
      </x:c>
      <x:c r="F10" s="89" t="str">
        <x:v>m TEU</x:v>
      </x:c>
      <x:c r="G10" s="89" t="str">
        <x:v>Q1 2026</x:v>
      </x:c>
      <x:c r="H10" s="89" t="str">
        <x:v>Actual</x:v>
      </x:c>
      <x:c r="I10" s="89" t="str">
        <x:v>SRC-G02</x:v>
      </x:c>
      <x:c r="J10" s="90" t="str">
        <x:v>Regional map disclosure.</x:v>
      </x:c>
    </x:row>
    <x:row r="11" ht="36" customHeight="1">
      <x:c r="A11" s="88" t="str">
        <x:v>GMD-OP-05</x:v>
      </x:c>
      <x:c r="B11" s="89" t="str">
        <x:v>Northern ports</x:v>
      </x:c>
      <x:c r="C11" s="89" t="str">
        <x:v>North</x:v>
      </x:c>
      <x:c r="D11" s="89" t="str">
        <x:v>Market share</x:v>
      </x:c>
      <x:c r="E11" s="116" t="n">
        <x:v>0.165</x:v>
      </x:c>
      <x:c r="F11" s="89" t="str">
        <x:v>share</x:v>
      </x:c>
      <x:c r="G11" s="89" t="str">
        <x:v>Q1 2026</x:v>
      </x:c>
      <x:c r="H11" s="89" t="str">
        <x:v>Issuer estimate</x:v>
      </x:c>
      <x:c r="I11" s="89" t="str">
        <x:v>SRC-G02</x:v>
      </x:c>
      <x:c r="J11" s="90" t="str">
        <x:v>Regional map disclosure.</x:v>
      </x:c>
    </x:row>
    <x:row r="12" ht="36" customHeight="1">
      <x:c r="A12" s="88" t="str">
        <x:v>GMD-OP-06</x:v>
      </x:c>
      <x:c r="B12" s="89" t="str">
        <x:v>Dung Quat / Central</x:v>
      </x:c>
      <x:c r="C12" s="89" t="str">
        <x:v>Central</x:v>
      </x:c>
      <x:c r="D12" s="89" t="str">
        <x:v>Cargo throughput</x:v>
      </x:c>
      <x:c r="E12" s="137" t="n">
        <x:v>0.696</x:v>
      </x:c>
      <x:c r="F12" s="89" t="str">
        <x:v>mn tonnes</x:v>
      </x:c>
      <x:c r="G12" s="89" t="str">
        <x:v>Q1 2026</x:v>
      </x:c>
      <x:c r="H12" s="89" t="str">
        <x:v>Actual</x:v>
      </x:c>
      <x:c r="I12" s="89" t="str">
        <x:v>SRC-G02</x:v>
      </x:c>
      <x:c r="J12" s="90" t="str">
        <x:v>Unit is tonnes, not TEU.</x:v>
      </x:c>
    </x:row>
    <x:row r="13" ht="36" customHeight="1">
      <x:c r="A13" s="88" t="str">
        <x:v>GMD-OP-07</x:v>
      </x:c>
      <x:c r="B13" s="89" t="str">
        <x:v>Dung Quat / Central</x:v>
      </x:c>
      <x:c r="C13" s="89" t="str">
        <x:v>Central</x:v>
      </x:c>
      <x:c r="D13" s="89" t="str">
        <x:v>Market share</x:v>
      </x:c>
      <x:c r="E13" s="116" t="n">
        <x:v>0.403</x:v>
      </x:c>
      <x:c r="F13" s="89" t="str">
        <x:v>share</x:v>
      </x:c>
      <x:c r="G13" s="89" t="str">
        <x:v>Q1 2026</x:v>
      </x:c>
      <x:c r="H13" s="89" t="str">
        <x:v>Issuer estimate</x:v>
      </x:c>
      <x:c r="I13" s="89" t="str">
        <x:v>SRC-G02</x:v>
      </x:c>
      <x:c r="J13" s="90" t="str">
        <x:v>Regional map disclosure.</x:v>
      </x:c>
    </x:row>
    <x:row r="14" ht="36" customHeight="1">
      <x:c r="A14" s="88" t="str">
        <x:v>GMD-OP-08</x:v>
      </x:c>
      <x:c r="B14" s="89" t="str">
        <x:v>Southern ports / ICDs</x:v>
      </x:c>
      <x:c r="C14" s="89" t="str">
        <x:v>South</x:v>
      </x:c>
      <x:c r="D14" s="89" t="str">
        <x:v>Container throughput</x:v>
      </x:c>
      <x:c r="E14" s="137" t="n">
        <x:v>0.905</x:v>
      </x:c>
      <x:c r="F14" s="89" t="str">
        <x:v>m TEU</x:v>
      </x:c>
      <x:c r="G14" s="89" t="str">
        <x:v>Q1 2026</x:v>
      </x:c>
      <x:c r="H14" s="89" t="str">
        <x:v>Actual</x:v>
      </x:c>
      <x:c r="I14" s="89" t="str">
        <x:v>SRC-G02</x:v>
      </x:c>
      <x:c r="J14" s="90" t="str">
        <x:v>Regional map disclosure.</x:v>
      </x:c>
    </x:row>
    <x:row r="15" ht="36" customHeight="1">
      <x:c r="A15" s="88" t="str">
        <x:v>GMD-OP-09</x:v>
      </x:c>
      <x:c r="B15" s="89" t="str">
        <x:v>Southern ports / ICDs</x:v>
      </x:c>
      <x:c r="C15" s="89" t="str">
        <x:v>South</x:v>
      </x:c>
      <x:c r="D15" s="89" t="str">
        <x:v>Market share</x:v>
      </x:c>
      <x:c r="E15" s="116" t="n">
        <x:v>0.27</x:v>
      </x:c>
      <x:c r="F15" s="89" t="str">
        <x:v>share</x:v>
      </x:c>
      <x:c r="G15" s="89" t="str">
        <x:v>Q1 2026</x:v>
      </x:c>
      <x:c r="H15" s="89" t="str">
        <x:v>Issuer estimate</x:v>
      </x:c>
      <x:c r="I15" s="89" t="str">
        <x:v>SRC-G02</x:v>
      </x:c>
      <x:c r="J15" s="90" t="str">
        <x:v>Regional map disclosure.</x:v>
      </x:c>
    </x:row>
    <x:row r="16" ht="36" customHeight="1">
      <x:c r="A16" s="88" t="str">
        <x:v>GMD-OP-10</x:v>
      </x:c>
      <x:c r="B16" s="89" t="str">
        <x:v>Nam Dinh Vu Phase 1</x:v>
      </x:c>
      <x:c r="C16" s="89" t="str">
        <x:v>North</x:v>
      </x:c>
      <x:c r="D16" s="89" t="str">
        <x:v>Design capacity</x:v>
      </x:c>
      <x:c r="E16" s="137" t="n">
        <x:v>0.6</x:v>
      </x:c>
      <x:c r="F16" s="89" t="str">
        <x:v>m TEU</x:v>
      </x:c>
      <x:c r="G16" s="89" t="str">
        <x:v>Operational Q1 2018</x:v>
      </x:c>
      <x:c r="H16" s="89" t="str">
        <x:v>Capacity</x:v>
      </x:c>
      <x:c r="I16" s="89" t="str">
        <x:v>SRC-G01</x:v>
      </x:c>
      <x:c r="J16" s="90" t="str">
        <x:v>Capacity is not throughput.</x:v>
      </x:c>
    </x:row>
    <x:row r="17" ht="36" customHeight="1">
      <x:c r="A17" s="88" t="str">
        <x:v>GMD-OP-11</x:v>
      </x:c>
      <x:c r="B17" s="89" t="str">
        <x:v>Nam Dinh Vu Phase 2</x:v>
      </x:c>
      <x:c r="C17" s="89" t="str">
        <x:v>North</x:v>
      </x:c>
      <x:c r="D17" s="89" t="str">
        <x:v>Design capacity</x:v>
      </x:c>
      <x:c r="E17" s="137" t="n">
        <x:v>0.6</x:v>
      </x:c>
      <x:c r="F17" s="89" t="str">
        <x:v>m TEU</x:v>
      </x:c>
      <x:c r="G17" s="89" t="str">
        <x:v>Operational Q2 2023</x:v>
      </x:c>
      <x:c r="H17" s="89" t="str">
        <x:v>Capacity</x:v>
      </x:c>
      <x:c r="I17" s="89" t="str">
        <x:v>SRC-G01</x:v>
      </x:c>
      <x:c r="J17" s="90" t="str">
        <x:v>Capacity is not throughput.</x:v>
      </x:c>
    </x:row>
    <x:row r="18" ht="36" customHeight="1">
      <x:c r="A18" s="139" t="str">
        <x:v>GMD-OP-12</x:v>
      </x:c>
      <x:c r="B18" s="140" t="str">
        <x:v>Nam Dinh Vu Phase 3</x:v>
      </x:c>
      <x:c r="C18" s="140" t="str">
        <x:v>North</x:v>
      </x:c>
      <x:c r="D18" s="140" t="str">
        <x:v>Design capacity</x:v>
      </x:c>
      <x:c r="E18" s="141" t="n">
        <x:v>0.8</x:v>
      </x:c>
      <x:c r="F18" s="140" t="str">
        <x:v>m TEU</x:v>
      </x:c>
      <x:c r="G18" s="140" t="str">
        <x:v>Operational Oct 2025</x:v>
      </x:c>
      <x:c r="H18" s="140" t="str">
        <x:v>Capacity</x:v>
      </x:c>
      <x:c r="I18" s="140" t="str">
        <x:v>SRC-G01</x:v>
      </x:c>
      <x:c r="J18" s="142" t="str">
        <x:v>Annual-report table; differs from issuer press release's ~650k TEU added.</x:v>
      </x:c>
    </x:row>
    <x:row r="19" ht="36" customHeight="1">
      <x:c r="A19" s="139" t="str">
        <x:v>GMD-OP-13</x:v>
      </x:c>
      <x:c r="B19" s="140" t="str">
        <x:v>Nam Dinh Vu Phase 3</x:v>
      </x:c>
      <x:c r="C19" s="140" t="str">
        <x:v>North</x:v>
      </x:c>
      <x:c r="D19" s="140" t="str">
        <x:v>Added capacity</x:v>
      </x:c>
      <x:c r="E19" s="141" t="n">
        <x:v>0.65</x:v>
      </x:c>
      <x:c r="F19" s="140" t="str">
        <x:v>m TEU</x:v>
      </x:c>
      <x:c r="G19" s="140" t="str">
        <x:v>Operational 30-Sep-2025</x:v>
      </x:c>
      <x:c r="H19" s="140" t="str">
        <x:v>Capacity disclosure</x:v>
      </x:c>
      <x:c r="I19" s="140" t="str">
        <x:v>SRC-G04</x:v>
      </x:c>
      <x:c r="J19" s="142" t="str">
        <x:v>Definition variance versus 0.8m TEU in annual report.</x:v>
      </x:c>
    </x:row>
    <x:row r="20" ht="36" customHeight="1">
      <x:c r="A20" s="88" t="str">
        <x:v>GMD-OP-14</x:v>
      </x:c>
      <x:c r="B20" s="89" t="str">
        <x:v>Nam Dinh Vu Phase 1</x:v>
      </x:c>
      <x:c r="C20" s="89" t="str">
        <x:v>North</x:v>
      </x:c>
      <x:c r="D20" s="89" t="str">
        <x:v>Investment</x:v>
      </x:c>
      <x:c r="E20" s="137" t="n">
        <x:v>1700</x:v>
      </x:c>
      <x:c r="F20" s="89" t="str">
        <x:v>VND bn</x:v>
      </x:c>
      <x:c r="G20" s="89" t="str">
        <x:v>Project disclosure</x:v>
      </x:c>
      <x:c r="H20" s="89" t="str">
        <x:v>Capex</x:v>
      </x:c>
      <x:c r="I20" s="89" t="str">
        <x:v>SRC-G01</x:v>
      </x:c>
      <x:c r="J20" s="90" t="str">
        <x:v>Historical disclosed capex.</x:v>
      </x:c>
    </x:row>
    <x:row r="21" ht="36" customHeight="1">
      <x:c r="A21" s="88" t="str">
        <x:v>GMD-OP-15</x:v>
      </x:c>
      <x:c r="B21" s="89" t="str">
        <x:v>Nam Dinh Vu Phase 2</x:v>
      </x:c>
      <x:c r="C21" s="89" t="str">
        <x:v>North</x:v>
      </x:c>
      <x:c r="D21" s="89" t="str">
        <x:v>Investment</x:v>
      </x:c>
      <x:c r="E21" s="137" t="n">
        <x:v>2200</x:v>
      </x:c>
      <x:c r="F21" s="89" t="str">
        <x:v>VND bn</x:v>
      </x:c>
      <x:c r="G21" s="89" t="str">
        <x:v>Project disclosure</x:v>
      </x:c>
      <x:c r="H21" s="89" t="str">
        <x:v>Capex</x:v>
      </x:c>
      <x:c r="I21" s="89" t="str">
        <x:v>SRC-G01</x:v>
      </x:c>
      <x:c r="J21" s="90" t="str">
        <x:v>Historical disclosed capex.</x:v>
      </x:c>
    </x:row>
    <x:row r="22" ht="36" customHeight="1">
      <x:c r="A22" s="88" t="str">
        <x:v>GMD-OP-16</x:v>
      </x:c>
      <x:c r="B22" s="89" t="str">
        <x:v>Nam Dinh Vu Phase 3</x:v>
      </x:c>
      <x:c r="C22" s="89" t="str">
        <x:v>North</x:v>
      </x:c>
      <x:c r="D22" s="89" t="str">
        <x:v>Investment</x:v>
      </x:c>
      <x:c r="E22" s="137" t="n">
        <x:v>2800</x:v>
      </x:c>
      <x:c r="F22" s="89" t="str">
        <x:v>VND bn</x:v>
      </x:c>
      <x:c r="G22" s="89" t="str">
        <x:v>Project disclosure</x:v>
      </x:c>
      <x:c r="H22" s="89" t="str">
        <x:v>Capex</x:v>
      </x:c>
      <x:c r="I22" s="89" t="str">
        <x:v>SRC-G01 / SRC-G07</x:v>
      </x:c>
      <x:c r="J22" s="90" t="str">
        <x:v>Disclosed project investment.</x:v>
      </x:c>
    </x:row>
    <x:row r="23" ht="36" customHeight="1">
      <x:c r="A23" s="88" t="str">
        <x:v>GMD-OP-17</x:v>
      </x:c>
      <x:c r="B23" s="89" t="str">
        <x:v>Gemalink</x:v>
      </x:c>
      <x:c r="C23" s="89" t="str">
        <x:v>South</x:v>
      </x:c>
      <x:c r="D23" s="89" t="str">
        <x:v>Largest vessel received</x:v>
      </x:c>
      <x:c r="E23" s="137" t="n">
        <x:v>232494.5</x:v>
      </x:c>
      <x:c r="F23" s="89" t="str">
        <x:v>DWT</x:v>
      </x:c>
      <x:c r="G23" s="89" t="str">
        <x:v>Current license</x:v>
      </x:c>
      <x:c r="H23" s="89" t="str">
        <x:v>Physical capability</x:v>
      </x:c>
      <x:c r="I23" s="89" t="str">
        <x:v>SRC-G06</x:v>
      </x:c>
      <x:c r="J23" s="90" t="str">
        <x:v>Gemadept 75%; CMA Terminals 25%.</x:v>
      </x:c>
    </x:row>
    <x:row r="24" ht="36" customHeight="1">
      <x:c r="A24" s="88" t="str">
        <x:v>GMD-OP-18</x:v>
      </x:c>
      <x:c r="B24" s="89" t="str">
        <x:v>Port network</x:v>
      </x:c>
      <x:c r="C24" s="89" t="str">
        <x:v>Vietnam</x:v>
      </x:c>
      <x:c r="D24" s="89" t="str">
        <x:v>Current capacity</x:v>
      </x:c>
      <x:c r="E24" s="137" t="n">
        <x:v>5</x:v>
      </x:c>
      <x:c r="F24" s="89" t="str">
        <x:v>m TEU</x:v>
      </x:c>
      <x:c r="G24" s="89" t="str">
        <x:v>Current disclosure</x:v>
      </x:c>
      <x:c r="H24" s="89" t="str">
        <x:v>Capacity</x:v>
      </x:c>
      <x:c r="I24" s="89" t="str">
        <x:v>SRC-G05</x:v>
      </x:c>
      <x:c r="J24" s="90" t="str">
        <x:v>Marketing page; separate from 2025 actual throughput.</x:v>
      </x:c>
    </x:row>
    <x:row r="25" ht="36" customHeight="1">
      <x:c r="A25" s="88" t="str">
        <x:v>GMD-OP-19</x:v>
      </x:c>
      <x:c r="B25" s="89" t="str">
        <x:v>Southern port division</x:v>
      </x:c>
      <x:c r="C25" s="89" t="str">
        <x:v>South</x:v>
      </x:c>
      <x:c r="D25" s="89" t="str">
        <x:v>Container throughput</x:v>
      </x:c>
      <x:c r="E25" s="137" t="n">
        <x:v>1.650408</x:v>
      </x:c>
      <x:c r="F25" s="89" t="str">
        <x:v>m TEU</x:v>
      </x:c>
      <x:c r="G25" s="89" t="str">
        <x:v>FY2025</x:v>
      </x:c>
      <x:c r="H25" s="89" t="str">
        <x:v>Actual</x:v>
      </x:c>
      <x:c r="I25" s="89" t="str">
        <x:v>SRC-G01</x:v>
      </x:c>
      <x:c r="J25" s="90" t="str">
        <x:v>Company says more than this level; +24% YoY.</x:v>
      </x:c>
    </x:row>
    <x:row r="26" ht="36" customHeight="1">
      <x:c r="A26" s="91" t="str">
        <x:v>GMD-OP-20</x:v>
      </x:c>
      <x:c r="B26" s="92" t="str">
        <x:v>Phuoc Long ICD / Binh Duong</x:v>
      </x:c>
      <x:c r="C26" s="92" t="str">
        <x:v>South</x:v>
      </x:c>
      <x:c r="D26" s="92" t="str">
        <x:v>Container throughput</x:v>
      </x:c>
      <x:c r="E26" s="138" t="n">
        <x:v>1.260574</x:v>
      </x:c>
      <x:c r="F26" s="92" t="str">
        <x:v>m TEU</x:v>
      </x:c>
      <x:c r="G26" s="92" t="str">
        <x:v>FY2025</x:v>
      </x:c>
      <x:c r="H26" s="92" t="str">
        <x:v>Actual</x:v>
      </x:c>
      <x:c r="I26" s="92" t="str">
        <x:v>SRC-G01</x:v>
      </x:c>
      <x:c r="J26" s="93" t="str">
        <x:v>2024 actual was 1.145m TEU.</x:v>
      </x:c>
    </x:row>
    <x:row r="27" ht="37" customHeight="1">
      <x:c r="A27" s="85" t="str">
        <x:v>GMD-OP-21</x:v>
      </x:c>
      <x:c r="B27" s="86" t="str">
        <x:v>System</x:v>
      </x:c>
      <x:c r="C27" s="86" t="str">
        <x:v>Vietnam</x:v>
      </x:c>
      <x:c r="D27" s="86" t="str">
        <x:v>Container throughput</x:v>
      </x:c>
      <x:c r="E27" s="133" t="n">
        <x:v>2.627</x:v>
      </x:c>
      <x:c r="F27" s="86" t="str">
        <x:v>m TEU</x:v>
      </x:c>
      <x:c r="G27" s="86" t="str">
        <x:v>FY2021</x:v>
      </x:c>
      <x:c r="H27" s="86" t="str">
        <x:v>Issuer chart-derived approximation</x:v>
      </x:c>
      <x:c r="I27" s="86" t="str">
        <x:v>SRC-G01</x:v>
      </x:c>
      <x:c r="J27" s="87" t="str">
        <x:v>Derived from the rounded +52% issuer chart label and 2020 base; not an exact disclosed point.</x:v>
      </x:c>
    </x:row>
    <x:row r="28" ht="37" customHeight="1">
      <x:c r="A28" s="88" t="str">
        <x:v>GMD-OP-22</x:v>
      </x:c>
      <x:c r="B28" s="89" t="str">
        <x:v>System</x:v>
      </x:c>
      <x:c r="C28" s="89" t="str">
        <x:v>Vietnam</x:v>
      </x:c>
      <x:c r="D28" s="89" t="str">
        <x:v>Container throughput</x:v>
      </x:c>
      <x:c r="E28" s="134" t="n">
        <x:v>3.1</x:v>
      </x:c>
      <x:c r="F28" s="89" t="str">
        <x:v>m TEU</x:v>
      </x:c>
      <x:c r="G28" s="89" t="str">
        <x:v>FY2022</x:v>
      </x:c>
      <x:c r="H28" s="89" t="str">
        <x:v>Issuer chart-derived approximation</x:v>
      </x:c>
      <x:c r="I28" s="89" t="str">
        <x:v>SRC-G01 / SRC-G10</x:v>
      </x:c>
      <x:c r="J28" s="90" t="str">
        <x:v>Derived from the rounded +18% issuer chart label; consistent with issuer disclosure of over 3m TEU.</x:v>
      </x:c>
    </x:row>
    <x:row r="29" ht="37" customHeight="1">
      <x:c r="A29" s="88" t="str">
        <x:v>GMD-OP-23</x:v>
      </x:c>
      <x:c r="B29" s="89" t="str">
        <x:v>System</x:v>
      </x:c>
      <x:c r="C29" s="89" t="str">
        <x:v>Vietnam</x:v>
      </x:c>
      <x:c r="D29" s="89" t="str">
        <x:v>Container throughput</x:v>
      </x:c>
      <x:c r="E29" s="134" t="n">
        <x:v>3.011</x:v>
      </x:c>
      <x:c r="F29" s="89" t="str">
        <x:v>m TEU</x:v>
      </x:c>
      <x:c r="G29" s="89" t="str">
        <x:v>FY2023</x:v>
      </x:c>
      <x:c r="H29" s="89" t="str">
        <x:v>Issuer actual</x:v>
      </x:c>
      <x:c r="I29" s="89" t="str">
        <x:v>SRC-G09</x:v>
      </x:c>
      <x:c r="J29" s="90" t="str">
        <x:v>Exact system total.</x:v>
      </x:c>
    </x:row>
    <x:row r="30" ht="37" customHeight="1">
      <x:c r="A30" s="88" t="str">
        <x:v>GMD-OP-24</x:v>
      </x:c>
      <x:c r="B30" s="89" t="str">
        <x:v>System</x:v>
      </x:c>
      <x:c r="C30" s="89" t="str">
        <x:v>Vietnam</x:v>
      </x:c>
      <x:c r="D30" s="89" t="str">
        <x:v>Container throughput</x:v>
      </x:c>
      <x:c r="E30" s="134" t="n">
        <x:v>4.435</x:v>
      </x:c>
      <x:c r="F30" s="89" t="str">
        <x:v>m TEU</x:v>
      </x:c>
      <x:c r="G30" s="89" t="str">
        <x:v>FY2024</x:v>
      </x:c>
      <x:c r="H30" s="89" t="str">
        <x:v>Issuer actual</x:v>
      </x:c>
      <x:c r="I30" s="89" t="str">
        <x:v>SRC-G08</x:v>
      </x:c>
      <x:c r="J30" s="90" t="str">
        <x:v>Exact system total.</x:v>
      </x:c>
    </x:row>
    <x:row r="31" ht="37" customHeight="1">
      <x:c r="A31" s="88" t="str">
        <x:v>GMD-OP-25</x:v>
      </x:c>
      <x:c r="B31" s="89" t="str">
        <x:v>Gemalink</x:v>
      </x:c>
      <x:c r="C31" s="89" t="str">
        <x:v>South</x:v>
      </x:c>
      <x:c r="D31" s="89" t="str">
        <x:v>Container throughput</x:v>
      </x:c>
      <x:c r="E31" s="134" t="n">
        <x:v>1.1</x:v>
      </x:c>
      <x:c r="F31" s="89" t="str">
        <x:v>m TEU, minimum</x:v>
      </x:c>
      <x:c r="G31" s="89" t="str">
        <x:v>FY2022</x:v>
      </x:c>
      <x:c r="H31" s="89" t="str">
        <x:v>Issuer approximate disclosure</x:v>
      </x:c>
      <x:c r="I31" s="89" t="str">
        <x:v>SRC-G10</x:v>
      </x:c>
      <x:c r="J31" s="90" t="str">
        <x:v>Issuer says Gemalink handled about 1.1m TEU.</x:v>
      </x:c>
    </x:row>
    <x:row r="32" ht="37" customHeight="1">
      <x:c r="A32" s="88" t="str">
        <x:v>GMD-OP-26</x:v>
      </x:c>
      <x:c r="B32" s="89" t="str">
        <x:v>Gemalink</x:v>
      </x:c>
      <x:c r="C32" s="89" t="str">
        <x:v>South</x:v>
      </x:c>
      <x:c r="D32" s="89" t="str">
        <x:v>Container throughput</x:v>
      </x:c>
      <x:c r="E32" s="134" t="n">
        <x:v>1</x:v>
      </x:c>
      <x:c r="F32" s="89" t="str">
        <x:v>m TEU, minimum</x:v>
      </x:c>
      <x:c r="G32" s="89" t="str">
        <x:v>FY2023</x:v>
      </x:c>
      <x:c r="H32" s="89" t="str">
        <x:v>Issuer minimum disclosure</x:v>
      </x:c>
      <x:c r="I32" s="89" t="str">
        <x:v>SRC-G09</x:v>
      </x:c>
      <x:c r="J32" s="90" t="str">
        <x:v>Gemalink is equity-accounted; revenue is not consolidated line by line.</x:v>
      </x:c>
    </x:row>
    <x:row r="33" ht="37" customHeight="1">
      <x:c r="A33" s="88" t="str">
        <x:v>GMD-OP-27</x:v>
      </x:c>
      <x:c r="B33" s="89" t="str">
        <x:v>Gemalink</x:v>
      </x:c>
      <x:c r="C33" s="89" t="str">
        <x:v>South</x:v>
      </x:c>
      <x:c r="D33" s="89" t="str">
        <x:v>Container throughput</x:v>
      </x:c>
      <x:c r="E33" s="134" t="n">
        <x:v>1.7</x:v>
      </x:c>
      <x:c r="F33" s="89" t="str">
        <x:v>m TEU, minimum</x:v>
      </x:c>
      <x:c r="G33" s="89" t="str">
        <x:v>FY2024</x:v>
      </x:c>
      <x:c r="H33" s="89" t="str">
        <x:v>Issuer minimum disclosure</x:v>
      </x:c>
      <x:c r="I33" s="89" t="str">
        <x:v>SRC-G08</x:v>
      </x:c>
      <x:c r="J33" s="90" t="str">
        <x:v>Issuer says throughput exceeded 1.7m TEU.</x:v>
      </x:c>
    </x:row>
    <x:row r="34" ht="37" customHeight="1">
      <x:c r="A34" s="88" t="str">
        <x:v>GMD-OP-28</x:v>
      </x:c>
      <x:c r="B34" s="89" t="str">
        <x:v>Gemalink</x:v>
      </x:c>
      <x:c r="C34" s="89" t="str">
        <x:v>South</x:v>
      </x:c>
      <x:c r="D34" s="89" t="str">
        <x:v>Container throughput</x:v>
      </x:c>
      <x:c r="E34" s="134" t="n">
        <x:v>1.9</x:v>
      </x:c>
      <x:c r="F34" s="89" t="str">
        <x:v>m TEU, minimum</x:v>
      </x:c>
      <x:c r="G34" s="89" t="str">
        <x:v>FY2025</x:v>
      </x:c>
      <x:c r="H34" s="89" t="str">
        <x:v>Issuer minimum disclosure</x:v>
      </x:c>
      <x:c r="I34" s="89" t="str">
        <x:v>SRC-G01</x:v>
      </x:c>
      <x:c r="J34" s="90" t="str">
        <x:v>Issuer says throughput exceeded 1.9m TEU.</x:v>
      </x:c>
    </x:row>
    <x:row r="35" ht="37" customHeight="1">
      <x:c r="A35" s="91" t="str">
        <x:v>GMD-OP-29</x:v>
      </x:c>
      <x:c r="B35" s="92" t="str">
        <x:v>Nam Dinh Vu</x:v>
      </x:c>
      <x:c r="C35" s="92" t="str">
        <x:v>North</x:v>
      </x:c>
      <x:c r="D35" s="92" t="str">
        <x:v>Container throughput</x:v>
      </x:c>
      <x:c r="E35" s="135" t="n">
        <x:v>0.897719</x:v>
      </x:c>
      <x:c r="F35" s="92" t="str">
        <x:v>m TEU</x:v>
      </x:c>
      <x:c r="G35" s="92" t="str">
        <x:v>FY2023</x:v>
      </x:c>
      <x:c r="H35" s="92" t="str">
        <x:v>Issuer actual</x:v>
      </x:c>
      <x:c r="I35" s="92" t="str">
        <x:v>SRC-G09</x:v>
      </x:c>
      <x:c r="J35" s="93" t="str">
        <x:v>Asset-level actual; not a complete regional series.</x:v>
      </x:c>
    </x:row>
  </x:sheetData>
  <x:mergeCells>
    <x:mergeCell ref="A1:J1"/>
    <x:mergeCell ref="A2:J2"/>
    <x:mergeCell ref="A4:J4"/>
  </x:mergeCells>
  <x:pageMargins left="0.7" right="0.7" top="0.75" bottom="0.75" header="0.3" footer="0.3"/>
  <x:legacyDrawing xmlns:r="http://schemas.openxmlformats.org/officeDocument/2006/relationships" r:id="R6bd5cd8d3d514fce"/>
  <x:tableParts count="1">
    <x:tablePart xmlns:r="http://schemas.openxmlformats.org/officeDocument/2006/relationships" r:id="R0cf0f39a1cbe4d4e"/>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2" hidden="0" customWidth="1"/>
    <x:col min="2" max="2" width="28" hidden="0" customWidth="1"/>
    <x:col min="3" max="3" width="20" hidden="0" customWidth="1"/>
    <x:col min="4" max="4" width="52" hidden="0" customWidth="1"/>
    <x:col min="5" max="5" width="32" hidden="0" customWidth="1"/>
    <x:col min="6" max="6" width="31" hidden="0" customWidth="1"/>
    <x:col min="7" max="7" width="23" hidden="0" customWidth="1"/>
    <x:col min="8" max="8" width="30" hidden="0" customWidth="1"/>
    <x:col min="9" max="9" width="54" hidden="0" customWidth="1"/>
  </x:cols>
  <x:sheetData>
    <x:row r="1" ht="30" customHeight="1">
      <x:c r="A1" s="4" t="str">
        <x:v>Peer Registry — GMD, VSC, PHP and DVP</x:v>
      </x:c>
      <x:c r="B1" s="4" t="str">
        <x:v>Peer Registry — GMD, VSC, PHP and DVP</x:v>
      </x:c>
      <x:c r="C1" s="4" t="str">
        <x:v>Peer Registry — GMD, VSC, PHP and DVP</x:v>
      </x:c>
      <x:c r="D1" s="4" t="str">
        <x:v>Peer Registry — GMD, VSC, PHP and DVP</x:v>
      </x:c>
      <x:c r="E1" s="4" t="str">
        <x:v>Peer Registry — GMD, VSC, PHP and DVP</x:v>
      </x:c>
      <x:c r="F1" s="4" t="str">
        <x:v>Peer Registry — GMD, VSC, PHP and DVP</x:v>
      </x:c>
      <x:c r="G1" s="4" t="str">
        <x:v>Peer Registry — GMD, VSC, PHP and DVP</x:v>
      </x:c>
      <x:c r="H1" s="4" t="str">
        <x:v>Peer Registry — GMD, VSC, PHP and DVP</x:v>
      </x:c>
      <x:c r="I1" s="4" t="str">
        <x:v>Peer Registry — GMD, VSC, PHP and DVP</x:v>
      </x:c>
    </x:row>
    <x:row r="2" ht="34" customHeight="1">
      <x:c r="A2" s="9" t="str">
        <x:v>Phase 1 registers the universe and primary documents. It does not force a comparable score where issuer-level data is not yet auditable.</x:v>
      </x:c>
      <x:c r="B2" s="9" t="str">
        <x:v>Phase 1 registers the universe and primary documents. It does not force a comparable score where issuer-level data is not yet auditable.</x:v>
      </x:c>
      <x:c r="C2" s="9" t="str">
        <x:v>Phase 1 registers the universe and primary documents. It does not force a comparable score where issuer-level data is not yet auditable.</x:v>
      </x:c>
      <x:c r="D2" s="9" t="str">
        <x:v>Phase 1 registers the universe and primary documents. It does not force a comparable score where issuer-level data is not yet auditable.</x:v>
      </x:c>
      <x:c r="E2" s="9" t="str">
        <x:v>Phase 1 registers the universe and primary documents. It does not force a comparable score where issuer-level data is not yet auditable.</x:v>
      </x:c>
      <x:c r="F2" s="9" t="str">
        <x:v>Phase 1 registers the universe and primary documents. It does not force a comparable score where issuer-level data is not yet auditable.</x:v>
      </x:c>
      <x:c r="G2" s="9" t="str">
        <x:v>Phase 1 registers the universe and primary documents. It does not force a comparable score where issuer-level data is not yet auditable.</x:v>
      </x:c>
      <x:c r="H2" s="9" t="str">
        <x:v>Phase 1 registers the universe and primary documents. It does not force a comparable score where issuer-level data is not yet auditable.</x:v>
      </x:c>
      <x:c r="I2" s="9" t="str">
        <x:v>Phase 1 registers the universe and primary documents. It does not force a comparable score where issuer-level data is not yet auditable.</x:v>
      </x:c>
    </x:row>
    <x:row r="4" ht="21" customHeight="1">
      <x:c r="A4" s="13" t="str">
        <x:v>Universe map</x:v>
      </x:c>
      <x:c r="B4" s="13" t="str">
        <x:v>Universe map</x:v>
      </x:c>
      <x:c r="C4" s="13" t="str">
        <x:v>Universe map</x:v>
      </x:c>
      <x:c r="D4" s="13" t="str">
        <x:v>Universe map</x:v>
      </x:c>
      <x:c r="E4" s="13" t="str">
        <x:v>Universe map</x:v>
      </x:c>
      <x:c r="F4" s="13" t="str">
        <x:v>Universe map</x:v>
      </x:c>
      <x:c r="G4" s="13" t="str">
        <x:v>Universe map</x:v>
      </x:c>
      <x:c r="H4" s="13" t="str">
        <x:v>Universe map</x:v>
      </x:c>
      <x:c r="I4" s="13" t="str">
        <x:v>Universe map</x:v>
      </x:c>
    </x:row>
    <x:row r="6" ht="32" customHeight="1">
      <x:c r="A6" s="65" t="str">
        <x:v>Ticker</x:v>
      </x:c>
      <x:c r="B6" s="65" t="str">
        <x:v>Company</x:v>
      </x:c>
      <x:c r="C6" s="65" t="str">
        <x:v>Geography</x:v>
      </x:c>
      <x:c r="D6" s="65" t="str">
        <x:v>Key assets / exposure</x:v>
      </x:c>
      <x:c r="E6" s="65" t="str">
        <x:v>Strategic angle</x:v>
      </x:c>
      <x:c r="F6" s="65" t="str">
        <x:v>Evidence status</x:v>
      </x:c>
      <x:c r="G6" s="65" t="str">
        <x:v>Source ID</x:v>
      </x:c>
      <x:c r="H6" s="65" t="str">
        <x:v>Phase 2 role</x:v>
      </x:c>
      <x:c r="I6" s="65" t="str">
        <x:v>Normalization issue</x:v>
      </x:c>
    </x:row>
    <x:row r="7" ht="52" customHeight="1">
      <x:c r="A7" s="85" t="str">
        <x:v>GMD</x:v>
      </x:c>
      <x:c r="B7" s="86" t="str">
        <x:v>Gemadept</x:v>
      </x:c>
      <x:c r="C7" s="86" t="str">
        <x:v>North / Central / South</x:v>
      </x:c>
      <x:c r="D7" s="86" t="str">
        <x:v>Nam Dinh Vu, Gemalink, Phuoc Long ICD, Binh Duong, Dung Quat</x:v>
      </x:c>
      <x:c r="E7" s="86" t="str">
        <x:v>Network + deep-water + expansion</x:v>
      </x:c>
      <x:c r="F7" s="86" t="str">
        <x:v>Primary data loaded</x:v>
      </x:c>
      <x:c r="G7" s="86" t="str">
        <x:v>SRC-G01 / SRC-G02</x:v>
      </x:c>
      <x:c r="H7" s="86" t="str">
        <x:v>Candidate for full model</x:v>
      </x:c>
      <x:c r="I7" s="87" t="str">
        <x:v>Must reconcile associates/minority interests and capacity definitions.</x:v>
      </x:c>
    </x:row>
    <x:row r="8" ht="52" customHeight="1">
      <x:c r="A8" s="88" t="str">
        <x:v>VSC</x:v>
      </x:c>
      <x:c r="B8" s="89" t="str">
        <x:v>Viconship</x:v>
      </x:c>
      <x:c r="C8" s="89" t="str">
        <x:v>Hai Phong</x:v>
      </x:c>
      <x:c r="D8" s="89" t="str">
        <x:v>Green Port, VIP Green, Nam Hai Dinh Vu; HAH stake adds non-port exposure</x:v>
      </x:c>
      <x:c r="E8" s="89" t="str">
        <x:v>Cluster position + integration</x:v>
      </x:c>
      <x:c r="F8" s="89" t="str">
        <x:v>Primary filing registered; capacity secondary only</x:v>
      </x:c>
      <x:c r="G8" s="89" t="str">
        <x:v>SRC-P01 / SRC-S01</x:v>
      </x:c>
      <x:c r="H8" s="89" t="str">
        <x:v>Primary comparator</x:v>
      </x:c>
      <x:c r="I8" s="90" t="str">
        <x:v>Do not mix HAH shipping exposure into the port thesis; OCR/manual extraction required.</x:v>
      </x:c>
    </x:row>
    <x:row r="9" ht="52" customHeight="1">
      <x:c r="A9" s="88" t="str">
        <x:v>PHP</x:v>
      </x:c>
      <x:c r="B9" s="89" t="str">
        <x:v>Port of Hai Phong</x:v>
      </x:c>
      <x:c r="C9" s="89" t="str">
        <x:v>Hai Phong / Lach Huyen</x:v>
      </x:c>
      <x:c r="D9" s="89" t="str">
        <x:v>Tan Vu, Chua Ve and terminals 3–4 at Lach Huyen via affiliate/subsidiary structure</x:v>
      </x:c>
      <x:c r="E9" s="89" t="str">
        <x:v>Scale + gateway-port transition</x:v>
      </x:c>
      <x:c r="F9" s="89" t="str">
        <x:v>Primary operating data loaded</x:v>
      </x:c>
      <x:c r="G9" s="89" t="str">
        <x:v>SRC-P02</x:v>
      </x:c>
      <x:c r="H9" s="89" t="str">
        <x:v>Peer screen</x:v>
      </x:c>
      <x:c r="I9" s="90" t="str">
        <x:v>Consolidated versus parent throughput and ownership must be normalized.</x:v>
      </x:c>
    </x:row>
    <x:row r="10" ht="52" customHeight="1">
      <x:c r="A10" s="91" t="str">
        <x:v>DVP</x:v>
      </x:c>
      <x:c r="B10" s="92" t="str">
        <x:v>Dinh Vu Port</x:v>
      </x:c>
      <x:c r="C10" s="92" t="str">
        <x:v>Hai Phong upstream</x:v>
      </x:c>
      <x:c r="D10" s="92" t="str">
        <x:v>Dinh Vu terminal</x:v>
      </x:c>
      <x:c r="E10" s="92" t="str">
        <x:v>Mature cash-generative operator</x:v>
      </x:c>
      <x:c r="F10" s="92" t="str">
        <x:v>Primary registry + qualitative update</x:v>
      </x:c>
      <x:c r="G10" s="92" t="str">
        <x:v>SRC-P03 / SRC-P04</x:v>
      </x:c>
      <x:c r="H10" s="92" t="str">
        <x:v>Peer screen</x:v>
      </x:c>
      <x:c r="I10" s="93" t="str">
        <x:v>Competitive pressure from Lach Huyen and Nam Dinh Vu; retrieve auditable 2025 KPI table.</x:v>
      </x:c>
    </x:row>
    <x:row r="14" ht="21" customHeight="1">
      <x:c r="A14" s="13" t="str">
        <x:v>PHP — verified 2025 operating anchors</x:v>
      </x:c>
      <x:c r="B14" s="13" t="str">
        <x:v>PHP — verified 2025 operating anchors</x:v>
      </x:c>
      <x:c r="C14" s="13" t="str">
        <x:v>PHP — verified 2025 operating anchors</x:v>
      </x:c>
      <x:c r="D14" s="13" t="str">
        <x:v>PHP — verified 2025 operating anchors</x:v>
      </x:c>
      <x:c r="E14" s="13" t="str">
        <x:v>PHP — verified 2025 operating anchors</x:v>
      </x:c>
      <x:c r="F14" s="13" t="str">
        <x:v>PHP — verified 2025 operating anchors</x:v>
      </x:c>
      <x:c r="G14" s="13" t="str">
        <x:v>PHP — verified 2025 operating anchors</x:v>
      </x:c>
      <x:c r="H14" s="13" t="str">
        <x:v>PHP — verified 2025 operating anchors</x:v>
      </x:c>
      <x:c r="I14" s="13" t="str">
        <x:v>PHP — verified 2025 operating anchors</x:v>
      </x:c>
    </x:row>
    <x:row r="16" ht="32" customHeight="1">
      <x:c r="A16" s="65" t="str">
        <x:v>Data ID</x:v>
      </x:c>
      <x:c r="B16" s="65" t="str">
        <x:v>Metric</x:v>
      </x:c>
      <x:c r="C16" s="65" t="str">
        <x:v>Value</x:v>
      </x:c>
      <x:c r="D16" s="65" t="str">
        <x:v>Unit</x:v>
      </x:c>
      <x:c r="E16" s="65" t="str">
        <x:v>Period</x:v>
      </x:c>
      <x:c r="F16" s="65" t="str">
        <x:v>Data class</x:v>
      </x:c>
      <x:c r="G16" s="65" t="str">
        <x:v>Source ID</x:v>
      </x:c>
      <x:c r="H16" s="65" t="str">
        <x:v>Audit note</x:v>
      </x:c>
    </x:row>
    <x:row r="17" ht="34" customHeight="1">
      <x:c r="A17" s="85" t="str">
        <x:v>PHP-01</x:v>
      </x:c>
      <x:c r="B17" s="86" t="str">
        <x:v>Parent throughput</x:v>
      </x:c>
      <x:c r="C17" s="103" t="n">
        <x:v>23.3</x:v>
      </x:c>
      <x:c r="D17" s="86" t="str">
        <x:v>mn tonnes</x:v>
      </x:c>
      <x:c r="E17" s="86" t="str">
        <x:v>FY2025</x:v>
      </x:c>
      <x:c r="F17" s="86" t="str">
        <x:v>Actual</x:v>
      </x:c>
      <x:c r="G17" s="86" t="str">
        <x:v>SRC-P02</x:v>
      </x:c>
      <x:c r="H17" s="87" t="str">
        <x:v>98.8% of 2024; 83.4% of plan.</x:v>
      </x:c>
    </x:row>
    <x:row r="18" ht="34" customHeight="1">
      <x:c r="A18" s="88" t="str">
        <x:v>PHP-02</x:v>
      </x:c>
      <x:c r="B18" s="89" t="str">
        <x:v>Parent container throughput</x:v>
      </x:c>
      <x:c r="C18" s="105" t="n">
        <x:v>1.2407</x:v>
      </x:c>
      <x:c r="D18" s="89" t="str">
        <x:v>m TEU</x:v>
      </x:c>
      <x:c r="E18" s="89" t="str">
        <x:v>FY2025</x:v>
      </x:c>
      <x:c r="F18" s="89" t="str">
        <x:v>Actual</x:v>
      </x:c>
      <x:c r="G18" s="89" t="str">
        <x:v>SRC-P02</x:v>
      </x:c>
      <x:c r="H18" s="90" t="str">
        <x:v>97.4% of 2024; 85.8% of plan.</x:v>
      </x:c>
    </x:row>
    <x:row r="19" ht="34" customHeight="1">
      <x:c r="A19" s="88" t="str">
        <x:v>PHP-03</x:v>
      </x:c>
      <x:c r="B19" s="89" t="str">
        <x:v>Parent revenue</x:v>
      </x:c>
      <x:c r="C19" s="105" t="n">
        <x:v>2315.33</x:v>
      </x:c>
      <x:c r="D19" s="89" t="str">
        <x:v>VND bn</x:v>
      </x:c>
      <x:c r="E19" s="89" t="str">
        <x:v>FY2025</x:v>
      </x:c>
      <x:c r="F19" s="89" t="str">
        <x:v>Actual</x:v>
      </x:c>
      <x:c r="G19" s="89" t="str">
        <x:v>SRC-P02</x:v>
      </x:c>
      <x:c r="H19" s="90" t="str">
        <x:v>+33.8% YoY.</x:v>
      </x:c>
    </x:row>
    <x:row r="20" ht="34" customHeight="1">
      <x:c r="A20" s="88" t="str">
        <x:v>PHP-04</x:v>
      </x:c>
      <x:c r="B20" s="89" t="str">
        <x:v>Parent profit</x:v>
      </x:c>
      <x:c r="C20" s="105" t="n">
        <x:v>1173.24</x:v>
      </x:c>
      <x:c r="D20" s="89" t="str">
        <x:v>VND bn</x:v>
      </x:c>
      <x:c r="E20" s="89" t="str">
        <x:v>FY2025</x:v>
      </x:c>
      <x:c r="F20" s="89" t="str">
        <x:v>Actual</x:v>
      </x:c>
      <x:c r="G20" s="89" t="str">
        <x:v>SRC-P02</x:v>
      </x:c>
      <x:c r="H20" s="90" t="str">
        <x:v>Annual report labels this 'profit'; verify PBT/net-profit definition before valuation use.</x:v>
      </x:c>
    </x:row>
    <x:row r="21" ht="34" customHeight="1">
      <x:c r="A21" s="88" t="str">
        <x:v>PHP-05</x:v>
      </x:c>
      <x:c r="B21" s="89" t="str">
        <x:v>Consolidated throughput</x:v>
      </x:c>
      <x:c r="C21" s="105" t="n">
        <x:v>42.7</x:v>
      </x:c>
      <x:c r="D21" s="89" t="str">
        <x:v>mn tonnes</x:v>
      </x:c>
      <x:c r="E21" s="89" t="str">
        <x:v>FY2025</x:v>
      </x:c>
      <x:c r="F21" s="89" t="str">
        <x:v>Actual</x:v>
      </x:c>
      <x:c r="G21" s="89" t="str">
        <x:v>SRC-P02</x:v>
      </x:c>
      <x:c r="H21" s="90" t="str">
        <x:v>+6.9% YoY.</x:v>
      </x:c>
    </x:row>
    <x:row r="22" ht="34" customHeight="1">
      <x:c r="A22" s="88" t="str">
        <x:v>PHP-06</x:v>
      </x:c>
      <x:c r="B22" s="89" t="str">
        <x:v>Consolidated revenue</x:v>
      </x:c>
      <x:c r="C22" s="105" t="n">
        <x:v>2942.93</x:v>
      </x:c>
      <x:c r="D22" s="89" t="str">
        <x:v>VND bn</x:v>
      </x:c>
      <x:c r="E22" s="89" t="str">
        <x:v>FY2025</x:v>
      </x:c>
      <x:c r="F22" s="89" t="str">
        <x:v>Actual</x:v>
      </x:c>
      <x:c r="G22" s="89" t="str">
        <x:v>SRC-P02</x:v>
      </x:c>
      <x:c r="H22" s="90" t="str">
        <x:v>98.16% of 2024.</x:v>
      </x:c>
    </x:row>
    <x:row r="23" ht="34" customHeight="1">
      <x:c r="A23" s="91" t="str">
        <x:v>PHP-07</x:v>
      </x:c>
      <x:c r="B23" s="92" t="str">
        <x:v>Consolidated profit</x:v>
      </x:c>
      <x:c r="C23" s="107" t="n">
        <x:v>1257.2</x:v>
      </x:c>
      <x:c r="D23" s="92" t="str">
        <x:v>VND bn</x:v>
      </x:c>
      <x:c r="E23" s="92" t="str">
        <x:v>FY2025</x:v>
      </x:c>
      <x:c r="F23" s="92" t="str">
        <x:v>Actual</x:v>
      </x:c>
      <x:c r="G23" s="92" t="str">
        <x:v>SRC-P02</x:v>
      </x:c>
      <x:c r="H23" s="93" t="str">
        <x:v>+4.8% YoY; verify profit definition before valuation use.</x:v>
      </x:c>
    </x:row>
  </x:sheetData>
  <x:mergeCells>
    <x:mergeCell ref="A1:I1"/>
    <x:mergeCell ref="A2:I2"/>
    <x:mergeCell ref="A4:I4"/>
    <x:mergeCell ref="A14:I14"/>
  </x:mergeCells>
  <x:pageMargins left="0.7" right="0.7" top="0.75" bottom="0.75" header="0.3" footer="0.3"/>
  <x:legacyDrawing xmlns:r="http://schemas.openxmlformats.org/officeDocument/2006/relationships" r:id="R48f3aab4d9574a8f"/>
  <x:tableParts count="2">
    <x:tablePart xmlns:r="http://schemas.openxmlformats.org/officeDocument/2006/relationships" r:id="R0ff7c36fcbe2441e"/>
    <x:tablePart xmlns:r="http://schemas.openxmlformats.org/officeDocument/2006/relationships" r:id="R4f82b575b5bb455e"/>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22" hidden="0" customWidth="1"/>
    <x:col min="2" max="2" width="56" hidden="0" customWidth="1"/>
    <x:col min="3" max="3" width="20" hidden="0" customWidth="1"/>
    <x:col min="4" max="4" width="22" hidden="0" customWidth="1"/>
    <x:col min="5" max="5" width="28" hidden="0" customWidth="1"/>
    <x:col min="6" max="6" width="60" hidden="0" customWidth="1"/>
  </x:cols>
  <x:sheetData>
    <x:row r="1" ht="30" customHeight="1">
      <x:c r="A1" s="4" t="str">
        <x:v>Data Dictionary and Modeling Conventions</x:v>
      </x:c>
      <x:c r="B1" s="4" t="str">
        <x:v>Data Dictionary and Modeling Conventions</x:v>
      </x:c>
      <x:c r="C1" s="4" t="str">
        <x:v>Data Dictionary and Modeling Conventions</x:v>
      </x:c>
      <x:c r="D1" s="4" t="str">
        <x:v>Data Dictionary and Modeling Conventions</x:v>
      </x:c>
      <x:c r="E1" s="4" t="str">
        <x:v>Data Dictionary and Modeling Conventions</x:v>
      </x:c>
      <x:c r="F1" s="4" t="str">
        <x:v>Data Dictionary and Modeling Conventions</x:v>
      </x:c>
    </x:row>
    <x:row r="2" ht="34" customHeight="1">
      <x:c r="A2" s="9" t="str">
        <x:v>Definitions prevent the most common top-down errors: value versus volume, capacity versus throughput, and guidance versus forecast.</x:v>
      </x:c>
      <x:c r="B2" s="9" t="str">
        <x:v>Definitions prevent the most common top-down errors: value versus volume, capacity versus throughput, and guidance versus forecast.</x:v>
      </x:c>
      <x:c r="C2" s="9" t="str">
        <x:v>Definitions prevent the most common top-down errors: value versus volume, capacity versus throughput, and guidance versus forecast.</x:v>
      </x:c>
      <x:c r="D2" s="9" t="str">
        <x:v>Definitions prevent the most common top-down errors: value versus volume, capacity versus throughput, and guidance versus forecast.</x:v>
      </x:c>
      <x:c r="E2" s="9" t="str">
        <x:v>Definitions prevent the most common top-down errors: value versus volume, capacity versus throughput, and guidance versus forecast.</x:v>
      </x:c>
      <x:c r="F2" s="9" t="str">
        <x:v>Definitions prevent the most common top-down errors: value versus volume, capacity versus throughput, and guidance versus forecast.</x:v>
      </x:c>
    </x:row>
    <x:row r="4" ht="21" customHeight="1">
      <x:c r="A4" s="13" t="str">
        <x:v>Metric definitions</x:v>
      </x:c>
      <x:c r="B4" s="13" t="str">
        <x:v>Metric definitions</x:v>
      </x:c>
      <x:c r="C4" s="13" t="str">
        <x:v>Metric definitions</x:v>
      </x:c>
      <x:c r="D4" s="13" t="str">
        <x:v>Metric definitions</x:v>
      </x:c>
      <x:c r="E4" s="13" t="str">
        <x:v>Metric definitions</x:v>
      </x:c>
      <x:c r="F4" s="13" t="str">
        <x:v>Metric definitions</x:v>
      </x:c>
    </x:row>
    <x:row r="6" ht="32" customHeight="1">
      <x:c r="A6" s="65" t="str">
        <x:v>Metric</x:v>
      </x:c>
      <x:c r="B6" s="65" t="str">
        <x:v>Definition</x:v>
      </x:c>
      <x:c r="C6" s="65" t="str">
        <x:v>Standard unit</x:v>
      </x:c>
      <x:c r="D6" s="65" t="str">
        <x:v>Frequency</x:v>
      </x:c>
      <x:c r="E6" s="65" t="str">
        <x:v>Preferred source</x:v>
      </x:c>
      <x:c r="F6" s="65" t="str">
        <x:v>Modeling caveat</x:v>
      </x:c>
    </x:row>
    <x:row r="7" ht="39" customHeight="1">
      <x:c r="A7" s="85" t="str">
        <x:v>Trade turnover</x:v>
      </x:c>
      <x:c r="B7" s="86" t="str">
        <x:v>Exports + imports of goods</x:v>
      </x:c>
      <x:c r="C7" s="86" t="str">
        <x:v>USD bn</x:v>
      </x:c>
      <x:c r="D7" s="86" t="str">
        <x:v>Annual / partial year</x:v>
      </x:c>
      <x:c r="E7" s="86" t="str">
        <x:v>NSO</x:v>
      </x:c>
      <x:c r="F7" s="87" t="str">
        <x:v>Macro demand indicator; not TEU.</x:v>
      </x:c>
    </x:row>
    <x:row r="8" ht="39" customHeight="1">
      <x:c r="A8" s="88" t="str">
        <x:v>Registered FDI</x:v>
      </x:c>
      <x:c r="B8" s="89" t="str">
        <x:v>New, adjusted and contributed capital registered</x:v>
      </x:c>
      <x:c r="C8" s="89" t="str">
        <x:v>USD bn</x:v>
      </x:c>
      <x:c r="D8" s="89" t="str">
        <x:v>Annual / partial year</x:v>
      </x:c>
      <x:c r="E8" s="89" t="str">
        <x:v>NSO / FIA</x:v>
      </x:c>
      <x:c r="F8" s="90" t="str">
        <x:v>Pipeline indicator; timing to operations can be long.</x:v>
      </x:c>
    </x:row>
    <x:row r="9" ht="39" customHeight="1">
      <x:c r="A9" s="88" t="str">
        <x:v>Disbursed FDI</x:v>
      </x:c>
      <x:c r="B9" s="89" t="str">
        <x:v>Estimated realized capital</x:v>
      </x:c>
      <x:c r="C9" s="89" t="str">
        <x:v>USD bn</x:v>
      </x:c>
      <x:c r="D9" s="89" t="str">
        <x:v>Annual / partial year</x:v>
      </x:c>
      <x:c r="E9" s="89" t="str">
        <x:v>NSO / FIA</x:v>
      </x:c>
      <x:c r="F9" s="90" t="str">
        <x:v>Closer to real activity but not a direct port-volume measure.</x:v>
      </x:c>
    </x:row>
    <x:row r="10" ht="39" customHeight="1">
      <x:c r="A10" s="88" t="str">
        <x:v>Container throughput</x:v>
      </x:c>
      <x:c r="B10" s="89" t="str">
        <x:v>Containers handled under source-specific scope</x:v>
      </x:c>
      <x:c r="C10" s="89" t="str">
        <x:v>TEU / m TEU</x:v>
      </x:c>
      <x:c r="D10" s="89" t="str">
        <x:v>Monthly / quarterly / annual</x:v>
      </x:c>
      <x:c r="E10" s="89" t="str">
        <x:v>Regulator / issuer</x:v>
      </x:c>
      <x:c r="F10" s="90" t="str">
        <x:v>Check whether domestic, transshipment, empty and laden boxes are included.</x:v>
      </x:c>
    </x:row>
    <x:row r="11" ht="39" customHeight="1">
      <x:c r="A11" s="88" t="str">
        <x:v>Cargo throughput</x:v>
      </x:c>
      <x:c r="B11" s="89" t="str">
        <x:v>Cargo handled by weight</x:v>
      </x:c>
      <x:c r="C11" s="89" t="str">
        <x:v>tonnes / mn tonnes</x:v>
      </x:c>
      <x:c r="D11" s="89" t="str">
        <x:v>Monthly / quarterly / annual</x:v>
      </x:c>
      <x:c r="E11" s="89" t="str">
        <x:v>Regulator / issuer</x:v>
      </x:c>
      <x:c r="F11" s="90" t="str">
        <x:v>Never add to or compare directly with TEU.</x:v>
      </x:c>
    </x:row>
    <x:row r="12" ht="39" customHeight="1">
      <x:c r="A12" s="88" t="str">
        <x:v>Design capacity</x:v>
      </x:c>
      <x:c r="B12" s="89" t="str">
        <x:v>Nameplate handling capacity disclosed for an asset</x:v>
      </x:c>
      <x:c r="C12" s="89" t="str">
        <x:v>TEU/year</x:v>
      </x:c>
      <x:c r="D12" s="89" t="str">
        <x:v>Point-in-time</x:v>
      </x:c>
      <x:c r="E12" s="89" t="str">
        <x:v>Issuer / plan</x:v>
      </x:c>
      <x:c r="F12" s="90" t="str">
        <x:v>Not actual throughput; definition can differ across disclosures.</x:v>
      </x:c>
    </x:row>
    <x:row r="13" ht="39" customHeight="1">
      <x:c r="A13" s="88" t="str">
        <x:v>Utilization</x:v>
      </x:c>
      <x:c r="B13" s="89" t="str">
        <x:v>Actual throughput divided by comparable design capacity</x:v>
      </x:c>
      <x:c r="C13" s="89" t="str">
        <x:v>%</x:v>
      </x:c>
      <x:c r="D13" s="89" t="str">
        <x:v>Annual</x:v>
      </x:c>
      <x:c r="E13" s="89" t="str">
        <x:v>Model output</x:v>
      </x:c>
      <x:c r="F13" s="90" t="str">
        <x:v>Only calculate after scope and units are aligned.</x:v>
      </x:c>
    </x:row>
    <x:row r="14" ht="39" customHeight="1">
      <x:c r="A14" s="88" t="str">
        <x:v>Tariff</x:v>
      </x:c>
      <x:c r="B14" s="89" t="str">
        <x:v>Average or regulated handling/service price</x:v>
      </x:c>
      <x:c r="C14" s="89" t="str">
        <x:v>VND/TEU or VND/tonne</x:v>
      </x:c>
      <x:c r="D14" s="89" t="str">
        <x:v>Annual</x:v>
      </x:c>
      <x:c r="E14" s="89" t="str">
        <x:v>Issuer / regulation / analyst assumption</x:v>
      </x:c>
      <x:c r="F14" s="90" t="str">
        <x:v>Must distinguish regulated floor, list price and realized revenue per unit.</x:v>
      </x:c>
    </x:row>
    <x:row r="15" ht="39" customHeight="1">
      <x:c r="A15" s="88" t="str">
        <x:v>Revenue</x:v>
      </x:c>
      <x:c r="B15" s="89" t="str">
        <x:v>Reported net revenue</x:v>
      </x:c>
      <x:c r="C15" s="89" t="str">
        <x:v>VND bn</x:v>
      </x:c>
      <x:c r="D15" s="89" t="str">
        <x:v>Quarterly / annual</x:v>
      </x:c>
      <x:c r="E15" s="89" t="str">
        <x:v>Financial statements</x:v>
      </x:c>
      <x:c r="F15" s="90" t="str">
        <x:v>Keep consolidated and parent-company figures separate.</x:v>
      </x:c>
    </x:row>
    <x:row r="16" ht="39" customHeight="1">
      <x:c r="A16" s="88" t="str">
        <x:v>EBITDA</x:v>
      </x:c>
      <x:c r="B16" s="89" t="str">
        <x:v>EBIT plus depreciation and amortization</x:v>
      </x:c>
      <x:c r="C16" s="89" t="str">
        <x:v>VND bn</x:v>
      </x:c>
      <x:c r="D16" s="89" t="str">
        <x:v>Quarterly / annual</x:v>
      </x:c>
      <x:c r="E16" s="89" t="str">
        <x:v>Model output / issuer</x:v>
      </x:c>
      <x:c r="F16" s="90" t="str">
        <x:v>Use a consistent treatment of associates and one-offs.</x:v>
      </x:c>
    </x:row>
    <x:row r="17" ht="39" customHeight="1">
      <x:c r="A17" s="88" t="str">
        <x:v>PBT</x:v>
      </x:c>
      <x:c r="B17" s="89" t="str">
        <x:v>Profit before tax</x:v>
      </x:c>
      <x:c r="C17" s="89" t="str">
        <x:v>VND bn</x:v>
      </x:c>
      <x:c r="D17" s="89" t="str">
        <x:v>Quarterly / annual</x:v>
      </x:c>
      <x:c r="E17" s="89" t="str">
        <x:v>Financial statements / issuer</x:v>
      </x:c>
      <x:c r="F17" s="90" t="str">
        <x:v>Prior divestment gains can distort comparability.</x:v>
      </x:c>
    </x:row>
    <x:row r="18" ht="39" customHeight="1">
      <x:c r="A18" s="88" t="str">
        <x:v>Market share</x:v>
      </x:c>
      <x:c r="B18" s="89" t="str">
        <x:v>Company/asset throughput divided by a comparable market denominator</x:v>
      </x:c>
      <x:c r="C18" s="89" t="str">
        <x:v>%</x:v>
      </x:c>
      <x:c r="D18" s="89" t="str">
        <x:v>Quarterly / annual</x:v>
      </x:c>
      <x:c r="E18" s="89" t="str">
        <x:v>Issuer / calculated</x:v>
      </x:c>
      <x:c r="F18" s="90" t="str">
        <x:v>Issuer estimates require scope verification.</x:v>
      </x:c>
    </x:row>
    <x:row r="19" ht="39" customHeight="1">
      <x:c r="A19" s="88" t="str">
        <x:v>Management guidance</x:v>
      </x:c>
      <x:c r="B19" s="89" t="str">
        <x:v>Company plan or target</x:v>
      </x:c>
      <x:c r="C19" s="89" t="str">
        <x:v>Metric-specific</x:v>
      </x:c>
      <x:c r="D19" s="89" t="str">
        <x:v>Annual</x:v>
      </x:c>
      <x:c r="E19" s="89" t="str">
        <x:v>AGM / issuer</x:v>
      </x:c>
      <x:c r="F19" s="90" t="str">
        <x:v>Not an analyst forecast.</x:v>
      </x:c>
    </x:row>
    <x:row r="20" ht="39" customHeight="1">
      <x:c r="A20" s="88" t="str">
        <x:v>Analyst assumption</x:v>
      </x:c>
      <x:c r="B20" s="89" t="str">
        <x:v>Input selected by the researcher</x:v>
      </x:c>
      <x:c r="C20" s="89" t="str">
        <x:v>Metric-specific</x:v>
      </x:c>
      <x:c r="D20" s="89" t="str">
        <x:v>Forecast</x:v>
      </x:c>
      <x:c r="E20" s="89" t="str">
        <x:v>Model</x:v>
      </x:c>
      <x:c r="F20" s="90" t="str">
        <x:v>Must have rationale, date and sensitivity.</x:v>
      </x:c>
    </x:row>
    <x:row r="21" ht="39" customHeight="1">
      <x:c r="A21" s="91" t="str">
        <x:v>Model output</x:v>
      </x:c>
      <x:c r="B21" s="92" t="str">
        <x:v>Formula-derived result</x:v>
      </x:c>
      <x:c r="C21" s="92" t="str">
        <x:v>Metric-specific</x:v>
      </x:c>
      <x:c r="D21" s="92" t="str">
        <x:v>Historical / forecast</x:v>
      </x:c>
      <x:c r="E21" s="92" t="str">
        <x:v>Workbook</x:v>
      </x:c>
      <x:c r="F21" s="93" t="str">
        <x:v>Never hardcode output cells.</x:v>
      </x:c>
    </x:row>
  </x:sheetData>
  <x:mergeCells>
    <x:mergeCell ref="A1:F1"/>
    <x:mergeCell ref="A2:F2"/>
    <x:mergeCell ref="A4:F4"/>
  </x:mergeCells>
  <x:pageMargins left="0.7" right="0.7" top="0.75" bottom="0.75" header="0.3" footer="0.3"/>
  <x:tableParts count="1">
    <x:tablePart xmlns:r="http://schemas.openxmlformats.org/officeDocument/2006/relationships" r:id="Re3322360a6624652"/>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2" hidden="0" customWidth="1"/>
    <x:col min="2" max="2" width="16" hidden="0" customWidth="1"/>
    <x:col min="3" max="3" width="55" hidden="0" customWidth="1"/>
    <x:col min="4" max="4" width="13" hidden="0" customWidth="1"/>
    <x:col min="5" max="5" width="21" hidden="0" customWidth="1"/>
    <x:col min="6" max="6" width="17" hidden="0" customWidth="1"/>
    <x:col min="7" max="7" width="16" hidden="0" customWidth="1"/>
    <x:col min="8" max="8" width="54" hidden="0" customWidth="1"/>
    <x:col min="9" max="9" width="45" hidden="0" customWidth="1"/>
  </x:cols>
  <x:sheetData>
    <x:row r="1" ht="30" customHeight="1">
      <x:c r="A1" s="4" t="str">
        <x:v>Gap Log — Controlled Missing Evidence</x:v>
      </x:c>
      <x:c r="B1" s="4" t="str">
        <x:v>Gap Log — Controlled Missing Evidence</x:v>
      </x:c>
      <x:c r="C1" s="4" t="str">
        <x:v>Gap Log — Controlled Missing Evidence</x:v>
      </x:c>
      <x:c r="D1" s="4" t="str">
        <x:v>Gap Log — Controlled Missing Evidence</x:v>
      </x:c>
      <x:c r="E1" s="4" t="str">
        <x:v>Gap Log — Controlled Missing Evidence</x:v>
      </x:c>
      <x:c r="F1" s="4" t="str">
        <x:v>Gap Log — Controlled Missing Evidence</x:v>
      </x:c>
      <x:c r="G1" s="4" t="str">
        <x:v>Gap Log — Controlled Missing Evidence</x:v>
      </x:c>
      <x:c r="H1" s="4" t="str">
        <x:v>Gap Log — Controlled Missing Evidence</x:v>
      </x:c>
      <x:c r="I1" s="4" t="str">
        <x:v>Gap Log — Controlled Missing Evidence</x:v>
      </x:c>
    </x:row>
    <x:row r="2" ht="34" customHeight="1">
      <x:c r="A2" s="9" t="str">
        <x:v>A blank is preferable to an unsupported estimate. Every material gap has a priority, owner, next action and the phase in which it must be closed.</x:v>
      </x:c>
      <x:c r="B2" s="9" t="str">
        <x:v>A blank is preferable to an unsupported estimate. Every material gap has a priority, owner, next action and the phase in which it must be closed.</x:v>
      </x:c>
      <x:c r="C2" s="9" t="str">
        <x:v>A blank is preferable to an unsupported estimate. Every material gap has a priority, owner, next action and the phase in which it must be closed.</x:v>
      </x:c>
      <x:c r="D2" s="9" t="str">
        <x:v>A blank is preferable to an unsupported estimate. Every material gap has a priority, owner, next action and the phase in which it must be closed.</x:v>
      </x:c>
      <x:c r="E2" s="9" t="str">
        <x:v>A blank is preferable to an unsupported estimate. Every material gap has a priority, owner, next action and the phase in which it must be closed.</x:v>
      </x:c>
      <x:c r="F2" s="9" t="str">
        <x:v>A blank is preferable to an unsupported estimate. Every material gap has a priority, owner, next action and the phase in which it must be closed.</x:v>
      </x:c>
      <x:c r="G2" s="9" t="str">
        <x:v>A blank is preferable to an unsupported estimate. Every material gap has a priority, owner, next action and the phase in which it must be closed.</x:v>
      </x:c>
      <x:c r="H2" s="9" t="str">
        <x:v>A blank is preferable to an unsupported estimate. Every material gap has a priority, owner, next action and the phase in which it must be closed.</x:v>
      </x:c>
      <x:c r="I2" s="9" t="str">
        <x:v>A blank is preferable to an unsupported estimate. Every material gap has a priority, owner, next action and the phase in which it must be closed.</x:v>
      </x:c>
    </x:row>
    <x:row r="4" ht="21" customHeight="1">
      <x:c r="A4" s="13" t="str">
        <x:v>Open evidence requests</x:v>
      </x:c>
      <x:c r="B4" s="13" t="str">
        <x:v>Open evidence requests</x:v>
      </x:c>
      <x:c r="C4" s="13" t="str">
        <x:v>Open evidence requests</x:v>
      </x:c>
      <x:c r="D4" s="13" t="str">
        <x:v>Open evidence requests</x:v>
      </x:c>
      <x:c r="E4" s="13" t="str">
        <x:v>Open evidence requests</x:v>
      </x:c>
      <x:c r="F4" s="13" t="str">
        <x:v>Open evidence requests</x:v>
      </x:c>
      <x:c r="G4" s="13" t="str">
        <x:v>Open evidence requests</x:v>
      </x:c>
      <x:c r="H4" s="13" t="str">
        <x:v>Open evidence requests</x:v>
      </x:c>
      <x:c r="I4" s="13" t="str">
        <x:v>Open evidence requests</x:v>
      </x:c>
    </x:row>
    <x:row r="6" ht="32" customHeight="1">
      <x:c r="A6" s="65" t="str">
        <x:v>Gap ID</x:v>
      </x:c>
      <x:c r="B6" s="65" t="str">
        <x:v>Topic</x:v>
      </x:c>
      <x:c r="C6" s="65" t="str">
        <x:v>Missing evidence</x:v>
      </x:c>
      <x:c r="D6" s="65" t="str">
        <x:v>Priority</x:v>
      </x:c>
      <x:c r="E6" s="65" t="str">
        <x:v>Status</x:v>
      </x:c>
      <x:c r="F6" s="65" t="str">
        <x:v>Required by</x:v>
      </x:c>
      <x:c r="G6" s="65" t="str">
        <x:v>Owner</x:v>
      </x:c>
      <x:c r="H6" s="65" t="str">
        <x:v>Next action</x:v>
      </x:c>
      <x:c r="I6" s="65" t="str">
        <x:v>Why it matters</x:v>
      </x:c>
    </x:row>
    <x:row r="7" ht="45" customHeight="1">
      <x:c r="A7" s="85" t="str">
        <x:v>GAP-01</x:v>
      </x:c>
      <x:c r="B7" s="86" t="str">
        <x:v>Industry</x:v>
      </x:c>
      <x:c r="C7" s="86" t="str">
        <x:v>Annual national container-throughput series for 2021–2024 with identical scope</x:v>
      </x:c>
      <x:c r="D7" s="86" t="str">
        <x:v>High</x:v>
      </x:c>
      <x:c r="E7" s="143" t="str">
        <x:v>Open</x:v>
      </x:c>
      <x:c r="F7" s="86" t="str">
        <x:v>Phase 3</x:v>
      </x:c>
      <x:c r="G7" s="86" t="str">
        <x:v>Researcher</x:v>
      </x:c>
      <x:c r="H7" s="86" t="str">
        <x:v>Download regulator annual/monthly reports and reconcile definition changes.</x:v>
      </x:c>
      <x:c r="I7" s="87" t="str">
        <x:v>Required to estimate trade-to-TEU elasticity.</x:v>
      </x:c>
    </x:row>
    <x:row r="8" ht="45" customHeight="1">
      <x:c r="A8" s="88" t="str">
        <x:v>GAP-02</x:v>
      </x:c>
      <x:c r="B8" s="89" t="str">
        <x:v>Regional</x:v>
      </x:c>
      <x:c r="C8" s="89" t="str">
        <x:v>Comparable North / Central / South TEU history</x:v>
      </x:c>
      <x:c r="D8" s="89" t="str">
        <x:v>High</x:v>
      </x:c>
      <x:c r="E8" s="140" t="str">
        <x:v>Partially closed</x:v>
      </x:c>
      <x:c r="F8" s="89" t="str">
        <x:v>Phase 3</x:v>
      </x:c>
      <x:c r="G8" s="89" t="str">
        <x:v>Researcher</x:v>
      </x:c>
      <x:c r="H8" s="89" t="str">
        <x:v>Regional positioning map is complete; annual regional TEU history remains required for the forecast.</x:v>
      </x:c>
      <x:c r="I8" s="90" t="str">
        <x:v>Needed to avoid applying national growth equally to all assets.</x:v>
      </x:c>
    </x:row>
    <x:row r="9" ht="45" customHeight="1">
      <x:c r="A9" s="88" t="str">
        <x:v>GAP-03</x:v>
      </x:c>
      <x:c r="B9" s="89" t="str">
        <x:v>GMD</x:v>
      </x:c>
      <x:c r="C9" s="89" t="str">
        <x:v>Port-level throughput history and utilization</x:v>
      </x:c>
      <x:c r="D9" s="89" t="str">
        <x:v>High</x:v>
      </x:c>
      <x:c r="E9" s="140" t="str">
        <x:v>Partially closed</x:v>
      </x:c>
      <x:c r="F9" s="89" t="str">
        <x:v>Phase 4</x:v>
      </x:c>
      <x:c r="G9" s="89" t="str">
        <x:v>Researcher</x:v>
      </x:c>
      <x:c r="H9" s="89" t="str">
        <x:v>Five-year system history is loaded; 2021–2022 throughput is derived from rounded issuer growth labels, while 2023–2025 uses exact disclosed points.</x:v>
      </x:c>
      <x:c r="I9" s="90" t="str">
        <x:v>Core driver for throughput × tariff model.</x:v>
      </x:c>
    </x:row>
    <x:row r="10" ht="45" customHeight="1">
      <x:c r="A10" s="88" t="str">
        <x:v>GAP-04</x:v>
      </x:c>
      <x:c r="B10" s="89" t="str">
        <x:v>GMD</x:v>
      </x:c>
      <x:c r="C10" s="89" t="str">
        <x:v>Nam Dinh Vu Phase 3 capacity: 650k versus 800k TEU</x:v>
      </x:c>
      <x:c r="D10" s="89" t="str">
        <x:v>High</x:v>
      </x:c>
      <x:c r="E10" s="140" t="str">
        <x:v>Open — controlled</x:v>
      </x:c>
      <x:c r="F10" s="89" t="str">
        <x:v>Phase 4</x:v>
      </x:c>
      <x:c r="G10" s="89" t="str">
        <x:v>Researcher</x:v>
      </x:c>
      <x:c r="H10" s="89" t="str">
        <x:v>Capacity definitions remain asset- and phase-specific; the forecast must keep North and South capacity ramps separate.</x:v>
      </x:c>
      <x:c r="I10" s="90" t="str">
        <x:v>Do not average the two figures.</x:v>
      </x:c>
    </x:row>
    <x:row r="11" ht="45" customHeight="1">
      <x:c r="A11" s="88" t="str">
        <x:v>GAP-05</x:v>
      </x:c>
      <x:c r="B11" s="89" t="str">
        <x:v>GMD</x:v>
      </x:c>
      <x:c r="C11" s="89" t="str">
        <x:v>Gemalink Phase 2 timing: early versus late 2027</x:v>
      </x:c>
      <x:c r="D11" s="89" t="str">
        <x:v>Medium</x:v>
      </x:c>
      <x:c r="E11" s="140" t="str">
        <x:v>Open — latest used</x:v>
      </x:c>
      <x:c r="F11" s="89" t="str">
        <x:v>Phase 3</x:v>
      </x:c>
      <x:c r="G11" s="89" t="str">
        <x:v>Researcher</x:v>
      </x:c>
      <x:c r="H11" s="89" t="str">
        <x:v>Use Q1 2026 newsletter as latest; monitor subsequent IR.</x:v>
      </x:c>
      <x:c r="I11" s="90" t="str">
        <x:v>Timing changes volume and capex phasing.</x:v>
      </x:c>
    </x:row>
    <x:row r="12" ht="45" customHeight="1">
      <x:c r="A12" s="88" t="str">
        <x:v>GAP-06</x:v>
      </x:c>
      <x:c r="B12" s="89" t="str">
        <x:v>VSC</x:v>
      </x:c>
      <x:c r="C12" s="89" t="str">
        <x:v>Auditable issuer-level 2025 capacity, throughput and revenue split</x:v>
      </x:c>
      <x:c r="D12" s="89" t="str">
        <x:v>High</x:v>
      </x:c>
      <x:c r="E12" s="140" t="str">
        <x:v>Partially closed</x:v>
      </x:c>
      <x:c r="F12" s="89" t="str">
        <x:v>Phase 3</x:v>
      </x:c>
      <x:c r="G12" s="89" t="str">
        <x:v>Researcher</x:v>
      </x:c>
      <x:c r="H12" s="89" t="str">
        <x:v>2025 financial statements verified; port-level 2025 throughput remains undisclosed in an auditable issuer table.</x:v>
      </x:c>
      <x:c r="I12" s="90" t="str">
        <x:v>Secondary capacity figure cannot finalize peer score.</x:v>
      </x:c>
    </x:row>
    <x:row r="13" ht="45" customHeight="1">
      <x:c r="A13" s="88" t="str">
        <x:v>GAP-07</x:v>
      </x:c>
      <x:c r="B13" s="89" t="str">
        <x:v>PHP</x:v>
      </x:c>
      <x:c r="C13" s="89" t="str">
        <x:v>Normalize parent versus consolidated throughput and profit definition</x:v>
      </x:c>
      <x:c r="D13" s="89" t="str">
        <x:v>Medium</x:v>
      </x:c>
      <x:c r="E13" s="140" t="str">
        <x:v>Open</x:v>
      </x:c>
      <x:c r="F13" s="89" t="str">
        <x:v>Phase 4</x:v>
      </x:c>
      <x:c r="G13" s="89" t="str">
        <x:v>Researcher</x:v>
      </x:c>
      <x:c r="H13" s="89" t="str">
        <x:v>Tie annual-report operating table to audited financial statements.</x:v>
      </x:c>
      <x:c r="I13" s="90" t="str">
        <x:v>Avoid double counting subsidiaries/associates.</x:v>
      </x:c>
    </x:row>
    <x:row r="14" ht="45" customHeight="1">
      <x:c r="A14" s="88" t="str">
        <x:v>GAP-08</x:v>
      </x:c>
      <x:c r="B14" s="89" t="str">
        <x:v>DVP</x:v>
      </x:c>
      <x:c r="C14" s="89" t="str">
        <x:v>2025 numerical KPI and financial table</x:v>
      </x:c>
      <x:c r="D14" s="89" t="str">
        <x:v>High</x:v>
      </x:c>
      <x:c r="E14" s="140" t="str">
        <x:v>Closed for peer screen</x:v>
      </x:c>
      <x:c r="F14" s="89" t="str">
        <x:v>Phase 2</x:v>
      </x:c>
      <x:c r="G14" s="89" t="str">
        <x:v>Researcher</x:v>
      </x:c>
      <x:c r="H14" s="89" t="str">
        <x:v>Official 2025 throughput, revenue, PBT and 2026 AGM plan loaded.</x:v>
      </x:c>
      <x:c r="I14" s="90" t="str">
        <x:v>Current evidence is qualitative only.</x:v>
      </x:c>
    </x:row>
    <x:row r="15" ht="45" customHeight="1">
      <x:c r="A15" s="88" t="str">
        <x:v>GAP-09</x:v>
      </x:c>
      <x:c r="B15" s="89" t="str">
        <x:v>Pricing</x:v>
      </x:c>
      <x:c r="C15" s="89" t="str">
        <x:v>Port-level realized tariff / revenue per TEU</x:v>
      </x:c>
      <x:c r="D15" s="89" t="str">
        <x:v>High</x:v>
      </x:c>
      <x:c r="E15" s="140" t="str">
        <x:v>Controlled proxy built</x:v>
      </x:c>
      <x:c r="F15" s="89" t="str">
        <x:v>Phase 4</x:v>
      </x:c>
      <x:c r="G15" s="89" t="str">
        <x:v>Researcher</x:v>
      </x:c>
      <x:c r="H15" s="89" t="str">
        <x:v>Implied port revenue per system TEU remains a price/mix/scope proxy, not a realized tariff.</x:v>
      </x:c>
      <x:c r="I15" s="90" t="str">
        <x:v>Needed to bridge volume to revenue.</x:v>
      </x:c>
    </x:row>
    <x:row r="16" ht="45" customHeight="1">
      <x:c r="A16" s="91" t="str">
        <x:v>GAP-10</x:v>
      </x:c>
      <x:c r="B16" s="92" t="str">
        <x:v>Valuation</x:v>
      </x:c>
      <x:c r="C16" s="92" t="str">
        <x:v>Common market-price date, shares, net debt and minority-interest treatment</x:v>
      </x:c>
      <x:c r="D16" s="92" t="str">
        <x:v>High</x:v>
      </x:c>
      <x:c r="E16" s="144" t="str">
        <x:v>Not started</x:v>
      </x:c>
      <x:c r="F16" s="92" t="str">
        <x:v>Phase 4</x:v>
      </x:c>
      <x:c r="G16" s="92" t="str">
        <x:v>Researcher</x:v>
      </x:c>
      <x:c r="H16" s="92" t="str">
        <x:v>Lock one valuation date and official share counts.</x:v>
      </x:c>
      <x:c r="I16" s="93" t="str">
        <x:v>No rating or target price before this is complete.</x:v>
      </x:c>
    </x:row>
  </x:sheetData>
  <x:mergeCells>
    <x:mergeCell ref="A1:I1"/>
    <x:mergeCell ref="A2:I2"/>
    <x:mergeCell ref="A4:I4"/>
  </x:mergeCells>
  <x:conditionalFormatting sqref="D7:D16">
    <x:cfRule type="cellIs" dxfId="0" priority="1" operator="equal">
      <x:formula>"High"</x:formula>
    </x:cfRule>
  </x:conditionalFormatting>
  <x:pageMargins left="0.7" right="0.7" top="0.75" bottom="0.75" header="0.3" footer="0.3"/>
  <x:tableParts count="1">
    <x:tablePart xmlns:r="http://schemas.openxmlformats.org/officeDocument/2006/relationships" r:id="Rda024da320c44b18"/>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35" hidden="0" customWidth="1"/>
    <x:col min="2" max="2" width="15" hidden="0" customWidth="1"/>
    <x:col min="3" max="3" width="15" hidden="0" customWidth="1"/>
    <x:col min="4" max="4" width="15" hidden="0" customWidth="1"/>
    <x:col min="5" max="5" width="14" hidden="0" customWidth="1"/>
    <x:col min="6" max="6" width="58" hidden="0" customWidth="1"/>
  </x:cols>
  <x:sheetData>
    <x:row r="1" ht="30" customHeight="1">
      <x:c r="A1" s="4" t="str">
        <x:v>Checks — Phase 0 &amp; 1 Control Sheet</x:v>
      </x:c>
      <x:c r="B1" s="4" t="str">
        <x:v>Checks — Phase 0 &amp; 1 Control Sheet</x:v>
      </x:c>
      <x:c r="C1" s="4" t="str">
        <x:v>Checks — Phase 0 &amp; 1 Control Sheet</x:v>
      </x:c>
      <x:c r="D1" s="4" t="str">
        <x:v>Checks — Phase 0 &amp; 1 Control Sheet</x:v>
      </x:c>
      <x:c r="E1" s="4" t="str">
        <x:v>Checks — Phase 0 &amp; 1 Control Sheet</x:v>
      </x:c>
      <x:c r="F1" s="4" t="str">
        <x:v>Checks — Phase 0 &amp; 1 Control Sheet</x:v>
      </x:c>
    </x:row>
    <x:row r="2" ht="34" customHeight="1">
      <x:c r="A2" s="9" t="str">
        <x:v>Formula-driven checks verify source coverage, formula tie-outs and key unit boundaries. Passing checks do not constitute an investment recommendation.</x:v>
      </x:c>
      <x:c r="B2" s="9" t="str">
        <x:v>Formula-driven checks verify source coverage, formula tie-outs and key unit boundaries. Passing checks do not constitute an investment recommendation.</x:v>
      </x:c>
      <x:c r="C2" s="9" t="str">
        <x:v>Formula-driven checks verify source coverage, formula tie-outs and key unit boundaries. Passing checks do not constitute an investment recommendation.</x:v>
      </x:c>
      <x:c r="D2" s="9" t="str">
        <x:v>Formula-driven checks verify source coverage, formula tie-outs and key unit boundaries. Passing checks do not constitute an investment recommendation.</x:v>
      </x:c>
      <x:c r="E2" s="9" t="str">
        <x:v>Formula-driven checks verify source coverage, formula tie-outs and key unit boundaries. Passing checks do not constitute an investment recommendation.</x:v>
      </x:c>
      <x:c r="F2" s="9" t="str">
        <x:v>Formula-driven checks verify source coverage, formula tie-outs and key unit boundaries. Passing checks do not constitute an investment recommendation.</x:v>
      </x:c>
    </x:row>
    <x:row r="4" ht="21" customHeight="1">
      <x:c r="A4" s="13" t="str">
        <x:v>Audit checks</x:v>
      </x:c>
      <x:c r="B4" s="13" t="str">
        <x:v>Audit checks</x:v>
      </x:c>
      <x:c r="C4" s="13" t="str">
        <x:v>Audit checks</x:v>
      </x:c>
      <x:c r="D4" s="13" t="str">
        <x:v>Audit checks</x:v>
      </x:c>
      <x:c r="E4" s="13" t="str">
        <x:v>Audit checks</x:v>
      </x:c>
      <x:c r="F4" s="13" t="str">
        <x:v>Audit checks</x:v>
      </x:c>
    </x:row>
    <x:row r="6" ht="32" customHeight="1">
      <x:c r="A6" s="65" t="str">
        <x:v>Check</x:v>
      </x:c>
      <x:c r="B6" s="65" t="str">
        <x:v>Actual</x:v>
      </x:c>
      <x:c r="C6" s="65" t="str">
        <x:v>Expected</x:v>
      </x:c>
      <x:c r="D6" s="65" t="str">
        <x:v>Difference</x:v>
      </x:c>
      <x:c r="E6" s="65" t="str">
        <x:v>Status</x:v>
      </x:c>
      <x:c r="F6" s="65" t="str">
        <x:v>Control note</x:v>
      </x:c>
    </x:row>
    <x:row r="7" ht="29" customHeight="1">
      <x:c r="A7" s="85" t="str">
        <x:v>Registered sources</x:v>
      </x:c>
      <x:c r="B7" s="145" t="n">
        <x:f>COUNTA('Source Audit'!A7:A32)</x:f>
        <x:v>26</x:v>
      </x:c>
      <x:c r="C7" s="104" t="n">
        <x:v>26</x:v>
      </x:c>
      <x:c r="D7" s="104" t="n">
        <x:f>B7-C7</x:f>
        <x:v>0</x:v>
      </x:c>
      <x:c r="E7" s="148" t="str">
        <x:f>IF(ABS(D7)&lt;0.0001,"OK","CHECK")</x:f>
        <x:v>OK</x:v>
      </x:c>
      <x:c r="F7" s="87" t="str">
        <x:v>Source Audit count</x:v>
      </x:c>
    </x:row>
    <x:row r="8" ht="29" customHeight="1">
      <x:c r="A8" s="88" t="str">
        <x:v>Annual macro rows</x:v>
      </x:c>
      <x:c r="B8" s="146" t="n">
        <x:f>COUNTA('Macro Annual'!A7:A11)</x:f>
        <x:v>5</x:v>
      </x:c>
      <x:c r="C8" s="106" t="n">
        <x:v>5</x:v>
      </x:c>
      <x:c r="D8" s="106" t="n">
        <x:f>B8-C8</x:f>
        <x:v>0</x:v>
      </x:c>
      <x:c r="E8" s="149" t="str">
        <x:f>IF(ABS(D8)&lt;0.0001,"OK","CHECK")</x:f>
        <x:v>OK</x:v>
      </x:c>
      <x:c r="F8" s="90" t="str">
        <x:v>Five years loaded</x:v>
      </x:c>
    </x:row>
    <x:row r="9" ht="29" customHeight="1">
      <x:c r="A9" s="88" t="str">
        <x:v>H1 macro facts</x:v>
      </x:c>
      <x:c r="B9" s="146" t="n">
        <x:f>COUNTA('Macro H1 2026'!A7:A11)</x:f>
        <x:v>5</x:v>
      </x:c>
      <x:c r="C9" s="106" t="n">
        <x:v>5</x:v>
      </x:c>
      <x:c r="D9" s="106" t="n">
        <x:f>B9-C9</x:f>
        <x:v>0</x:v>
      </x:c>
      <x:c r="E9" s="149" t="str">
        <x:f>IF(ABS(D9)&lt;0.0001,"OK","CHECK")</x:f>
        <x:v>OK</x:v>
      </x:c>
      <x:c r="F9" s="90" t="str">
        <x:v>Latest snapshot loaded</x:v>
      </x:c>
    </x:row>
    <x:row r="10" ht="29" customHeight="1">
      <x:c r="A10" s="88" t="str">
        <x:v>Industry facts</x:v>
      </x:c>
      <x:c r="B10" s="146" t="n">
        <x:f>COUNTA('Industry Facts'!A7:A17)</x:f>
        <x:v>11</x:v>
      </x:c>
      <x:c r="C10" s="106" t="n">
        <x:v>11</x:v>
      </x:c>
      <x:c r="D10" s="106" t="n">
        <x:f>B10-C10</x:f>
        <x:v>0</x:v>
      </x:c>
      <x:c r="E10" s="149" t="str">
        <x:f>IF(ABS(D10)&lt;0.0001,"OK","CHECK")</x:f>
        <x:v>OK</x:v>
      </x:c>
      <x:c r="F10" s="90" t="str">
        <x:v>Facts and planning targets remain classified</x:v>
      </x:c>
    </x:row>
    <x:row r="11" ht="29" customHeight="1">
      <x:c r="A11" s="88" t="str">
        <x:v>GMD historical rows</x:v>
      </x:c>
      <x:c r="B11" s="146" t="n">
        <x:f>COUNTA('GMD Historical'!A7:A12)</x:f>
        <x:v>6</x:v>
      </x:c>
      <x:c r="C11" s="106" t="n">
        <x:v>6</x:v>
      </x:c>
      <x:c r="D11" s="106" t="n">
        <x:f>B11-C11</x:f>
        <x:v>0</x:v>
      </x:c>
      <x:c r="E11" s="149" t="str">
        <x:f>IF(ABS(D11)&lt;0.0001,"OK","CHECK")</x:f>
        <x:v>OK</x:v>
      </x:c>
      <x:c r="F11" s="90" t="str">
        <x:v>Historical series loaded</x:v>
      </x:c>
    </x:row>
    <x:row r="12" ht="29" customHeight="1">
      <x:c r="A12" s="88" t="str">
        <x:v>GMD operating facts</x:v>
      </x:c>
      <x:c r="B12" s="146" t="n">
        <x:f>COUNTA('GMD Operations'!A7:A26)</x:f>
        <x:v>20</x:v>
      </x:c>
      <x:c r="C12" s="106" t="n">
        <x:v>20</x:v>
      </x:c>
      <x:c r="D12" s="106" t="n">
        <x:f>B12-C12</x:f>
        <x:v>0</x:v>
      </x:c>
      <x:c r="E12" s="149" t="str">
        <x:f>IF(ABS(D12)&lt;0.0001,"OK","CHECK")</x:f>
        <x:v>OK</x:v>
      </x:c>
      <x:c r="F12" s="90" t="str">
        <x:v>Capacity and actuals remain separate</x:v>
      </x:c>
    </x:row>
    <x:row r="13" ht="29" customHeight="1">
      <x:c r="A13" s="88" t="str">
        <x:v>Peer companies</x:v>
      </x:c>
      <x:c r="B13" s="146" t="n">
        <x:f>COUNTA('Peer Registry'!A7:A10)</x:f>
        <x:v>4</x:v>
      </x:c>
      <x:c r="C13" s="106" t="n">
        <x:v>4</x:v>
      </x:c>
      <x:c r="D13" s="106" t="n">
        <x:f>B13-C13</x:f>
        <x:v>0</x:v>
      </x:c>
      <x:c r="E13" s="149" t="str">
        <x:f>IF(ABS(D13)&lt;0.0001,"OK","CHECK")</x:f>
        <x:v>OK</x:v>
      </x:c>
      <x:c r="F13" s="90" t="str">
        <x:v>Universe contains GMD, VSC, PHP and DVP</x:v>
      </x:c>
    </x:row>
    <x:row r="14" ht="29" customHeight="1">
      <x:c r="A14" s="88" t="str">
        <x:v>Data-dictionary rows</x:v>
      </x:c>
      <x:c r="B14" s="146" t="n">
        <x:f>COUNTA('Data Dictionary'!A7:A21)</x:f>
        <x:v>15</x:v>
      </x:c>
      <x:c r="C14" s="106" t="n">
        <x:v>15</x:v>
      </x:c>
      <x:c r="D14" s="106" t="n">
        <x:f>B14-C14</x:f>
        <x:v>0</x:v>
      </x:c>
      <x:c r="E14" s="149" t="str">
        <x:f>IF(ABS(D14)&lt;0.0001,"OK","CHECK")</x:f>
        <x:v>OK</x:v>
      </x:c>
      <x:c r="F14" s="90" t="str">
        <x:v>Definitions loaded</x:v>
      </x:c>
    </x:row>
    <x:row r="15" ht="29" customHeight="1">
      <x:c r="A15" s="88" t="str">
        <x:v>Gap-log rows</x:v>
      </x:c>
      <x:c r="B15" s="146" t="n">
        <x:f>COUNTA('Gap Log'!A7:A16)</x:f>
        <x:v>10</x:v>
      </x:c>
      <x:c r="C15" s="106" t="n">
        <x:v>10</x:v>
      </x:c>
      <x:c r="D15" s="106" t="n">
        <x:f>B15-C15</x:f>
        <x:v>0</x:v>
      </x:c>
      <x:c r="E15" s="149" t="str">
        <x:f>IF(ABS(D15)&lt;0.0001,"OK","CHECK")</x:f>
        <x:v>OK</x:v>
      </x:c>
      <x:c r="F15" s="90" t="str">
        <x:v>No unsupported estimate used to fill gaps</x:v>
      </x:c>
    </x:row>
    <x:row r="16" ht="29" customHeight="1">
      <x:c r="A16" s="88" t="str">
        <x:v>2021 trade tie-out</x:v>
      </x:c>
      <x:c r="B16" s="146" t="n">
        <x:f>'Macro Annual'!I7</x:f>
        <x:v>0</x:v>
      </x:c>
      <x:c r="C16" s="106" t="n">
        <x:v>0</x:v>
      </x:c>
      <x:c r="D16" s="106" t="n">
        <x:f>B16-C16</x:f>
        <x:v>0</x:v>
      </x:c>
      <x:c r="E16" s="149" t="str">
        <x:f>IF(ABS(D16)&lt;0.0001,"OK","CHECK")</x:f>
        <x:v>OK</x:v>
      </x:c>
      <x:c r="F16" s="90" t="str">
        <x:v>Total trade equals exports plus imports</x:v>
      </x:c>
    </x:row>
    <x:row r="17" ht="29" customHeight="1">
      <x:c r="A17" s="88" t="str">
        <x:v>2022 trade tie-out</x:v>
      </x:c>
      <x:c r="B17" s="146" t="n">
        <x:f>'Macro Annual'!I8</x:f>
        <x:v>0</x:v>
      </x:c>
      <x:c r="C17" s="106" t="n">
        <x:v>0</x:v>
      </x:c>
      <x:c r="D17" s="106" t="n">
        <x:f>B17-C17</x:f>
        <x:v>0</x:v>
      </x:c>
      <x:c r="E17" s="149" t="str">
        <x:f>IF(ABS(D17)&lt;0.0001,"OK","CHECK")</x:f>
        <x:v>OK</x:v>
      </x:c>
      <x:c r="F17" s="90" t="str">
        <x:v>Total trade equals exports plus imports</x:v>
      </x:c>
    </x:row>
    <x:row r="18" ht="29" customHeight="1">
      <x:c r="A18" s="88" t="str">
        <x:v>2023 trade tie-out</x:v>
      </x:c>
      <x:c r="B18" s="146" t="n">
        <x:f>'Macro Annual'!I9</x:f>
        <x:v>0</x:v>
      </x:c>
      <x:c r="C18" s="106" t="n">
        <x:v>0</x:v>
      </x:c>
      <x:c r="D18" s="106" t="n">
        <x:f>B18-C18</x:f>
        <x:v>0</x:v>
      </x:c>
      <x:c r="E18" s="149" t="str">
        <x:f>IF(ABS(D18)&lt;0.0001,"OK","CHECK")</x:f>
        <x:v>OK</x:v>
      </x:c>
      <x:c r="F18" s="90" t="str">
        <x:v>Total trade equals exports plus imports</x:v>
      </x:c>
    </x:row>
    <x:row r="19" ht="29" customHeight="1">
      <x:c r="A19" s="88" t="str">
        <x:v>2024 trade tie-out</x:v>
      </x:c>
      <x:c r="B19" s="146" t="n">
        <x:f>'Macro Annual'!I10</x:f>
        <x:v>0</x:v>
      </x:c>
      <x:c r="C19" s="106" t="n">
        <x:v>0</x:v>
      </x:c>
      <x:c r="D19" s="106" t="n">
        <x:f>B19-C19</x:f>
        <x:v>0</x:v>
      </x:c>
      <x:c r="E19" s="149" t="str">
        <x:f>IF(ABS(D19)&lt;0.0001,"OK","CHECK")</x:f>
        <x:v>OK</x:v>
      </x:c>
      <x:c r="F19" s="90" t="str">
        <x:v>Total trade equals exports plus imports</x:v>
      </x:c>
    </x:row>
    <x:row r="20" ht="29" customHeight="1">
      <x:c r="A20" s="88" t="str">
        <x:v>2025 trade tie-out</x:v>
      </x:c>
      <x:c r="B20" s="146" t="n">
        <x:f>'Macro Annual'!I11</x:f>
        <x:v>0</x:v>
      </x:c>
      <x:c r="C20" s="106" t="n">
        <x:v>0</x:v>
      </x:c>
      <x:c r="D20" s="106" t="n">
        <x:f>B20-C20</x:f>
        <x:v>0</x:v>
      </x:c>
      <x:c r="E20" s="149" t="str">
        <x:f>IF(ABS(D20)&lt;0.0001,"OK","CHECK")</x:f>
        <x:v>OK</x:v>
      </x:c>
      <x:c r="F20" s="90" t="str">
        <x:v>Total trade equals exports plus imports</x:v>
      </x:c>
    </x:row>
    <x:row r="21" ht="29" customHeight="1">
      <x:c r="A21" s="91" t="str">
        <x:v>Model boundary</x:v>
      </x:c>
      <x:c r="B21" s="147" t="n">
        <x:v>0</x:v>
      </x:c>
      <x:c r="C21" s="108" t="n">
        <x:v>0</x:v>
      </x:c>
      <x:c r="D21" s="108" t="n">
        <x:f>B21-C21</x:f>
        <x:v>0</x:v>
      </x:c>
      <x:c r="E21" s="150" t="str">
        <x:f>IF(ABS(D21)&lt;0.0001,"OK","CHECK")</x:f>
        <x:v>OK</x:v>
      </x:c>
      <x:c r="F21" s="93" t="str">
        <x:v>No rating or target price is included</x:v>
      </x:c>
    </x:row>
    <x:row r="24" ht="21" customHeight="1">
      <x:c r="A24" s="13" t="str">
        <x:v>Overall status</x:v>
      </x:c>
      <x:c r="B24" s="13" t="str">
        <x:v>Overall status</x:v>
      </x:c>
      <x:c r="C24" s="13" t="str">
        <x:v>Overall status</x:v>
      </x:c>
      <x:c r="D24" s="13" t="str">
        <x:v>Overall status</x:v>
      </x:c>
      <x:c r="E24" s="13" t="str">
        <x:v>Overall status</x:v>
      </x:c>
      <x:c r="F24" s="13" t="str">
        <x:v>Overall status</x:v>
      </x:c>
    </x:row>
    <x:row r="25" ht="28" customHeight="1">
      <x:c r="A25" s="16" t="str">
        <x:v>Phase 0–1 control status</x:v>
      </x:c>
      <x:c r="B25" s="58" t="str">
        <x:f>IF(COUNTIF(E7:E21,"CHECK")=0,"OK — foundation complete with documented gaps","CHECK — resolve failed controls")</x:f>
        <x:v>OK — foundation complete with documented gaps</x:v>
      </x:c>
      <x:c r="C25" s="58"/>
      <x:c r="D25" s="58"/>
      <x:c r="E25" s="58"/>
      <x:c r="F25" s="58"/>
    </x:row>
  </x:sheetData>
  <x:mergeCells>
    <x:mergeCell ref="A1:F1"/>
    <x:mergeCell ref="A2:F2"/>
    <x:mergeCell ref="A4:F4"/>
    <x:mergeCell ref="A24:F24"/>
    <x:mergeCell ref="B25:F25"/>
  </x:mergeCells>
  <x:conditionalFormatting sqref="E7:E21">
    <x:cfRule type="cellIs" dxfId="1" priority="1" operator="equal">
      <x:formula>"OK"</x:formula>
    </x:cfRule>
    <x:cfRule type="cellIs" dxfId="2" priority="2" operator="equal">
      <x:formula>"CHECK"</x:formula>
    </x:cfRule>
  </x:conditionalFormatting>
  <x:pageMargins left="0.7" right="0.7" top="0.75" bottom="0.75" header="0.3" footer="0.3"/>
  <x:tableParts count="1">
    <x:tablePart xmlns:r="http://schemas.openxmlformats.org/officeDocument/2006/relationships" r:id="R81d7260e2abd4909"/>
  </x:tableParts>
</x:worksheet>
</file>

<file path=xl/worksheets/sheet13.xml><?xml version="1.0" encoding="utf-8"?>
<x:worksheet xmlns:x="http://schemas.openxmlformats.org/spreadsheetml/2006/main">
  <x:sheetViews>
    <x:sheetView showGridLines="0" workbookViewId="0"/>
  </x:sheetViews>
  <x:sheetFormatPr defaultRowHeight="15"/>
  <x:cols>
    <x:col min="1" max="1" width="29" hidden="0" customWidth="1"/>
    <x:col min="2" max="2" width="31" hidden="0" customWidth="1"/>
    <x:col min="3" max="3" width="57" hidden="0" customWidth="1"/>
    <x:col min="4" max="4" width="43" hidden="0" customWidth="1"/>
    <x:col min="5" max="5" width="21" hidden="0" customWidth="1"/>
    <x:col min="6" max="6" width="52" hidden="0" customWidth="1"/>
    <x:col min="7" max="7" width="16" hidden="0" customWidth="1"/>
    <x:col min="8" max="8" width="43" hidden="0" customWidth="1"/>
    <x:col min="9" max="9" width="43" hidden="0" customWidth="1"/>
    <x:col min="10" max="10" width="33" hidden="0" customWidth="1"/>
    <x:col min="11" max="11" width="42" hidden="0" customWidth="1"/>
  </x:cols>
  <x:sheetData>
    <x:row r="1" ht="30" customHeight="1">
      <x:c r="A1" s="158" t="str">
        <x:v>Phase 2 — Regional Port Map</x:v>
      </x:c>
      <x:c r="B1" s="158" t="str">
        <x:v>Phase 2 — Regional Port Map</x:v>
      </x:c>
      <x:c r="C1" s="158" t="str">
        <x:v>Phase 2 — Regional Port Map</x:v>
      </x:c>
      <x:c r="D1" s="158" t="str">
        <x:v>Phase 2 — Regional Port Map</x:v>
      </x:c>
      <x:c r="E1" s="158" t="str">
        <x:v>Phase 2 — Regional Port Map</x:v>
      </x:c>
      <x:c r="F1" s="158" t="str">
        <x:v>Phase 2 — Regional Port Map</x:v>
      </x:c>
      <x:c r="G1" s="158" t="str">
        <x:v>Phase 2 — Regional Port Map</x:v>
      </x:c>
      <x:c r="H1" s="158" t="str">
        <x:v>Phase 2 — Regional Port Map</x:v>
      </x:c>
      <x:c r="I1" s="158" t="str">
        <x:v>Phase 2 — Regional Port Map</x:v>
      </x:c>
      <x:c r="J1" s="158" t="str">
        <x:v>Phase 2 — Regional Port Map</x:v>
      </x:c>
      <x:c r="K1" s="158" t="str">
        <x:v>Phase 2 — Regional Port Map</x:v>
      </x:c>
    </x:row>
    <x:row r="2" ht="34" customHeight="1">
      <x:c r="A2" s="162" t="str">
        <x:v>The national export recovery is filtered through channel depth, shipping-line connectivity, asset location and usable capacity. Regions are not assigned the same growth rate.</x:v>
      </x:c>
      <x:c r="B2" s="162" t="str">
        <x:v>The national export recovery is filtered through channel depth, shipping-line connectivity, asset location and usable capacity. Regions are not assigned the same growth rate.</x:v>
      </x:c>
      <x:c r="C2" s="162" t="str">
        <x:v>The national export recovery is filtered through channel depth, shipping-line connectivity, asset location and usable capacity. Regions are not assigned the same growth rate.</x:v>
      </x:c>
      <x:c r="D2" s="162" t="str">
        <x:v>The national export recovery is filtered through channel depth, shipping-line connectivity, asset location and usable capacity. Regions are not assigned the same growth rate.</x:v>
      </x:c>
      <x:c r="E2" s="162" t="str">
        <x:v>The national export recovery is filtered through channel depth, shipping-line connectivity, asset location and usable capacity. Regions are not assigned the same growth rate.</x:v>
      </x:c>
      <x:c r="F2" s="162" t="str">
        <x:v>The national export recovery is filtered through channel depth, shipping-line connectivity, asset location and usable capacity. Regions are not assigned the same growth rate.</x:v>
      </x:c>
      <x:c r="G2" s="162" t="str">
        <x:v>The national export recovery is filtered through channel depth, shipping-line connectivity, asset location and usable capacity. Regions are not assigned the same growth rate.</x:v>
      </x:c>
      <x:c r="H2" s="162" t="str">
        <x:v>The national export recovery is filtered through channel depth, shipping-line connectivity, asset location and usable capacity. Regions are not assigned the same growth rate.</x:v>
      </x:c>
      <x:c r="I2" s="162" t="str">
        <x:v>The national export recovery is filtered through channel depth, shipping-line connectivity, asset location and usable capacity. Regions are not assigned the same growth rate.</x:v>
      </x:c>
      <x:c r="J2" s="162" t="str">
        <x:v>The national export recovery is filtered through channel depth, shipping-line connectivity, asset location and usable capacity. Regions are not assigned the same growth rate.</x:v>
      </x:c>
      <x:c r="K2" s="162" t="str">
        <x:v>The national export recovery is filtered through channel depth, shipping-line connectivity, asset location and usable capacity. Regions are not assigned the same growth rate.</x:v>
      </x:c>
    </x:row>
    <x:row r="4" ht="21" customHeight="1">
      <x:c r="A4" s="165" t="str">
        <x:v>Regional positioning matrix</x:v>
      </x:c>
      <x:c r="B4" s="165" t="str">
        <x:v>Regional positioning matrix</x:v>
      </x:c>
      <x:c r="C4" s="165" t="str">
        <x:v>Regional positioning matrix</x:v>
      </x:c>
      <x:c r="D4" s="165" t="str">
        <x:v>Regional positioning matrix</x:v>
      </x:c>
      <x:c r="E4" s="165" t="str">
        <x:v>Regional positioning matrix</x:v>
      </x:c>
      <x:c r="F4" s="165" t="str">
        <x:v>Regional positioning matrix</x:v>
      </x:c>
      <x:c r="G4" s="165" t="str">
        <x:v>Regional positioning matrix</x:v>
      </x:c>
      <x:c r="H4" s="165" t="str">
        <x:v>Regional positioning matrix</x:v>
      </x:c>
      <x:c r="I4" s="165" t="str">
        <x:v>Regional positioning matrix</x:v>
      </x:c>
      <x:c r="J4" s="165" t="str">
        <x:v>Regional positioning matrix</x:v>
      </x:c>
      <x:c r="K4" s="165" t="str">
        <x:v>Regional positioning matrix</x:v>
      </x:c>
    </x:row>
    <x:row r="6" ht="32" customHeight="1">
      <x:c r="A6" s="171" t="str">
        <x:v>Region / cluster</x:v>
      </x:c>
      <x:c r="B6" s="171" t="str">
        <x:v>Geography</x:v>
      </x:c>
      <x:c r="C6" s="171" t="str">
        <x:v>Demand / connectivity anchor</x:v>
      </x:c>
      <x:c r="D6" s="171" t="str">
        <x:v>Asset-position read</x:v>
      </x:c>
      <x:c r="E6" s="171" t="str">
        <x:v>Relevant peers</x:v>
      </x:c>
      <x:c r="F6" s="171" t="str">
        <x:v>Key assets</x:v>
      </x:c>
      <x:c r="G6" s="171" t="str">
        <x:v>Structural score</x:v>
      </x:c>
      <x:c r="H6" s="171" t="str">
        <x:v>ER implication</x:v>
      </x:c>
      <x:c r="I6" s="171" t="str">
        <x:v>Main risk</x:v>
      </x:c>
      <x:c r="J6" s="171" t="str">
        <x:v>Source ID</x:v>
      </x:c>
      <x:c r="K6" s="171" t="str">
        <x:v>Audit note</x:v>
      </x:c>
    </x:row>
    <x:row r="7" ht="62" customHeight="1">
      <x:c r="A7" s="85" t="str">
        <x:v>North — downstream Hai Phong</x:v>
      </x:c>
      <x:c r="B7" s="86" t="str">
        <x:v>Hai Phong / Lach Huyen / Nam Dinh Vu</x:v>
      </x:c>
      <x:c r="C7" s="86" t="str">
        <x:v>Seaport Group 1 target: 13–16m TEU by 2030; 7 direct North America routes in 5M2024 disclosure</x:v>
      </x:c>
      <x:c r="D7" s="86" t="str">
        <x:v>Deeper-water and newer downstream assets</x:v>
      </x:c>
      <x:c r="E7" s="86" t="str">
        <x:v>GMD, VSC, PHP</x:v>
      </x:c>
      <x:c r="F7" s="86" t="str">
        <x:v>Nam Dinh Vu, VIP Greenport, Nam Hai Dinh Vu, Lach Huyen 3–4</x:v>
      </x:c>
      <x:c r="G7" s="178" t="n">
        <x:v>5</x:v>
      </x:c>
      <x:c r="H7" s="86" t="str">
        <x:v>Preferred northern exposure</x:v>
      </x:c>
      <x:c r="I7" s="86" t="str">
        <x:v>Capacity ramp, price competition, commissioning timing</x:v>
      </x:c>
      <x:c r="J7" s="86" t="str">
        <x:v>SRC-I02 / SRC-I04 / SRC-G01 / SRC-P02 / SRC-P08</x:v>
      </x:c>
      <x:c r="K7" s="87" t="str">
        <x:v>Use asset-level schedules in Phase 3.</x:v>
      </x:c>
    </x:row>
    <x:row r="8" ht="62" customHeight="1">
      <x:c r="A8" s="88" t="str">
        <x:v>North — upstream Dinh Vu / Tan Vu</x:v>
      </x:c>
      <x:c r="B8" s="89" t="str">
        <x:v>Upper Dinh Vu / Bach Dang channel</x:v>
      </x:c>
      <x:c r="C8" s="89" t="str">
        <x:v>Large incumbent cargo base but services are shifting downstream</x:v>
      </x:c>
      <x:c r="D8" s="89" t="str">
        <x:v>Channel and vessel-loading constraints</x:v>
      </x:c>
      <x:c r="E8" s="89" t="str">
        <x:v>DVP, PHP, VSC</x:v>
      </x:c>
      <x:c r="F8" s="89" t="str">
        <x:v>Dinh Vu Port, Tan Vu, Greenport</x:v>
      </x:c>
      <x:c r="G8" s="179" t="n">
        <x:v>2.5</x:v>
      </x:c>
      <x:c r="H8" s="89" t="str">
        <x:v>Cash-generative but structurally challenged</x:v>
      </x:c>
      <x:c r="I8" s="89" t="str">
        <x:v>Service rotation loss and dredging execution</x:v>
      </x:c>
      <x:c r="J8" s="89" t="str">
        <x:v>SRC-P09 / SRC-P11 / SRC-P02</x:v>
      </x:c>
      <x:c r="K8" s="90" t="str">
        <x:v>DVP lost two SITC services to Nam Dinh Vu.</x:v>
      </x:c>
    </x:row>
    <x:row r="9" ht="62" customHeight="1">
      <x:c r="A9" s="88" t="str">
        <x:v>South — Cai Mep–Thi Vai</x:v>
      </x:c>
      <x:c r="B9" s="89" t="str">
        <x:v>Ba Ria–Vung Tau / HCMC gateway</x:v>
      </x:c>
      <x:c r="C9" s="89" t="str">
        <x:v>&gt;35 direct services; vessel capability up to about 232,494 DWT</x:v>
      </x:c>
      <x:c r="D9" s="89" t="str">
        <x:v>Vietnam's strongest deep-water export gateway</x:v>
      </x:c>
      <x:c r="E9" s="89" t="str">
        <x:v>GMD</x:v>
      </x:c>
      <x:c r="F9" s="89" t="str">
        <x:v>Gemalink plus southern ICD/river-port network</x:v>
      </x:c>
      <x:c r="G9" s="179" t="n">
        <x:v>5</x:v>
      </x:c>
      <x:c r="H9" s="89" t="str">
        <x:v>Core structural advantage for GMD</x:v>
      </x:c>
      <x:c r="I9" s="89" t="str">
        <x:v>Associate ownership, Phase 2 capex and ramp timing</x:v>
      </x:c>
      <x:c r="J9" s="89" t="str">
        <x:v>SRC-I02 / SRC-I05 / SRC-G02 / SRC-G06</x:v>
      </x:c>
      <x:c r="K9" s="90" t="str">
        <x:v>Model attributable earnings, not only terminal throughput.</x:v>
      </x:c>
    </x:row>
    <x:row r="10" ht="62" customHeight="1">
      <x:c r="A10" s="91" t="str">
        <x:v>Central</x:v>
      </x:c>
      <x:c r="B10" s="92" t="str">
        <x:v>Dung Quat and central coast</x:v>
      </x:c>
      <x:c r="C10" s="92" t="str">
        <x:v>GMD disclosed 696k tonnes and 40.3% regional share in Q1 2026</x:v>
      </x:c>
      <x:c r="D10" s="92" t="str">
        <x:v>General cargo / bulk exposure; smaller container thesis</x:v>
      </x:c>
      <x:c r="E10" s="92" t="str">
        <x:v>GMD</x:v>
      </x:c>
      <x:c r="F10" s="92" t="str">
        <x:v>Dung Quat</x:v>
      </x:c>
      <x:c r="G10" s="180" t="n">
        <x:v>2.5</x:v>
      </x:c>
      <x:c r="H10" s="92" t="str">
        <x:v>Diversifier, not the core container driver</x:v>
      </x:c>
      <x:c r="I10" s="92" t="str">
        <x:v>Tonnes cannot be added to TEU</x:v>
      </x:c>
      <x:c r="J10" s="92" t="str">
        <x:v>SRC-G02</x:v>
      </x:c>
      <x:c r="K10" s="93" t="str">
        <x:v>Build a separate tonnes × tariff schedule.</x:v>
      </x:c>
    </x:row>
    <x:row r="12" ht="26" customHeight="1">
      <x:c r="A12" s="201"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B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C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D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E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F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G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H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I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J12" s="202"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K12" s="203"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row>
    <x:row r="13" ht="26" customHeight="1">
      <x:c r="A13" s="204"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B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C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D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E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F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G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H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I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J13"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K13" s="206"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row>
    <x:row r="14" ht="26" customHeight="1">
      <x:c r="A14" s="204"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B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C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D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E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F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G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H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I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J14" s="205"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K14" s="206"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row>
    <x:row r="15" ht="26" customHeight="1">
      <x:c r="A15" s="207"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B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C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D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E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F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G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H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I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J15" s="208"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c r="K15" s="209" t="str">
        <x:v>Phase 2 interpretation: downstream Hai Phong and Cai Mep–Thi Vai are the preferred structural exposures. DVP is deliberately retained as a negative-control case: 2025 throughput fell 10.3% and revenue fell 15.3% after service rotations moved to Nam Dinh Vu, despite a favorable national trade backdrop.</x:v>
      </x:c>
    </x:row>
  </x:sheetData>
  <x:mergeCells>
    <x:mergeCell ref="A1:K1"/>
    <x:mergeCell ref="A2:K2"/>
    <x:mergeCell ref="A4:K4"/>
    <x:mergeCell ref="A12:K15"/>
  </x:mergeCells>
  <x:conditionalFormatting sqref="G7:G10">
    <x:cfRule type="colorScale" priority="1">
      <x:colorScale>
        <x:cfvo type="min"/>
        <x:cfvo type="percentile" val="50"/>
        <x:cfvo type="max"/>
        <x:color rgb="FFFCE4D6"/>
        <x:color rgb="FFFFF2CC"/>
        <x:color rgb="FFE2F0D9"/>
      </x:colorScale>
    </x:cfRule>
  </x:conditionalFormatting>
  <x:dataValidations count="1">
    <x:dataValidation type="decimal" operator="between" sqref="G7:G10">
      <x:formula1>1</x:formula1>
      <x:formula2>5</x:formula2>
    </x:dataValidation>
  </x:dataValidations>
  <x:pageMargins left="0.7" right="0.7" top="0.75" bottom="0.75" header="0.3" footer="0.3"/>
  <x:tableParts count="1">
    <x:tablePart xmlns:r="http://schemas.openxmlformats.org/officeDocument/2006/relationships" r:id="R49684f1d7fb844e7"/>
  </x:tableParts>
</x:worksheet>
</file>

<file path=xl/worksheets/sheet14.xml><?xml version="1.0" encoding="utf-8"?>
<x:worksheet xmlns:x="http://schemas.openxmlformats.org/spreadsheetml/2006/main">
  <x:sheetViews>
    <x:sheetView showGridLines="0" workbookViewId="0"/>
  </x:sheetViews>
  <x:sheetFormatPr defaultRowHeight="15"/>
  <x:cols>
    <x:col min="1" max="1" width="11" hidden="0" customWidth="1"/>
    <x:col min="2" max="2" width="38" hidden="0" customWidth="1"/>
    <x:col min="3" max="3" width="16" hidden="0" customWidth="1"/>
    <x:col min="4" max="4" width="16" hidden="0" customWidth="1"/>
    <x:col min="5" max="5" width="14" hidden="0" customWidth="1"/>
    <x:col min="6" max="6" width="15" hidden="0" customWidth="1"/>
    <x:col min="7" max="7" width="16" hidden="0" customWidth="1"/>
    <x:col min="8" max="8" width="30" hidden="0" customWidth="1"/>
    <x:col min="9" max="9" width="21" hidden="0" customWidth="1"/>
    <x:col min="10" max="10" width="31" hidden="0" customWidth="1"/>
    <x:col min="11" max="11" width="29" hidden="0" customWidth="1"/>
    <x:col min="12" max="12" width="55" hidden="0" customWidth="1"/>
    <x:col min="13" max="13" width="25" hidden="0" customWidth="1"/>
    <x:col min="14" max="14" width="55" hidden="0" customWidth="1"/>
  </x:cols>
  <x:sheetData>
    <x:row r="1" ht="30" customHeight="1">
      <x:c r="A1" s="158" t="str">
        <x:v>Phase 2 — Normalized Peer Facts</x:v>
      </x:c>
      <x:c r="B1" s="158" t="str">
        <x:v>Phase 2 — Normalized Peer Facts</x:v>
      </x:c>
      <x:c r="C1" s="158" t="str">
        <x:v>Phase 2 — Normalized Peer Facts</x:v>
      </x:c>
      <x:c r="D1" s="158" t="str">
        <x:v>Phase 2 — Normalized Peer Facts</x:v>
      </x:c>
      <x:c r="E1" s="158" t="str">
        <x:v>Phase 2 — Normalized Peer Facts</x:v>
      </x:c>
      <x:c r="F1" s="158" t="str">
        <x:v>Phase 2 — Normalized Peer Facts</x:v>
      </x:c>
      <x:c r="G1" s="158" t="str">
        <x:v>Phase 2 — Normalized Peer Facts</x:v>
      </x:c>
      <x:c r="H1" s="158" t="str">
        <x:v>Phase 2 — Normalized Peer Facts</x:v>
      </x:c>
      <x:c r="I1" s="158" t="str">
        <x:v>Phase 2 — Normalized Peer Facts</x:v>
      </x:c>
      <x:c r="J1" s="158" t="str">
        <x:v>Phase 2 — Normalized Peer Facts</x:v>
      </x:c>
      <x:c r="K1" s="158" t="str">
        <x:v>Phase 2 — Normalized Peer Facts</x:v>
      </x:c>
      <x:c r="L1" s="158" t="str">
        <x:v>Phase 2 — Normalized Peer Facts</x:v>
      </x:c>
      <x:c r="M1" s="158" t="str">
        <x:v>Phase 2 — Normalized Peer Facts</x:v>
      </x:c>
      <x:c r="N1" s="158" t="str">
        <x:v>Phase 2 — Normalized Peer Facts</x:v>
      </x:c>
    </x:row>
    <x:row r="2" ht="34" customHeight="1">
      <x:c r="A2" s="162" t="str">
        <x:v>Financial bases are explicitly labelled. GMD/VSC are consolidated groups; PHP uses parent-company financials for a clean audited PBT bridge; DVP is a standalone operator.</x:v>
      </x:c>
      <x:c r="B2" s="162" t="str">
        <x:v>Financial bases are explicitly labelled. GMD/VSC are consolidated groups; PHP uses parent-company financials for a clean audited PBT bridge; DVP is a standalone operator.</x:v>
      </x:c>
      <x:c r="C2" s="162" t="str">
        <x:v>Financial bases are explicitly labelled. GMD/VSC are consolidated groups; PHP uses parent-company financials for a clean audited PBT bridge; DVP is a standalone operator.</x:v>
      </x:c>
      <x:c r="D2" s="162" t="str">
        <x:v>Financial bases are explicitly labelled. GMD/VSC are consolidated groups; PHP uses parent-company financials for a clean audited PBT bridge; DVP is a standalone operator.</x:v>
      </x:c>
      <x:c r="E2" s="162" t="str">
        <x:v>Financial bases are explicitly labelled. GMD/VSC are consolidated groups; PHP uses parent-company financials for a clean audited PBT bridge; DVP is a standalone operator.</x:v>
      </x:c>
      <x:c r="F2" s="162" t="str">
        <x:v>Financial bases are explicitly labelled. GMD/VSC are consolidated groups; PHP uses parent-company financials for a clean audited PBT bridge; DVP is a standalone operator.</x:v>
      </x:c>
      <x:c r="G2" s="162" t="str">
        <x:v>Financial bases are explicitly labelled. GMD/VSC are consolidated groups; PHP uses parent-company financials for a clean audited PBT bridge; DVP is a standalone operator.</x:v>
      </x:c>
      <x:c r="H2" s="162" t="str">
        <x:v>Financial bases are explicitly labelled. GMD/VSC are consolidated groups; PHP uses parent-company financials for a clean audited PBT bridge; DVP is a standalone operator.</x:v>
      </x:c>
      <x:c r="I2" s="162" t="str">
        <x:v>Financial bases are explicitly labelled. GMD/VSC are consolidated groups; PHP uses parent-company financials for a clean audited PBT bridge; DVP is a standalone operator.</x:v>
      </x:c>
      <x:c r="J2" s="162" t="str">
        <x:v>Financial bases are explicitly labelled. GMD/VSC are consolidated groups; PHP uses parent-company financials for a clean audited PBT bridge; DVP is a standalone operator.</x:v>
      </x:c>
      <x:c r="K2" s="162" t="str">
        <x:v>Financial bases are explicitly labelled. GMD/VSC are consolidated groups; PHP uses parent-company financials for a clean audited PBT bridge; DVP is a standalone operator.</x:v>
      </x:c>
      <x:c r="L2" s="162" t="str">
        <x:v>Financial bases are explicitly labelled. GMD/VSC are consolidated groups; PHP uses parent-company financials for a clean audited PBT bridge; DVP is a standalone operator.</x:v>
      </x:c>
      <x:c r="M2" s="162" t="str">
        <x:v>Financial bases are explicitly labelled. GMD/VSC are consolidated groups; PHP uses parent-company financials for a clean audited PBT bridge; DVP is a standalone operator.</x:v>
      </x:c>
      <x:c r="N2" s="162" t="str">
        <x:v>Financial bases are explicitly labelled. GMD/VSC are consolidated groups; PHP uses parent-company financials for a clean audited PBT bridge; DVP is a standalone operator.</x:v>
      </x:c>
    </x:row>
    <x:row r="4" ht="21" customHeight="1">
      <x:c r="A4" s="165" t="str">
        <x:v>Financial facts — FY2024 to FY2025</x:v>
      </x:c>
      <x:c r="B4" s="165" t="str">
        <x:v>Financial facts — FY2024 to FY2025</x:v>
      </x:c>
      <x:c r="C4" s="165" t="str">
        <x:v>Financial facts — FY2024 to FY2025</x:v>
      </x:c>
      <x:c r="D4" s="165" t="str">
        <x:v>Financial facts — FY2024 to FY2025</x:v>
      </x:c>
      <x:c r="E4" s="165" t="str">
        <x:v>Financial facts — FY2024 to FY2025</x:v>
      </x:c>
      <x:c r="F4" s="165" t="str">
        <x:v>Financial facts — FY2024 to FY2025</x:v>
      </x:c>
      <x:c r="G4" s="165" t="str">
        <x:v>Financial facts — FY2024 to FY2025</x:v>
      </x:c>
      <x:c r="H4" s="165" t="str">
        <x:v>Financial facts — FY2024 to FY2025</x:v>
      </x:c>
      <x:c r="I4" s="165" t="str">
        <x:v>Financial facts — FY2024 to FY2025</x:v>
      </x:c>
      <x:c r="J4" s="165" t="str">
        <x:v>Financial facts — FY2024 to FY2025</x:v>
      </x:c>
      <x:c r="K4" s="165" t="str">
        <x:v>Financial facts — FY2024 to FY2025</x:v>
      </x:c>
      <x:c r="L4" s="165" t="str">
        <x:v>Financial facts — FY2024 to FY2025</x:v>
      </x:c>
      <x:c r="M4" s="165" t="str">
        <x:v>Financial facts — FY2024 to FY2025</x:v>
      </x:c>
      <x:c r="N4" s="165" t="str">
        <x:v>Financial facts — FY2024 to FY2025</x:v>
      </x:c>
    </x:row>
    <x:row r="6" ht="32" customHeight="1">
      <x:c r="A6" s="171" t="str">
        <x:v>Ticker</x:v>
      </x:c>
      <x:c r="B6" s="171" t="str">
        <x:v>Financial basis</x:v>
      </x:c>
      <x:c r="C6" s="171" t="str">
        <x:v>Revenue 2024</x:v>
      </x:c>
      <x:c r="D6" s="171" t="str">
        <x:v>Revenue 2025</x:v>
      </x:c>
      <x:c r="E6" s="171" t="str">
        <x:v>Revenue growth</x:v>
      </x:c>
      <x:c r="F6" s="171" t="str">
        <x:v>PBT 2024</x:v>
      </x:c>
      <x:c r="G6" s="171" t="str">
        <x:v>PBT 2025</x:v>
      </x:c>
      <x:c r="H6" s="171" t="str">
        <x:v>PBT growth</x:v>
      </x:c>
      <x:c r="I6" s="171" t="str">
        <x:v>PBT margin 2025</x:v>
      </x:c>
      <x:c r="J6" s="171" t="str">
        <x:v>Assets 2025</x:v>
      </x:c>
      <x:c r="K6" s="171" t="str">
        <x:v>Equity 2025</x:v>
      </x:c>
      <x:c r="L6" s="171" t="str">
        <x:v>Leverage metric</x:v>
      </x:c>
      <x:c r="M6" s="171" t="str">
        <x:v>Source ID</x:v>
      </x:c>
      <x:c r="N6" s="171" t="str">
        <x:v>Audit note</x:v>
      </x:c>
    </x:row>
    <x:row r="7" ht="46" customHeight="1">
      <x:c r="A7" s="85" t="str">
        <x:v>GMD</x:v>
      </x:c>
      <x:c r="B7" s="86" t="str">
        <x:v>Consolidated / core PBT series</x:v>
      </x:c>
      <x:c r="C7" s="210" t="n">
        <x:v>4832</x:v>
      </x:c>
      <x:c r="D7" s="210" t="n">
        <x:v>5956</x:v>
      </x:c>
      <x:c r="E7" s="111" t="n">
        <x:f>D7/C7-1</x:f>
        <x:v>0.23261589403973515</x:v>
      </x:c>
      <x:c r="F7" s="210" t="n">
        <x:v>1781</x:v>
      </x:c>
      <x:c r="G7" s="210" t="n">
        <x:v>2521</x:v>
      </x:c>
      <x:c r="H7" s="111" t="n">
        <x:f>G7/F7-1</x:f>
        <x:v>0.4154969118472769</x:v>
      </x:c>
      <x:c r="I7" s="111" t="n">
        <x:f>G7/D7</x:f>
        <x:v>0.4232706514439221</x:v>
      </x:c>
      <x:c r="J7" s="210" t="n">
        <x:v>19826</x:v>
      </x:c>
      <x:c r="K7" s="210" t="n">
        <x:v>14918</x:v>
      </x:c>
      <x:c r="L7" s="111" t="n">
        <x:v>0.25</x:v>
      </x:c>
      <x:c r="M7" s="86" t="str">
        <x:v>SRC-G01</x:v>
      </x:c>
      <x:c r="N7" s="87" t="str">
        <x:v>2023–2024 PBT uses GMD's core series excluding divestment gains.</x:v>
      </x:c>
    </x:row>
    <x:row r="8" ht="46" customHeight="1">
      <x:c r="A8" s="88" t="str">
        <x:v>VSC</x:v>
      </x:c>
      <x:c r="B8" s="89" t="str">
        <x:v>Consolidated</x:v>
      </x:c>
      <x:c r="C8" s="211" t="n">
        <x:v>2787.913</x:v>
      </x:c>
      <x:c r="D8" s="211" t="n">
        <x:v>3205.512</x:v>
      </x:c>
      <x:c r="E8" s="109" t="n">
        <x:f>D8/C8-1</x:f>
        <x:v>0.1497891074793225</x:v>
      </x:c>
      <x:c r="F8" s="211" t="n">
        <x:v>524.578</x:v>
      </x:c>
      <x:c r="G8" s="211" t="n">
        <x:v>681.831</x:v>
      </x:c>
      <x:c r="H8" s="109" t="n">
        <x:f>G8/F8-1</x:f>
        <x:v>0.2997704821780556</x:v>
      </x:c>
      <x:c r="I8" s="109" t="n">
        <x:f>G8/D8</x:f>
        <x:v>0.21270580175647447</x:v>
      </x:c>
      <x:c r="J8" s="211" t="n">
        <x:v>12962.909</x:v>
      </x:c>
      <x:c r="K8" s="211" t="n">
        <x:v>6386.601</x:v>
      </x:c>
      <x:c r="L8" s="109" t="n">
        <x:v>0.5073</x:v>
      </x:c>
      <x:c r="M8" s="89" t="str">
        <x:v>SRC-P05 / SRC-P06</x:v>
      </x:c>
      <x:c r="N8" s="90" t="str">
        <x:v>Leverage column is liabilities/assets; HAH/VNA investments reduce port-thesis purity.</x:v>
      </x:c>
    </x:row>
    <x:row r="9" ht="46" customHeight="1">
      <x:c r="A9" s="88" t="str">
        <x:v>PHP</x:v>
      </x:c>
      <x:c r="B9" s="89" t="str">
        <x:v>Parent company</x:v>
      </x:c>
      <x:c r="C9" s="211" t="n">
        <x:v>1373.822</x:v>
      </x:c>
      <x:c r="D9" s="211" t="n">
        <x:v>1732.726</x:v>
      </x:c>
      <x:c r="E9" s="109" t="n">
        <x:f>D9/C9-1</x:f>
        <x:v>0.2612449065453897</x:v>
      </x:c>
      <x:c r="F9" s="211" t="n">
        <x:v>738.078</x:v>
      </x:c>
      <x:c r="G9" s="211" t="n">
        <x:v>1173.235</x:v>
      </x:c>
      <x:c r="H9" s="109" t="n">
        <x:f>G9/F9-1</x:f>
        <x:v>0.589581317963684</x:v>
      </x:c>
      <x:c r="I9" s="109" t="n">
        <x:f>G9/D9</x:f>
        <x:v>0.6771035928357974</x:v>
      </x:c>
      <x:c r="J9" s="211" t="n">
        <x:v>8916.642</x:v>
      </x:c>
      <x:c r="K9" s="211" t="n">
        <x:v>6157.732</x:v>
      </x:c>
      <x:c r="L9" s="109" t="n">
        <x:v>0.31</x:v>
      </x:c>
      <x:c r="M9" s="89" t="str">
        <x:v>SRC-P02</x:v>
      </x:c>
      <x:c r="N9" s="90" t="str">
        <x:v>Parent-company basis; consolidated operating table is shown separately below.</x:v>
      </x:c>
    </x:row>
    <x:row r="10" ht="46" customHeight="1">
      <x:c r="A10" s="91" t="str">
        <x:v>DVP</x:v>
      </x:c>
      <x:c r="B10" s="92" t="str">
        <x:v>Standalone</x:v>
      </x:c>
      <x:c r="C10" s="212" t="n">
        <x:f>D10/84.70%</x:f>
        <x:v>848.417945690673</x:v>
      </x:c>
      <x:c r="D10" s="212" t="n">
        <x:v>718.61</x:v>
      </x:c>
      <x:c r="E10" s="110" t="n">
        <x:f>D10/C10-1</x:f>
        <x:v>-0.15300000000000002</x:v>
      </x:c>
      <x:c r="F10" s="212" t="n">
        <x:f>G10/100.58%</x:f>
        <x:v>403.0224696758799</x:v>
      </x:c>
      <x:c r="G10" s="212" t="n">
        <x:v>405.36</x:v>
      </x:c>
      <x:c r="H10" s="110" t="n">
        <x:f>G10/F10-1</x:f>
        <x:v>0.005800000000000027</x:v>
      </x:c>
      <x:c r="I10" s="110" t="n">
        <x:f>G10/D10</x:f>
        <x:v>0.5640890051627447</x:v>
      </x:c>
      <x:c r="J10" s="212"/>
      <x:c r="K10" s="212"/>
      <x:c r="L10" s="110"/>
      <x:c r="M10" s="92" t="str">
        <x:v>SRC-P09 / SRC-P11</x:v>
      </x:c>
      <x:c r="N10" s="93" t="str">
        <x:v>2024 revenue and PBT are formula-derived from official comparison percentages.</x:v>
      </x:c>
    </x:row>
    <x:row r="12" ht="21" customHeight="1">
      <x:c r="A12" s="165" t="str">
        <x:v>Operating facts — keep units and scope separate</x:v>
      </x:c>
      <x:c r="B12" s="165" t="str">
        <x:v>Operating facts — keep units and scope separate</x:v>
      </x:c>
      <x:c r="C12" s="165" t="str">
        <x:v>Operating facts — keep units and scope separate</x:v>
      </x:c>
      <x:c r="D12" s="165" t="str">
        <x:v>Operating facts — keep units and scope separate</x:v>
      </x:c>
      <x:c r="E12" s="165" t="str">
        <x:v>Operating facts — keep units and scope separate</x:v>
      </x:c>
      <x:c r="F12" s="165" t="str">
        <x:v>Operating facts — keep units and scope separate</x:v>
      </x:c>
      <x:c r="G12" s="165" t="str">
        <x:v>Operating facts — keep units and scope separate</x:v>
      </x:c>
      <x:c r="H12" s="165" t="str">
        <x:v>Operating facts — keep units and scope separate</x:v>
      </x:c>
      <x:c r="I12" s="165" t="str">
        <x:v>Operating facts — keep units and scope separate</x:v>
      </x:c>
      <x:c r="J12" s="165" t="str">
        <x:v>Operating facts — keep units and scope separate</x:v>
      </x:c>
      <x:c r="K12" s="165" t="str">
        <x:v>Operating facts — keep units and scope separate</x:v>
      </x:c>
      <x:c r="L12" s="165" t="str">
        <x:v>Operating facts — keep units and scope separate</x:v>
      </x:c>
      <x:c r="M12" s="165" t="str">
        <x:v>Operating facts — keep units and scope separate</x:v>
      </x:c>
      <x:c r="N12" s="165" t="str">
        <x:v>Operating facts — keep units and scope separate</x:v>
      </x:c>
    </x:row>
    <x:row r="14" ht="32" customHeight="1">
      <x:c r="A14" s="171" t="str">
        <x:v>Ticker</x:v>
      </x:c>
      <x:c r="B14" s="171" t="str">
        <x:v>Operating scope</x:v>
      </x:c>
      <x:c r="C14" s="171" t="str">
        <x:v>Period</x:v>
      </x:c>
      <x:c r="D14" s="171" t="str">
        <x:v>Throughput</x:v>
      </x:c>
      <x:c r="E14" s="171" t="str">
        <x:v>Unit</x:v>
      </x:c>
      <x:c r="F14" s="171" t="str">
        <x:v>YoY</x:v>
      </x:c>
      <x:c r="G14" s="171" t="str">
        <x:v>Capacity</x:v>
      </x:c>
      <x:c r="H14" s="171" t="str">
        <x:v>Capacity unit</x:v>
      </x:c>
      <x:c r="I14" s="171" t="str">
        <x:v>Indicative utilization</x:v>
      </x:c>
      <x:c r="J14" s="171" t="str">
        <x:v>Data class</x:v>
      </x:c>
      <x:c r="K14" s="171" t="str">
        <x:v>Source ID</x:v>
      </x:c>
      <x:c r="L14" s="171" t="str">
        <x:v>Audit note</x:v>
      </x:c>
    </x:row>
    <x:row r="15" ht="48" customHeight="1">
      <x:c r="A15" s="85" t="str">
        <x:v>GMD</x:v>
      </x:c>
      <x:c r="B15" s="86" t="str">
        <x:v>Consolidated port system</x:v>
      </x:c>
      <x:c r="C15" s="86" t="str">
        <x:v>FY2025</x:v>
      </x:c>
      <x:c r="D15" s="133" t="n">
        <x:v>5.079</x:v>
      </x:c>
      <x:c r="E15" s="86" t="str">
        <x:v>m TEU</x:v>
      </x:c>
      <x:c r="F15" s="111" t="n">
        <x:v>0.15</x:v>
      </x:c>
      <x:c r="G15" s="133" t="n">
        <x:v>5</x:v>
      </x:c>
      <x:c r="H15" s="86" t="str">
        <x:v>m TEU current disclosed capacity</x:v>
      </x:c>
      <x:c r="I15" s="111"/>
      <x:c r="J15" s="86" t="str">
        <x:v>Issuer actual + capacity disclosure</x:v>
      </x:c>
      <x:c r="K15" s="86" t="str">
        <x:v>SRC-G01 / SRC-G05</x:v>
      </x:c>
      <x:c r="L15" s="87" t="str">
        <x:v>Actual throughput can exceed the marketing-page capacity because scope and capacity vintages differ; utilization is not calculated.</x:v>
      </x:c>
    </x:row>
    <x:row r="16" ht="48" customHeight="1">
      <x:c r="A16" s="88" t="str">
        <x:v>VSC</x:v>
      </x:c>
      <x:c r="B16" s="89" t="str">
        <x:v>Greenport + VIP Greenport + Nam Hai Dinh Vu system</x:v>
      </x:c>
      <x:c r="C16" s="89" t="str">
        <x:v>2024 milestone</x:v>
      </x:c>
      <x:c r="D16" s="134" t="n">
        <x:v>1</x:v>
      </x:c>
      <x:c r="E16" s="89" t="str">
        <x:v>m TEU</x:v>
      </x:c>
      <x:c r="F16" s="109"/>
      <x:c r="G16" s="134" t="n">
        <x:v>1.5</x:v>
      </x:c>
      <x:c r="H16" s="89" t="str">
        <x:v>m TEU secondary estimate</x:v>
      </x:c>
      <x:c r="I16" s="109"/>
      <x:c r="J16" s="89" t="str">
        <x:v>Issuer milestone + secondary capacity</x:v>
      </x:c>
      <x:c r="K16" s="89" t="str">
        <x:v>SRC-P05 / SRC-P07 / SRC-S01</x:v>
      </x:c>
      <x:c r="L16" s="90" t="str">
        <x:v>2025 port-level throughput was not found in an auditable issuer table; capacity remains secondary.</x:v>
      </x:c>
    </x:row>
    <x:row r="17" ht="48" customHeight="1">
      <x:c r="A17" s="88" t="str">
        <x:v>PHP</x:v>
      </x:c>
      <x:c r="B17" s="89" t="str">
        <x:v>Parent-company container throughput</x:v>
      </x:c>
      <x:c r="C17" s="89" t="str">
        <x:v>FY2025</x:v>
      </x:c>
      <x:c r="D17" s="134" t="n">
        <x:v>1.2407</x:v>
      </x:c>
      <x:c r="E17" s="89" t="str">
        <x:v>m TEU</x:v>
      </x:c>
      <x:c r="F17" s="109" t="n">
        <x:v>-0.026</x:v>
      </x:c>
      <x:c r="G17" s="134"/>
      <x:c r="H17" s="89"/>
      <x:c r="I17" s="109"/>
      <x:c r="J17" s="89" t="str">
        <x:v>Issuer actual</x:v>
      </x:c>
      <x:c r="K17" s="89" t="str">
        <x:v>SRC-P02</x:v>
      </x:c>
      <x:c r="L17" s="90" t="str">
        <x:v>Parent throughput; do not combine with consolidated cargo tonnes.</x:v>
      </x:c>
    </x:row>
    <x:row r="18" ht="48" customHeight="1">
      <x:c r="A18" s="88" t="str">
        <x:v>PHP</x:v>
      </x:c>
      <x:c r="B18" s="89" t="str">
        <x:v>Consolidated total cargo</x:v>
      </x:c>
      <x:c r="C18" s="89" t="str">
        <x:v>FY2025</x:v>
      </x:c>
      <x:c r="D18" s="134" t="n">
        <x:v>42.7</x:v>
      </x:c>
      <x:c r="E18" s="89" t="str">
        <x:v>mn tonnes</x:v>
      </x:c>
      <x:c r="F18" s="109" t="n">
        <x:v>0.069</x:v>
      </x:c>
      <x:c r="G18" s="134"/>
      <x:c r="H18" s="89"/>
      <x:c r="I18" s="109"/>
      <x:c r="J18" s="89" t="str">
        <x:v>Issuer actual</x:v>
      </x:c>
      <x:c r="K18" s="89" t="str">
        <x:v>SRC-P02</x:v>
      </x:c>
      <x:c r="L18" s="90" t="str">
        <x:v>Tonnes are not comparable with TEU.</x:v>
      </x:c>
    </x:row>
    <x:row r="19" ht="48" customHeight="1">
      <x:c r="A19" s="91" t="str">
        <x:v>DVP</x:v>
      </x:c>
      <x:c r="B19" s="92" t="str">
        <x:v>Dinh Vu terminal</x:v>
      </x:c>
      <x:c r="C19" s="92" t="str">
        <x:v>FY2025</x:v>
      </x:c>
      <x:c r="D19" s="135" t="n">
        <x:v>0.513942</x:v>
      </x:c>
      <x:c r="E19" s="92" t="str">
        <x:v>m TEU</x:v>
      </x:c>
      <x:c r="F19" s="110" t="n">
        <x:v>-0.1033</x:v>
      </x:c>
      <x:c r="G19" s="135" t="n">
        <x:v>0.6</x:v>
      </x:c>
      <x:c r="H19" s="92" t="str">
        <x:v>m TEU nominal minimum</x:v>
      </x:c>
      <x:c r="I19" s="110" t="n">
        <x:f>D19/G19</x:f>
        <x:v>0.85657</x:v>
      </x:c>
      <x:c r="J19" s="92" t="str">
        <x:v>Issuer actual + website capacity</x:v>
      </x:c>
      <x:c r="K19" s="92" t="str">
        <x:v>SRC-P09 / SRC-P11</x:v>
      </x:c>
      <x:c r="L19" s="93" t="str">
        <x:v>Website states capacity above 600k TEU; indicative utilization is a ceiling, not an exact figure.</x:v>
      </x:c>
    </x:row>
  </x:sheetData>
  <x:mergeCells>
    <x:mergeCell ref="A1:N1"/>
    <x:mergeCell ref="A2:N2"/>
    <x:mergeCell ref="A4:N4"/>
    <x:mergeCell ref="A12:N12"/>
  </x:mergeCells>
  <x:pageMargins left="0.7" right="0.7" top="0.75" bottom="0.75" header="0.3" footer="0.3"/>
  <x:legacyDrawing xmlns:r="http://schemas.openxmlformats.org/officeDocument/2006/relationships" r:id="R97a3b368af22460c"/>
  <x:tableParts count="2">
    <x:tablePart xmlns:r="http://schemas.openxmlformats.org/officeDocument/2006/relationships" r:id="R34340483501d408e"/>
    <x:tablePart xmlns:r="http://schemas.openxmlformats.org/officeDocument/2006/relationships" r:id="R3f67e92b9cc5482e"/>
  </x:tableParts>
</x:worksheet>
</file>

<file path=xl/worksheets/sheet15.xml><?xml version="1.0" encoding="utf-8"?>
<x:worksheet xmlns:x="http://schemas.openxmlformats.org/spreadsheetml/2006/main">
  <x:sheetViews>
    <x:sheetView showGridLines="0" workbookViewId="0"/>
  </x:sheetViews>
  <x:sheetFormatPr defaultRowHeight="15"/>
  <x:cols>
    <x:col min="1" max="1" width="40" hidden="0" customWidth="1"/>
    <x:col min="2" max="2" width="42" hidden="0" customWidth="1"/>
    <x:col min="3" max="3" width="42" hidden="0" customWidth="1"/>
    <x:col min="4" max="4" width="42" hidden="0" customWidth="1"/>
    <x:col min="5" max="5" width="42" hidden="0" customWidth="1"/>
    <x:col min="6" max="6" width="38" hidden="0" customWidth="1"/>
    <x:col min="7" max="7" width="4" hidden="0" customWidth="1"/>
    <x:col min="8" max="8" width="16" hidden="0" customWidth="1"/>
    <x:col min="9" max="9" width="18" hidden="0" customWidth="1"/>
    <x:col min="10" max="10" width="14" hidden="0" customWidth="1"/>
    <x:col min="11" max="11" width="14" hidden="0" customWidth="1"/>
    <x:col min="12" max="12" width="14" hidden="0" customWidth="1"/>
    <x:col min="13" max="13" width="14" hidden="0" customWidth="1"/>
    <x:col min="14" max="14" width="14" hidden="0" customWidth="1"/>
    <x:col min="15" max="15" width="14" hidden="0" customWidth="1"/>
  </x:cols>
  <x:sheetData>
    <x:row r="1" ht="30" customHeight="1">
      <x:c r="A1" s="158" t="str">
        <x:v>Phase 2 — Operational Peer Scorecard</x:v>
      </x:c>
      <x:c r="B1" s="158" t="str">
        <x:v>Phase 2 — Operational Peer Scorecard</x:v>
      </x:c>
      <x:c r="C1" s="158" t="str">
        <x:v>Phase 2 — Operational Peer Scorecard</x:v>
      </x:c>
      <x:c r="D1" s="158" t="str">
        <x:v>Phase 2 — Operational Peer Scorecard</x:v>
      </x:c>
      <x:c r="E1" s="158" t="str">
        <x:v>Phase 2 — Operational Peer Scorecard</x:v>
      </x:c>
      <x:c r="F1" s="158" t="str">
        <x:v>Phase 2 — Operational Peer Scorecard</x:v>
      </x:c>
      <x:c r="G1" s="158" t="str">
        <x:v>Phase 2 — Operational Peer Scorecard</x:v>
      </x:c>
      <x:c r="H1" s="158" t="str">
        <x:v>Phase 2 — Operational Peer Scorecard</x:v>
      </x:c>
      <x:c r="I1" s="158" t="str">
        <x:v>Phase 2 — Operational Peer Scorecard</x:v>
      </x:c>
      <x:c r="J1" s="158" t="str">
        <x:v>Phase 2 — Operational Peer Scorecard</x:v>
      </x:c>
      <x:c r="K1" s="158" t="str">
        <x:v>Phase 2 — Operational Peer Scorecard</x:v>
      </x:c>
      <x:c r="L1" s="158" t="str">
        <x:v>Phase 2 — Operational Peer Scorecard</x:v>
      </x:c>
      <x:c r="M1" s="158" t="str">
        <x:v>Phase 2 — Operational Peer Scorecard</x:v>
      </x:c>
      <x:c r="N1" s="158" t="str">
        <x:v>Phase 2 — Operational Peer Scorecard</x:v>
      </x:c>
      <x:c r="O1" s="158" t="str">
        <x:v>Phase 2 — Operational Peer Scorecard</x:v>
      </x:c>
    </x:row>
    <x:row r="2" ht="34" customHeight="1">
      <x:c r="A2" s="162" t="str">
        <x:v>Scores are visible analyst judgments from 1 to 5. Yellow/blue cells are editable assumptions; weights and weighted outputs are formula-driven. Valuation is deliberately excluded.</x:v>
      </x:c>
      <x:c r="B2" s="162" t="str">
        <x:v>Scores are visible analyst judgments from 1 to 5. Yellow/blue cells are editable assumptions; weights and weighted outputs are formula-driven. Valuation is deliberately excluded.</x:v>
      </x:c>
      <x:c r="C2" s="162" t="str">
        <x:v>Scores are visible analyst judgments from 1 to 5. Yellow/blue cells are editable assumptions; weights and weighted outputs are formula-driven. Valuation is deliberately excluded.</x:v>
      </x:c>
      <x:c r="D2" s="162" t="str">
        <x:v>Scores are visible analyst judgments from 1 to 5. Yellow/blue cells are editable assumptions; weights and weighted outputs are formula-driven. Valuation is deliberately excluded.</x:v>
      </x:c>
      <x:c r="E2" s="162" t="str">
        <x:v>Scores are visible analyst judgments from 1 to 5. Yellow/blue cells are editable assumptions; weights and weighted outputs are formula-driven. Valuation is deliberately excluded.</x:v>
      </x:c>
      <x:c r="F2" s="162" t="str">
        <x:v>Scores are visible analyst judgments from 1 to 5. Yellow/blue cells are editable assumptions; weights and weighted outputs are formula-driven. Valuation is deliberately excluded.</x:v>
      </x:c>
      <x:c r="G2" s="162" t="str">
        <x:v>Scores are visible analyst judgments from 1 to 5. Yellow/blue cells are editable assumptions; weights and weighted outputs are formula-driven. Valuation is deliberately excluded.</x:v>
      </x:c>
      <x:c r="H2" s="162" t="str">
        <x:v>Scores are visible analyst judgments from 1 to 5. Yellow/blue cells are editable assumptions; weights and weighted outputs are formula-driven. Valuation is deliberately excluded.</x:v>
      </x:c>
      <x:c r="I2" s="162" t="str">
        <x:v>Scores are visible analyst judgments from 1 to 5. Yellow/blue cells are editable assumptions; weights and weighted outputs are formula-driven. Valuation is deliberately excluded.</x:v>
      </x:c>
      <x:c r="J2" s="162" t="str">
        <x:v>Scores are visible analyst judgments from 1 to 5. Yellow/blue cells are editable assumptions; weights and weighted outputs are formula-driven. Valuation is deliberately excluded.</x:v>
      </x:c>
      <x:c r="K2" s="162" t="str">
        <x:v>Scores are visible analyst judgments from 1 to 5. Yellow/blue cells are editable assumptions; weights and weighted outputs are formula-driven. Valuation is deliberately excluded.</x:v>
      </x:c>
      <x:c r="L2" s="162" t="str">
        <x:v>Scores are visible analyst judgments from 1 to 5. Yellow/blue cells are editable assumptions; weights and weighted outputs are formula-driven. Valuation is deliberately excluded.</x:v>
      </x:c>
      <x:c r="M2" s="162" t="str">
        <x:v>Scores are visible analyst judgments from 1 to 5. Yellow/blue cells are editable assumptions; weights and weighted outputs are formula-driven. Valuation is deliberately excluded.</x:v>
      </x:c>
      <x:c r="N2" s="162" t="str">
        <x:v>Scores are visible analyst judgments from 1 to 5. Yellow/blue cells are editable assumptions; weights and weighted outputs are formula-driven. Valuation is deliberately excluded.</x:v>
      </x:c>
      <x:c r="O2" s="162" t="str">
        <x:v>Scores are visible analyst judgments from 1 to 5. Yellow/blue cells are editable assumptions; weights and weighted outputs are formula-driven. Valuation is deliberately excluded.</x:v>
      </x:c>
    </x:row>
    <x:row r="4" ht="21" customHeight="1">
      <x:c r="A4" s="165" t="str">
        <x:v>Weighted operating screen</x:v>
      </x:c>
      <x:c r="B4" s="165" t="str">
        <x:v>Weighted operating screen</x:v>
      </x:c>
      <x:c r="C4" s="165" t="str">
        <x:v>Weighted operating screen</x:v>
      </x:c>
      <x:c r="D4" s="165" t="str">
        <x:v>Weighted operating screen</x:v>
      </x:c>
      <x:c r="E4" s="165" t="str">
        <x:v>Weighted operating screen</x:v>
      </x:c>
      <x:c r="F4" s="165" t="str">
        <x:v>Weighted operating screen</x:v>
      </x:c>
    </x:row>
    <x:row r="5" ht="32" customHeight="1">
      <x:c r="A5" s="171" t="str">
        <x:v>Criterion</x:v>
      </x:c>
      <x:c r="B5" s="171" t="str">
        <x:v>Weight</x:v>
      </x:c>
      <x:c r="C5" s="171" t="str">
        <x:v>GMD</x:v>
      </x:c>
      <x:c r="D5" s="171" t="str">
        <x:v>VSC</x:v>
      </x:c>
      <x:c r="E5" s="171" t="str">
        <x:v>PHP</x:v>
      </x:c>
      <x:c r="F5" s="171" t="str">
        <x:v>DVP</x:v>
      </x:c>
    </x:row>
    <x:row r="6" ht="34" customHeight="1">
      <x:c r="A6" s="85" t="str">
        <x:v>Asset position &amp; route connectivity</x:v>
      </x:c>
      <x:c r="B6" s="225" t="n">
        <x:v>0.25</x:v>
      </x:c>
      <x:c r="C6" s="226" t="n">
        <x:v>5</x:v>
      </x:c>
      <x:c r="D6" s="226" t="n">
        <x:v>4</x:v>
      </x:c>
      <x:c r="E6" s="226" t="n">
        <x:v>4.5</x:v>
      </x:c>
      <x:c r="F6" s="227" t="n">
        <x:v>2</x:v>
      </x:c>
    </x:row>
    <x:row r="7" ht="34" customHeight="1">
      <x:c r="A7" s="88" t="str">
        <x:v>Growth capacity &amp; expansion runway</x:v>
      </x:c>
      <x:c r="B7" s="228" t="n">
        <x:v>0.2</x:v>
      </x:c>
      <x:c r="C7" s="229" t="n">
        <x:v>5</x:v>
      </x:c>
      <x:c r="D7" s="229" t="n">
        <x:v>3.5</x:v>
      </x:c>
      <x:c r="E7" s="229" t="n">
        <x:v>4.5</x:v>
      </x:c>
      <x:c r="F7" s="230" t="n">
        <x:v>2</x:v>
      </x:c>
    </x:row>
    <x:row r="8" ht="34" customHeight="1">
      <x:c r="A8" s="88" t="str">
        <x:v>2025 volume &amp; earnings momentum</x:v>
      </x:c>
      <x:c r="B8" s="228" t="n">
        <x:v>0.15</x:v>
      </x:c>
      <x:c r="C8" s="229" t="n">
        <x:v>5</x:v>
      </x:c>
      <x:c r="D8" s="229" t="n">
        <x:v>4</x:v>
      </x:c>
      <x:c r="E8" s="229" t="n">
        <x:v>3</x:v>
      </x:c>
      <x:c r="F8" s="230" t="n">
        <x:v>2</x:v>
      </x:c>
    </x:row>
    <x:row r="9" ht="34" customHeight="1">
      <x:c r="A9" s="88" t="str">
        <x:v>Earnings quality &amp; financial resilience</x:v>
      </x:c>
      <x:c r="B9" s="228" t="n">
        <x:v>0.15</x:v>
      </x:c>
      <x:c r="C9" s="229" t="n">
        <x:v>4</x:v>
      </x:c>
      <x:c r="D9" s="229" t="n">
        <x:v>3</x:v>
      </x:c>
      <x:c r="E9" s="229" t="n">
        <x:v>4</x:v>
      </x:c>
      <x:c r="F9" s="230" t="n">
        <x:v>5</x:v>
      </x:c>
    </x:row>
    <x:row r="10" ht="34" customHeight="1">
      <x:c r="A10" s="88" t="str">
        <x:v>Port-thesis purity</x:v>
      </x:c>
      <x:c r="B10" s="228" t="n">
        <x:v>0.1</x:v>
      </x:c>
      <x:c r="C10" s="229" t="n">
        <x:v>4</x:v>
      </x:c>
      <x:c r="D10" s="229" t="n">
        <x:v>2</x:v>
      </x:c>
      <x:c r="E10" s="229" t="n">
        <x:v>5</x:v>
      </x:c>
      <x:c r="F10" s="230" t="n">
        <x:v>5</x:v>
      </x:c>
    </x:row>
    <x:row r="11" ht="34" customHeight="1">
      <x:c r="A11" s="88" t="str">
        <x:v>Disclosure &amp; modelability</x:v>
      </x:c>
      <x:c r="B11" s="228" t="n">
        <x:v>0.1</x:v>
      </x:c>
      <x:c r="C11" s="229" t="n">
        <x:v>5</x:v>
      </x:c>
      <x:c r="D11" s="229" t="n">
        <x:v>3</x:v>
      </x:c>
      <x:c r="E11" s="229" t="n">
        <x:v>4</x:v>
      </x:c>
      <x:c r="F11" s="230" t="n">
        <x:v>4</x:v>
      </x:c>
    </x:row>
    <x:row r="12" ht="34" customHeight="1">
      <x:c r="A12" s="91" t="str">
        <x:v>Risk balance</x:v>
      </x:c>
      <x:c r="B12" s="231" t="n">
        <x:v>0.05</x:v>
      </x:c>
      <x:c r="C12" s="232" t="n">
        <x:v>3.5</x:v>
      </x:c>
      <x:c r="D12" s="232" t="n">
        <x:v>3</x:v>
      </x:c>
      <x:c r="E12" s="232" t="n">
        <x:v>3.5</x:v>
      </x:c>
      <x:c r="F12" s="233" t="n">
        <x:v>2</x:v>
      </x:c>
    </x:row>
    <x:row r="13">
      <x:c r="A13" s="236" t="str">
        <x:v>Weighted score</x:v>
      </x:c>
      <x:c r="B13" s="237" t="n">
        <x:f>SUM(B6:B12)</x:f>
        <x:v>1</x:v>
      </x:c>
      <x:c r="C13" s="238" t="n">
        <x:f>SUMPRODUCT($B$6:$B$12,C6:C12)</x:f>
        <x:v>4.675</x:v>
      </x:c>
      <x:c r="D13" s="238" t="n">
        <x:f>SUMPRODUCT($B$6:$B$12,D6:D12)</x:f>
        <x:v>3.4</x:v>
      </x:c>
      <x:c r="E13" s="238" t="n">
        <x:f>SUMPRODUCT($B$6:$B$12,E6:E12)</x:f>
        <x:v>4.1499999999999995</x:v>
      </x:c>
      <x:c r="F13" s="238" t="n">
        <x:f>SUMPRODUCT($B$6:$B$12,F6:F12)</x:f>
        <x:v>2.95</x:v>
      </x:c>
    </x:row>
    <x:row r="14">
      <x:c r="A14" s="236" t="str">
        <x:v>Rank</x:v>
      </x:c>
      <x:c r="B14" s="236"/>
      <x:c r="C14" s="239" t="n">
        <x:f>RANK(C13,$C$13:$F$13,0)</x:f>
        <x:v>1</x:v>
      </x:c>
      <x:c r="D14" s="239" t="n">
        <x:f>RANK(D13,$C$13:$F$13,0)</x:f>
        <x:v>3</x:v>
      </x:c>
      <x:c r="E14" s="239" t="n">
        <x:f>RANK(E13,$C$13:$F$13,0)</x:f>
        <x:v>2</x:v>
      </x:c>
      <x:c r="F14" s="239" t="n">
        <x:f>RANK(F13,$C$13:$F$13,0)</x:f>
        <x:v>4</x:v>
      </x:c>
    </x:row>
    <x:row r="16" ht="21" customHeight="1">
      <x:c r="A16" s="165" t="str">
        <x:v>Evidence-based rationale</x:v>
      </x:c>
      <x:c r="B16" s="165" t="str">
        <x:v>Evidence-based rationale</x:v>
      </x:c>
      <x:c r="C16" s="165" t="str">
        <x:v>Evidence-based rationale</x:v>
      </x:c>
      <x:c r="D16" s="165" t="str">
        <x:v>Evidence-based rationale</x:v>
      </x:c>
      <x:c r="E16" s="165" t="str">
        <x:v>Evidence-based rationale</x:v>
      </x:c>
      <x:c r="F16" s="165" t="str">
        <x:v>Evidence-based rationale</x:v>
      </x:c>
    </x:row>
    <x:row r="17" ht="32" customHeight="1">
      <x:c r="A17" s="171" t="str">
        <x:v>Criterion</x:v>
      </x:c>
      <x:c r="B17" s="171" t="str">
        <x:v>GMD</x:v>
      </x:c>
      <x:c r="C17" s="171" t="str">
        <x:v>VSC</x:v>
      </x:c>
      <x:c r="D17" s="171" t="str">
        <x:v>PHP</x:v>
      </x:c>
      <x:c r="E17" s="171" t="str">
        <x:v>DVP</x:v>
      </x:c>
      <x:c r="F17" s="171" t="str">
        <x:v>Source ID</x:v>
      </x:c>
    </x:row>
    <x:row r="18" ht="48" customHeight="1">
      <x:c r="A18" s="85" t="str">
        <x:v>Asset position</x:v>
      </x:c>
      <x:c r="B18" s="86" t="str">
        <x:v>Nationwide network; Gemalink and Nam Dinh Vu</x:v>
      </x:c>
      <x:c r="C18" s="86" t="str">
        <x:v>Strong downstream Hai Phong cluster</x:v>
      </x:c>
      <x:c r="D18" s="86" t="str">
        <x:v>Scale plus Lach Huyen transition</x:v>
      </x:c>
      <x:c r="E18" s="86" t="str">
        <x:v>Upstream asset with channel constraint</x:v>
      </x:c>
      <x:c r="F18" s="87" t="str">
        <x:v>SRC-G01 / SRC-G02 / SRC-P02 / SRC-P08 / SRC-P11</x:v>
      </x:c>
    </x:row>
    <x:row r="19" ht="48" customHeight="1">
      <x:c r="A19" s="88" t="str">
        <x:v>Growth runway</x:v>
      </x:c>
      <x:c r="B19" s="89" t="str">
        <x:v>Nam Dinh Vu Phase 3 and Gemalink Phase 2</x:v>
      </x:c>
      <x:c r="C19" s="89" t="str">
        <x:v>Capacity exists but port-level ramp disclosure is limited</x:v>
      </x:c>
      <x:c r="D19" s="89" t="str">
        <x:v>Terminals 3–4 at Lach Huyen create strategic runway</x:v>
      </x:c>
      <x:c r="E19" s="89" t="str">
        <x:v>Limited expansion; 2026 plan mainly restores volume</x:v>
      </x:c>
      <x:c r="F19" s="90" t="str">
        <x:v>SRC-G01 / SRC-G02 / SRC-P02 / SRC-P10</x:v>
      </x:c>
    </x:row>
    <x:row r="20" ht="48" customHeight="1">
      <x:c r="A20" s="88" t="str">
        <x:v>Momentum</x:v>
      </x:c>
      <x:c r="B20" s="89" t="str">
        <x:v>5.079m TEU, +15%; PBT +42%</x:v>
      </x:c>
      <x:c r="C20" s="89" t="str">
        <x:v>Revenue +15%; PBT +30%</x:v>
      </x:c>
      <x:c r="D20" s="89" t="str">
        <x:v>Parent TEU -2.6%; consolidated cargo +6.9%</x:v>
      </x:c>
      <x:c r="E20" s="89" t="str">
        <x:v>TEU -10.3%; revenue -15.3%; PBT +0.6%</x:v>
      </x:c>
      <x:c r="F20" s="90" t="str">
        <x:v>SRC-G01 / SRC-P05 / SRC-P02 / SRC-P09</x:v>
      </x:c>
    </x:row>
    <x:row r="21" ht="48" customHeight="1">
      <x:c r="A21" s="88" t="str">
        <x:v>Earnings quality</x:v>
      </x:c>
      <x:c r="B21" s="89" t="str">
        <x:v>Strong margin and interest cover, but associates matter</x:v>
      </x:c>
      <x:c r="C21" s="89" t="str">
        <x:v>Lower margin and acquisition/associate complexity</x:v>
      </x:c>
      <x:c r="D21" s="89" t="str">
        <x:v>Strong profit and conservative parent balance sheet</x:v>
      </x:c>
      <x:c r="E21" s="89" t="str">
        <x:v>High margin and cost control preserved PBT</x:v>
      </x:c>
      <x:c r="F21" s="90" t="str">
        <x:v>SRC-G01 / SRC-P06 / SRC-P02 / SRC-P11</x:v>
      </x:c>
      <x:c r="H21" s="171" t="str">
        <x:v>Ticker</x:v>
      </x:c>
      <x:c r="I21" s="171" t="str">
        <x:v>Weighted score</x:v>
      </x:c>
    </x:row>
    <x:row r="22" ht="48" customHeight="1">
      <x:c r="A22" s="88" t="str">
        <x:v>Thesis purity</x:v>
      </x:c>
      <x:c r="B22" s="89" t="str">
        <x:v>Primarily ports/logistics</x:v>
      </x:c>
      <x:c r="C22" s="89" t="str">
        <x:v>HAH/VNA stakes introduce shipping exposure</x:v>
      </x:c>
      <x:c r="D22" s="89" t="str">
        <x:v>Predominantly port operator</x:v>
      </x:c>
      <x:c r="E22" s="89" t="str">
        <x:v>Port-pure single-terminal exposure</x:v>
      </x:c>
      <x:c r="F22" s="90" t="str">
        <x:v>SRC-G01 / SRC-P07 / SRC-P02 / SRC-P11</x:v>
      </x:c>
      <x:c r="H22" s="85" t="str">
        <x:v>GMD</x:v>
      </x:c>
      <x:c r="I22" s="240" t="n">
        <x:f>C13</x:f>
        <x:v>4.675</x:v>
      </x:c>
    </x:row>
    <x:row r="23" ht="48" customHeight="1">
      <x:c r="A23" s="88" t="str">
        <x:v>Disclosure</x:v>
      </x:c>
      <x:c r="B23" s="89" t="str">
        <x:v>Best port-level and regional disclosure in peer set</x:v>
      </x:c>
      <x:c r="C23" s="89" t="str">
        <x:v>Audited financials clear; port KPIs limited</x:v>
      </x:c>
      <x:c r="D23" s="89" t="str">
        <x:v>Strong operating table, but parent/consolidated split</x:v>
      </x:c>
      <x:c r="E23" s="89" t="str">
        <x:v>Clear AGM KPIs and causal explanation</x:v>
      </x:c>
      <x:c r="F23" s="90" t="str">
        <x:v>SRC-G01 / SRC-P05 / SRC-P02 / SRC-P11</x:v>
      </x:c>
      <x:c r="H23" s="88" t="str">
        <x:v>PHP</x:v>
      </x:c>
      <x:c r="I23" s="241" t="n">
        <x:f>E13</x:f>
        <x:v>4.1499999999999995</x:v>
      </x:c>
    </x:row>
    <x:row r="24" ht="48" customHeight="1">
      <x:c r="A24" s="91" t="str">
        <x:v>Risk balance</x:v>
      </x:c>
      <x:c r="B24" s="92" t="str">
        <x:v>Capex/ramp and attributable-earnings complexity</x:v>
      </x:c>
      <x:c r="C24" s="92" t="str">
        <x:v>Leverage, acquisitions and mixed exposure</x:v>
      </x:c>
      <x:c r="D24" s="92" t="str">
        <x:v>Ownership and project-normalization complexity</x:v>
      </x:c>
      <x:c r="E24" s="92" t="str">
        <x:v>Structural channel and service-rotation risk</x:v>
      </x:c>
      <x:c r="F24" s="93" t="str">
        <x:v>Source Audit / Gap Log</x:v>
      </x:c>
      <x:c r="H24" s="88" t="str">
        <x:v>VSC</x:v>
      </x:c>
      <x:c r="I24" s="241" t="n">
        <x:f>D13</x:f>
        <x:v>3.4</x:v>
      </x:c>
    </x:row>
    <x:row r="25" ht="26" customHeight="1">
      <x:c r="H25" s="91" t="str">
        <x:v>DVP</x:v>
      </x:c>
      <x:c r="I25" s="242" t="n">
        <x:f>F13</x:f>
        <x:v>2.95</x:v>
      </x:c>
    </x:row>
  </x:sheetData>
  <x:mergeCells>
    <x:mergeCell ref="A1:O1"/>
    <x:mergeCell ref="A2:O2"/>
    <x:mergeCell ref="A4:F4"/>
    <x:mergeCell ref="A16:F16"/>
  </x:mergeCells>
  <x:dataValidations count="2">
    <x:dataValidation type="decimal" operator="between" sqref="B6:B12">
      <x:formula1>0</x:formula1>
      <x:formula2>1</x:formula2>
    </x:dataValidation>
    <x:dataValidation type="decimal" operator="between" sqref="C6:F12">
      <x:formula1>1</x:formula1>
      <x:formula2>5</x:formula2>
    </x:dataValidation>
  </x:dataValidations>
  <x:pageMargins left="0.7" right="0.7" top="0.75" bottom="0.75" header="0.3" footer="0.3"/>
  <x:drawing xmlns:r="http://schemas.openxmlformats.org/officeDocument/2006/relationships" r:id="R086a7c8cfa1742ff"/>
  <x:tableParts count="2">
    <x:tablePart xmlns:r="http://schemas.openxmlformats.org/officeDocument/2006/relationships" r:id="R56b8800c4bb64bfb"/>
    <x:tablePart xmlns:r="http://schemas.openxmlformats.org/officeDocument/2006/relationships" r:id="R7b0f130c59e74854"/>
  </x:tableParts>
</x:worksheet>
</file>

<file path=xl/worksheets/sheet16.xml><?xml version="1.0" encoding="utf-8"?>
<x:worksheet xmlns:x="http://schemas.openxmlformats.org/spreadsheetml/2006/main">
  <x:sheetViews>
    <x:sheetView showGridLines="0" workbookViewId="0"/>
  </x:sheetViews>
  <x:sheetFormatPr defaultRowHeight="15"/>
  <x:cols>
    <x:col min="1" max="1" width="22" hidden="0" customWidth="1"/>
    <x:col min="2" max="2" width="35" hidden="0" customWidth="1"/>
    <x:col min="3" max="3" width="62" hidden="0" customWidth="1"/>
    <x:col min="4" max="4" width="34" hidden="0" customWidth="1"/>
    <x:col min="5" max="5" width="37" hidden="0" customWidth="1"/>
    <x:col min="6" max="6" width="4" hidden="0" customWidth="1"/>
    <x:col min="7" max="7" width="28" hidden="0" customWidth="1"/>
    <x:col min="8" max="8" width="22" hidden="0" customWidth="1"/>
    <x:col min="9" max="9" width="22" hidden="0" customWidth="1"/>
    <x:col min="10" max="10" width="22" hidden="0" customWidth="1"/>
    <x:col min="11" max="11" width="22" hidden="0" customWidth="1"/>
    <x:col min="12" max="12" width="22" hidden="0" customWidth="1"/>
  </x:cols>
  <x:sheetData>
    <x:row r="1" ht="30" customHeight="1">
      <x:c r="A1" s="158" t="str">
        <x:v>Phase 2 — Screening Conclusion</x:v>
      </x:c>
      <x:c r="B1" s="158" t="str">
        <x:v>Phase 2 — Screening Conclusion</x:v>
      </x:c>
      <x:c r="C1" s="158" t="str">
        <x:v>Phase 2 — Screening Conclusion</x:v>
      </x:c>
      <x:c r="D1" s="158" t="str">
        <x:v>Phase 2 — Screening Conclusion</x:v>
      </x:c>
      <x:c r="E1" s="158" t="str">
        <x:v>Phase 2 — Screening Conclusion</x:v>
      </x:c>
      <x:c r="F1" s="158" t="str">
        <x:v>Phase 2 — Screening Conclusion</x:v>
      </x:c>
      <x:c r="G1" s="158" t="str">
        <x:v>Phase 2 — Screening Conclusion</x:v>
      </x:c>
      <x:c r="H1" s="158" t="str">
        <x:v>Phase 2 — Screening Conclusion</x:v>
      </x:c>
      <x:c r="I1" s="158" t="str">
        <x:v>Phase 2 — Screening Conclusion</x:v>
      </x:c>
      <x:c r="J1" s="158" t="str">
        <x:v>Phase 2 — Screening Conclusion</x:v>
      </x:c>
      <x:c r="K1" s="158" t="str">
        <x:v>Phase 2 — Screening Conclusion</x:v>
      </x:c>
      <x:c r="L1" s="158" t="str">
        <x:v>Phase 2 — Screening Conclusion</x:v>
      </x:c>
    </x:row>
    <x:row r="2" ht="34" customHeight="1">
      <x:c r="A2" s="162" t="str">
        <x:v>Outcome: select the company for full operating modeling, define each peer's role and preserve falsification cases. No valuation or stock recommendation is issued.</x:v>
      </x:c>
      <x:c r="B2" s="162" t="str">
        <x:v>Outcome: select the company for full operating modeling, define each peer's role and preserve falsification cases. No valuation or stock recommendation is issued.</x:v>
      </x:c>
      <x:c r="C2" s="162" t="str">
        <x:v>Outcome: select the company for full operating modeling, define each peer's role and preserve falsification cases. No valuation or stock recommendation is issued.</x:v>
      </x:c>
      <x:c r="D2" s="162" t="str">
        <x:v>Outcome: select the company for full operating modeling, define each peer's role and preserve falsification cases. No valuation or stock recommendation is issued.</x:v>
      </x:c>
      <x:c r="E2" s="162" t="str">
        <x:v>Outcome: select the company for full operating modeling, define each peer's role and preserve falsification cases. No valuation or stock recommendation is issued.</x:v>
      </x:c>
      <x:c r="F2" s="162" t="str">
        <x:v>Outcome: select the company for full operating modeling, define each peer's role and preserve falsification cases. No valuation or stock recommendation is issued.</x:v>
      </x:c>
      <x:c r="G2" s="162" t="str">
        <x:v>Outcome: select the company for full operating modeling, define each peer's role and preserve falsification cases. No valuation or stock recommendation is issued.</x:v>
      </x:c>
      <x:c r="H2" s="162" t="str">
        <x:v>Outcome: select the company for full operating modeling, define each peer's role and preserve falsification cases. No valuation or stock recommendation is issued.</x:v>
      </x:c>
      <x:c r="I2" s="162" t="str">
        <x:v>Outcome: select the company for full operating modeling, define each peer's role and preserve falsification cases. No valuation or stock recommendation is issued.</x:v>
      </x:c>
      <x:c r="J2" s="162" t="str">
        <x:v>Outcome: select the company for full operating modeling, define each peer's role and preserve falsification cases. No valuation or stock recommendation is issued.</x:v>
      </x:c>
      <x:c r="K2" s="162" t="str">
        <x:v>Outcome: select the company for full operating modeling, define each peer's role and preserve falsification cases. No valuation or stock recommendation is issued.</x:v>
      </x:c>
      <x:c r="L2" s="162" t="str">
        <x:v>Outcome: select the company for full operating modeling, define each peer's role and preserve falsification cases. No valuation or stock recommendation is issued.</x:v>
      </x:c>
    </x:row>
    <x:row r="4" ht="21" customHeight="1">
      <x:c r="A4" s="165" t="str">
        <x:v>Decision summary</x:v>
      </x:c>
      <x:c r="B4" s="165" t="str">
        <x:v>Decision summary</x:v>
      </x:c>
      <x:c r="C4" s="165" t="str">
        <x:v>Decision summary</x:v>
      </x:c>
      <x:c r="D4" s="165" t="str">
        <x:v>Decision summary</x:v>
      </x:c>
      <x:c r="E4" s="165" t="str">
        <x:v>Decision summary</x:v>
      </x:c>
      <x:c r="F4" s="165" t="str">
        <x:v>Decision summary</x:v>
      </x:c>
      <x:c r="G4" s="165" t="str">
        <x:v>Decision summary</x:v>
      </x:c>
      <x:c r="H4" s="165" t="str">
        <x:v>Decision summary</x:v>
      </x:c>
      <x:c r="I4" s="165" t="str">
        <x:v>Decision summary</x:v>
      </x:c>
      <x:c r="J4" s="165" t="str">
        <x:v>Decision summary</x:v>
      </x:c>
      <x:c r="K4" s="165" t="str">
        <x:v>Decision summary</x:v>
      </x:c>
      <x:c r="L4" s="165" t="str">
        <x:v>Decision summary</x:v>
      </x:c>
    </x:row>
    <x:row r="5" ht="30" customHeight="1">
      <x:c r="A5" s="245" t="str">
        <x:v>Full-model selection</x:v>
      </x:c>
      <x:c r="B5" s="248" t="str">
        <x:v>GMD</x:v>
      </x:c>
      <x:c r="D5" s="245" t="str">
        <x:v>GMD score</x:v>
      </x:c>
      <x:c r="E5" s="252" t="n">
        <x:f>'P2 Scorecard'!C13</x:f>
        <x:v>4.675</x:v>
      </x:c>
      <x:c r="G5" s="201" t="str">
        <x:v>GMD passes because it combines the strongest asset position, identified capacity catalysts, positive operating momentum and the best disclosure set. This is an operational selection only; a lower valuation could still make another peer the better stock in Phase 4.</x:v>
      </x:c>
      <x:c r="H5" s="202" t="str">
        <x:v>GMD passes because it combines the strongest asset position, identified capacity catalysts, positive operating momentum and the best disclosure set. This is an operational selection only; a lower valuation could still make another peer the better stock in Phase 4.</x:v>
      </x:c>
      <x:c r="I5" s="202" t="str">
        <x:v>GMD passes because it combines the strongest asset position, identified capacity catalysts, positive operating momentum and the best disclosure set. This is an operational selection only; a lower valuation could still make another peer the better stock in Phase 4.</x:v>
      </x:c>
      <x:c r="J5" s="202" t="str">
        <x:v>GMD passes because it combines the strongest asset position, identified capacity catalysts, positive operating momentum and the best disclosure set. This is an operational selection only; a lower valuation could still make another peer the better stock in Phase 4.</x:v>
      </x:c>
      <x:c r="K5" s="202" t="str">
        <x:v>GMD passes because it combines the strongest asset position, identified capacity catalysts, positive operating momentum and the best disclosure set. This is an operational selection only; a lower valuation could still make another peer the better stock in Phase 4.</x:v>
      </x:c>
      <x:c r="L5" s="203" t="str">
        <x:v>GMD passes because it combines the strongest asset position, identified capacity catalysts, positive operating momentum and the best disclosure set. This is an operational selection only; a lower valuation could still make another peer the better stock in Phase 4.</x:v>
      </x:c>
    </x:row>
    <x:row r="6" ht="30" customHeight="1">
      <x:c r="A6" s="245" t="str">
        <x:v>Primary operating comparator</x:v>
      </x:c>
      <x:c r="B6" s="248" t="str">
        <x:v>VSC</x:v>
      </x:c>
      <x:c r="D6" s="245" t="str">
        <x:v>VSC score</x:v>
      </x:c>
      <x:c r="E6" s="252" t="n">
        <x:f>'P2 Scorecard'!D13</x:f>
        <x:v>3.4</x:v>
      </x:c>
      <x:c r="G6" s="204" t="str">
        <x:v>GMD passes because it combines the strongest asset position, identified capacity catalysts, positive operating momentum and the best disclosure set. This is an operational selection only; a lower valuation could still make another peer the better stock in Phase 4.</x:v>
      </x:c>
      <x:c r="H6" s="205" t="str">
        <x:v>GMD passes because it combines the strongest asset position, identified capacity catalysts, positive operating momentum and the best disclosure set. This is an operational selection only; a lower valuation could still make another peer the better stock in Phase 4.</x:v>
      </x:c>
      <x:c r="I6" s="205" t="str">
        <x:v>GMD passes because it combines the strongest asset position, identified capacity catalysts, positive operating momentum and the best disclosure set. This is an operational selection only; a lower valuation could still make another peer the better stock in Phase 4.</x:v>
      </x:c>
      <x:c r="J6" s="205" t="str">
        <x:v>GMD passes because it combines the strongest asset position, identified capacity catalysts, positive operating momentum and the best disclosure set. This is an operational selection only; a lower valuation could still make another peer the better stock in Phase 4.</x:v>
      </x:c>
      <x:c r="K6" s="205" t="str">
        <x:v>GMD passes because it combines the strongest asset position, identified capacity catalysts, positive operating momentum and the best disclosure set. This is an operational selection only; a lower valuation could still make another peer the better stock in Phase 4.</x:v>
      </x:c>
      <x:c r="L6" s="206" t="str">
        <x:v>GMD passes because it combines the strongest asset position, identified capacity catalysts, positive operating momentum and the best disclosure set. This is an operational selection only; a lower valuation could still make another peer the better stock in Phase 4.</x:v>
      </x:c>
    </x:row>
    <x:row r="7" ht="30" customHeight="1">
      <x:c r="A7" s="245" t="str">
        <x:v>Strategic asset benchmark</x:v>
      </x:c>
      <x:c r="B7" s="248" t="str">
        <x:v>PHP</x:v>
      </x:c>
      <x:c r="D7" s="245" t="str">
        <x:v>PHP score</x:v>
      </x:c>
      <x:c r="E7" s="252" t="n">
        <x:f>'P2 Scorecard'!E13</x:f>
        <x:v>4.1499999999999995</x:v>
      </x:c>
      <x:c r="G7" s="204" t="str">
        <x:v>GMD passes because it combines the strongest asset position, identified capacity catalysts, positive operating momentum and the best disclosure set. This is an operational selection only; a lower valuation could still make another peer the better stock in Phase 4.</x:v>
      </x:c>
      <x:c r="H7" s="205" t="str">
        <x:v>GMD passes because it combines the strongest asset position, identified capacity catalysts, positive operating momentum and the best disclosure set. This is an operational selection only; a lower valuation could still make another peer the better stock in Phase 4.</x:v>
      </x:c>
      <x:c r="I7" s="205" t="str">
        <x:v>GMD passes because it combines the strongest asset position, identified capacity catalysts, positive operating momentum and the best disclosure set. This is an operational selection only; a lower valuation could still make another peer the better stock in Phase 4.</x:v>
      </x:c>
      <x:c r="J7" s="205" t="str">
        <x:v>GMD passes because it combines the strongest asset position, identified capacity catalysts, positive operating momentum and the best disclosure set. This is an operational selection only; a lower valuation could still make another peer the better stock in Phase 4.</x:v>
      </x:c>
      <x:c r="K7" s="205" t="str">
        <x:v>GMD passes because it combines the strongest asset position, identified capacity catalysts, positive operating momentum and the best disclosure set. This is an operational selection only; a lower valuation could still make another peer the better stock in Phase 4.</x:v>
      </x:c>
      <x:c r="L7" s="206" t="str">
        <x:v>GMD passes because it combines the strongest asset position, identified capacity catalysts, positive operating momentum and the best disclosure set. This is an operational selection only; a lower valuation could still make another peer the better stock in Phase 4.</x:v>
      </x:c>
    </x:row>
    <x:row r="8" ht="30" customHeight="1">
      <x:c r="A8" s="245" t="str">
        <x:v>Negative-control case</x:v>
      </x:c>
      <x:c r="B8" s="248" t="str">
        <x:v>DVP</x:v>
      </x:c>
      <x:c r="D8" s="245" t="str">
        <x:v>DVP score</x:v>
      </x:c>
      <x:c r="E8" s="252" t="n">
        <x:f>'P2 Scorecard'!F13</x:f>
        <x:v>2.95</x:v>
      </x:c>
      <x:c r="G8" s="207" t="str">
        <x:v>GMD passes because it combines the strongest asset position, identified capacity catalysts, positive operating momentum and the best disclosure set. This is an operational selection only; a lower valuation could still make another peer the better stock in Phase 4.</x:v>
      </x:c>
      <x:c r="H8" s="208" t="str">
        <x:v>GMD passes because it combines the strongest asset position, identified capacity catalysts, positive operating momentum and the best disclosure set. This is an operational selection only; a lower valuation could still make another peer the better stock in Phase 4.</x:v>
      </x:c>
      <x:c r="I8" s="208" t="str">
        <x:v>GMD passes because it combines the strongest asset position, identified capacity catalysts, positive operating momentum and the best disclosure set. This is an operational selection only; a lower valuation could still make another peer the better stock in Phase 4.</x:v>
      </x:c>
      <x:c r="J8" s="208" t="str">
        <x:v>GMD passes because it combines the strongest asset position, identified capacity catalysts, positive operating momentum and the best disclosure set. This is an operational selection only; a lower valuation could still make another peer the better stock in Phase 4.</x:v>
      </x:c>
      <x:c r="K8" s="208" t="str">
        <x:v>GMD passes because it combines the strongest asset position, identified capacity catalysts, positive operating momentum and the best disclosure set. This is an operational selection only; a lower valuation could still make another peer the better stock in Phase 4.</x:v>
      </x:c>
      <x:c r="L8" s="209" t="str">
        <x:v>GMD passes because it combines the strongest asset position, identified capacity catalysts, positive operating momentum and the best disclosure set. This is an operational selection only; a lower valuation could still make another peer the better stock in Phase 4.</x:v>
      </x:c>
    </x:row>
    <x:row r="10" ht="21" customHeight="1">
      <x:c r="A10" s="165" t="str">
        <x:v>Peer roles after Phase 2</x:v>
      </x:c>
      <x:c r="B10" s="165" t="str">
        <x:v>Peer roles after Phase 2</x:v>
      </x:c>
      <x:c r="C10" s="165" t="str">
        <x:v>Peer roles after Phase 2</x:v>
      </x:c>
      <x:c r="D10" s="165" t="str">
        <x:v>Peer roles after Phase 2</x:v>
      </x:c>
      <x:c r="E10" s="165" t="str">
        <x:v>Peer roles after Phase 2</x:v>
      </x:c>
      <x:c r="F10" s="165" t="str">
        <x:v>Peer roles after Phase 2</x:v>
      </x:c>
      <x:c r="G10" s="165" t="str">
        <x:v>Peer roles after Phase 2</x:v>
      </x:c>
      <x:c r="H10" s="165" t="str">
        <x:v>Peer roles after Phase 2</x:v>
      </x:c>
      <x:c r="I10" s="165" t="str">
        <x:v>Peer roles after Phase 2</x:v>
      </x:c>
      <x:c r="J10" s="165" t="str">
        <x:v>Peer roles after Phase 2</x:v>
      </x:c>
      <x:c r="K10" s="165" t="str">
        <x:v>Peer roles after Phase 2</x:v>
      </x:c>
      <x:c r="L10" s="165" t="str">
        <x:v>Peer roles after Phase 2</x:v>
      </x:c>
    </x:row>
    <x:row r="12" ht="32" customHeight="1">
      <x:c r="A12" s="171" t="str">
        <x:v>Ticker</x:v>
      </x:c>
      <x:c r="B12" s="171" t="str">
        <x:v>Phase 2 decision</x:v>
      </x:c>
      <x:c r="C12" s="171" t="str">
        <x:v>Role in Phase 3</x:v>
      </x:c>
      <x:c r="D12" s="171" t="str">
        <x:v>Falsification / warning</x:v>
      </x:c>
      <x:c r="E12" s="171" t="str">
        <x:v>Source ID</x:v>
      </x:c>
    </x:row>
    <x:row r="13" ht="56" customHeight="1">
      <x:c r="A13" s="85" t="str">
        <x:v>GMD</x:v>
      </x:c>
      <x:c r="B13" s="253" t="str">
        <x:v>SELECT — full operating model</x:v>
      </x:c>
      <x:c r="C13" s="86" t="str">
        <x:v>Model North/South port throughput, tariff, associates, capex and attributable earnings.</x:v>
      </x:c>
      <x:c r="D13" s="86" t="str">
        <x:v>Fail if market share falls, new capacity ramps slowly or capex/associate leakage overwhelms EBITDA growth.</x:v>
      </x:c>
      <x:c r="E13" s="87" t="str">
        <x:v>SRC-G01 / SRC-G02</x:v>
      </x:c>
    </x:row>
    <x:row r="14" ht="56" customHeight="1">
      <x:c r="A14" s="88" t="str">
        <x:v>VSC</x:v>
      </x:c>
      <x:c r="B14" s="220" t="str">
        <x:v>KEEP — primary comparator</x:v>
      </x:c>
      <x:c r="C14" s="89" t="str">
        <x:v>Benchmark Hai Phong tariff, port utilization and competitive response.</x:v>
      </x:c>
      <x:c r="D14" s="89" t="str">
        <x:v>Do not mix HAH/VNA shipping exposure into the pure-port thesis.</x:v>
      </x:c>
      <x:c r="E14" s="90" t="str">
        <x:v>SRC-P05 / SRC-P06 / SRC-P07</x:v>
      </x:c>
    </x:row>
    <x:row r="15" ht="56" customHeight="1">
      <x:c r="A15" s="88" t="str">
        <x:v>PHP</x:v>
      </x:c>
      <x:c r="B15" s="220" t="str">
        <x:v>KEEP — strategic asset benchmark</x:v>
      </x:c>
      <x:c r="C15" s="89" t="str">
        <x:v>Benchmark Lach Huyen gateway scale and balance-sheet-backed expansion.</x:v>
      </x:c>
      <x:c r="D15" s="89" t="str">
        <x:v>Normalize parent versus consolidated results before any valuation comparison.</x:v>
      </x:c>
      <x:c r="E15" s="90" t="str">
        <x:v>SRC-P02</x:v>
      </x:c>
    </x:row>
    <x:row r="16" ht="56" customHeight="1">
      <x:c r="A16" s="91" t="str">
        <x:v>DVP</x:v>
      </x:c>
      <x:c r="B16" s="223" t="str">
        <x:v>KEEP — negative control</x:v>
      </x:c>
      <x:c r="C16" s="92" t="str">
        <x:v>Use as downside evidence for channel depth and shipping-line service relocation.</x:v>
      </x:c>
      <x:c r="D16" s="92" t="str">
        <x:v>High margin does not offset a structurally weakening volume base indefinitely.</x:v>
      </x:c>
      <x:c r="E16" s="93" t="str">
        <x:v>SRC-P09 / SRC-P11</x:v>
      </x:c>
    </x:row>
    <x:row r="18" ht="21" customHeight="1">
      <x:c r="A18" s="165" t="str">
        <x:v>Phase 3 build requirements</x:v>
      </x:c>
      <x:c r="B18" s="165" t="str">
        <x:v>Phase 3 build requirements</x:v>
      </x:c>
      <x:c r="C18" s="165" t="str">
        <x:v>Phase 3 build requirements</x:v>
      </x:c>
      <x:c r="D18" s="165" t="str">
        <x:v>Phase 3 build requirements</x:v>
      </x:c>
      <x:c r="E18" s="165" t="str">
        <x:v>Phase 3 build requirements</x:v>
      </x:c>
      <x:c r="F18" s="165" t="str">
        <x:v>Phase 3 build requirements</x:v>
      </x:c>
      <x:c r="G18" s="165" t="str">
        <x:v>Phase 3 build requirements</x:v>
      </x:c>
      <x:c r="H18" s="165" t="str">
        <x:v>Phase 3 build requirements</x:v>
      </x:c>
      <x:c r="I18" s="165" t="str">
        <x:v>Phase 3 build requirements</x:v>
      </x:c>
      <x:c r="J18" s="165" t="str">
        <x:v>Phase 3 build requirements</x:v>
      </x:c>
      <x:c r="K18" s="165" t="str">
        <x:v>Phase 3 build requirements</x:v>
      </x:c>
      <x:c r="L18" s="165" t="str">
        <x:v>Phase 3 build requirements</x:v>
      </x:c>
    </x:row>
    <x:row r="20" ht="32" customHeight="1">
      <x:c r="A20" s="171" t="str">
        <x:v>Step</x:v>
      </x:c>
      <x:c r="B20" s="171" t="str">
        <x:v>Schedule</x:v>
      </x:c>
      <x:c r="C20" s="171" t="str">
        <x:v>Required output</x:v>
      </x:c>
      <x:c r="D20" s="171" t="str">
        <x:v>Evidence class</x:v>
      </x:c>
    </x:row>
    <x:row r="21" ht="39" customHeight="1">
      <x:c r="A21" s="85" t="str">
        <x:v>1</x:v>
      </x:c>
      <x:c r="B21" s="86" t="str">
        <x:v>National / regional demand</x:v>
      </x:c>
      <x:c r="C21" s="86" t="str">
        <x:v>Trade-to-TEU elasticity and North/South volume assumptions</x:v>
      </x:c>
      <x:c r="D21" s="87" t="str">
        <x:v>Historical series + analyst scenarios</x:v>
      </x:c>
    </x:row>
    <x:row r="22" ht="39" customHeight="1">
      <x:c r="A22" s="88" t="str">
        <x:v>2</x:v>
      </x:c>
      <x:c r="B22" s="89" t="str">
        <x:v>Port operations</x:v>
      </x:c>
      <x:c r="C22" s="89" t="str">
        <x:v>Asset-level throughput, capacity, utilization and realized revenue per unit</x:v>
      </x:c>
      <x:c r="D22" s="90" t="str">
        <x:v>GMD filings + regional data</x:v>
      </x:c>
    </x:row>
    <x:row r="23" ht="39" customHeight="1">
      <x:c r="A23" s="88" t="str">
        <x:v>3</x:v>
      </x:c>
      <x:c r="B23" s="89" t="str">
        <x:v>Financial bridge</x:v>
      </x:c>
      <x:c r="C23" s="89" t="str">
        <x:v>Port revenue, logistics revenue, EBITDA, associate income and attributable profit</x:v>
      </x:c>
      <x:c r="D23" s="90" t="str">
        <x:v>Formula-driven operating model</x:v>
      </x:c>
    </x:row>
    <x:row r="24" ht="39" customHeight="1">
      <x:c r="A24" s="88" t="str">
        <x:v>4</x:v>
      </x:c>
      <x:c r="B24" s="89" t="str">
        <x:v>Capex / catalysts</x:v>
      </x:c>
      <x:c r="C24" s="89" t="str">
        <x:v>Nam Dinh Vu Phase 3 and Gemalink Phase 2 timing and ramp</x:v>
      </x:c>
      <x:c r="D24" s="90" t="str">
        <x:v>Base/Bear/Bull cases</x:v>
      </x:c>
    </x:row>
    <x:row r="25" ht="39" customHeight="1">
      <x:c r="A25" s="91" t="str">
        <x:v>5</x:v>
      </x:c>
      <x:c r="B25" s="92" t="str">
        <x:v>Checks</x:v>
      </x:c>
      <x:c r="C25" s="92" t="str">
        <x:v>Unit, ownership, throughput-capacity and earnings-bridge checks</x:v>
      </x:c>
      <x:c r="D25" s="93" t="str">
        <x:v>Visible control sheet</x:v>
      </x:c>
    </x:row>
  </x:sheetData>
  <x:mergeCells>
    <x:mergeCell ref="A1:L1"/>
    <x:mergeCell ref="A2:L2"/>
    <x:mergeCell ref="A4:L4"/>
    <x:mergeCell ref="G5:L8"/>
    <x:mergeCell ref="A10:L10"/>
    <x:mergeCell ref="A18:L18"/>
  </x:mergeCells>
  <x:pageMargins left="0.7" right="0.7" top="0.75" bottom="0.75" header="0.3" footer="0.3"/>
  <x:tableParts count="2">
    <x:tablePart xmlns:r="http://schemas.openxmlformats.org/officeDocument/2006/relationships" r:id="Ra986640f427747e6"/>
    <x:tablePart xmlns:r="http://schemas.openxmlformats.org/officeDocument/2006/relationships" r:id="Rf7b7cd9b4548483b"/>
  </x:tableParts>
</x:worksheet>
</file>

<file path=xl/worksheets/sheet17.xml><?xml version="1.0" encoding="utf-8"?>
<x:worksheet xmlns:x="http://schemas.openxmlformats.org/spreadsheetml/2006/main">
  <x:sheetViews>
    <x:sheetView showGridLines="0" workbookViewId="0"/>
  </x:sheetViews>
  <x:sheetFormatPr defaultRowHeight="15"/>
  <x:cols>
    <x:col min="1" max="1" width="37" hidden="0" customWidth="1"/>
    <x:col min="2" max="2" width="15" hidden="0" customWidth="1"/>
    <x:col min="3" max="3" width="15" hidden="0" customWidth="1"/>
    <x:col min="4" max="4" width="15" hidden="0" customWidth="1"/>
    <x:col min="5" max="5" width="15" hidden="0" customWidth="1"/>
    <x:col min="6" max="6" width="14" hidden="0" customWidth="1"/>
    <x:col min="7" max="7" width="58" hidden="0" customWidth="1"/>
  </x:cols>
  <x:sheetData>
    <x:row r="1" ht="30" customHeight="1">
      <x:c r="A1" s="158" t="str">
        <x:v>Phase 2 — Control Sheet</x:v>
      </x:c>
      <x:c r="B1" s="158" t="str">
        <x:v>Phase 2 — Control Sheet</x:v>
      </x:c>
      <x:c r="C1" s="158" t="str">
        <x:v>Phase 2 — Control Sheet</x:v>
      </x:c>
      <x:c r="D1" s="158" t="str">
        <x:v>Phase 2 — Control Sheet</x:v>
      </x:c>
      <x:c r="E1" s="158" t="str">
        <x:v>Phase 2 — Control Sheet</x:v>
      </x:c>
      <x:c r="F1" s="158" t="str">
        <x:v>Phase 2 — Control Sheet</x:v>
      </x:c>
      <x:c r="G1" s="158" t="str">
        <x:v>Phase 2 — Control Sheet</x:v>
      </x:c>
    </x:row>
    <x:row r="2" ht="34" customHeight="1">
      <x:c r="A2" s="162" t="str">
        <x:v>Controls cover score weights, score bounds, peer coverage, source registration and conclusion linkage. Passing checks validate structure, not investment merit.</x:v>
      </x:c>
      <x:c r="B2" s="162" t="str">
        <x:v>Controls cover score weights, score bounds, peer coverage, source registration and conclusion linkage. Passing checks validate structure, not investment merit.</x:v>
      </x:c>
      <x:c r="C2" s="162" t="str">
        <x:v>Controls cover score weights, score bounds, peer coverage, source registration and conclusion linkage. Passing checks validate structure, not investment merit.</x:v>
      </x:c>
      <x:c r="D2" s="162" t="str">
        <x:v>Controls cover score weights, score bounds, peer coverage, source registration and conclusion linkage. Passing checks validate structure, not investment merit.</x:v>
      </x:c>
      <x:c r="E2" s="162" t="str">
        <x:v>Controls cover score weights, score bounds, peer coverage, source registration and conclusion linkage. Passing checks validate structure, not investment merit.</x:v>
      </x:c>
      <x:c r="F2" s="162" t="str">
        <x:v>Controls cover score weights, score bounds, peer coverage, source registration and conclusion linkage. Passing checks validate structure, not investment merit.</x:v>
      </x:c>
      <x:c r="G2" s="162" t="str">
        <x:v>Controls cover score weights, score bounds, peer coverage, source registration and conclusion linkage. Passing checks validate structure, not investment merit.</x:v>
      </x:c>
    </x:row>
    <x:row r="4" ht="21" customHeight="1">
      <x:c r="A4" s="165" t="str">
        <x:v>Formula-driven checks</x:v>
      </x:c>
      <x:c r="B4" s="165" t="str">
        <x:v>Formula-driven checks</x:v>
      </x:c>
      <x:c r="C4" s="165" t="str">
        <x:v>Formula-driven checks</x:v>
      </x:c>
      <x:c r="D4" s="165" t="str">
        <x:v>Formula-driven checks</x:v>
      </x:c>
      <x:c r="E4" s="165" t="str">
        <x:v>Formula-driven checks</x:v>
      </x:c>
      <x:c r="F4" s="165" t="str">
        <x:v>Formula-driven checks</x:v>
      </x:c>
      <x:c r="G4" s="165" t="str">
        <x:v>Formula-driven checks</x:v>
      </x:c>
    </x:row>
    <x:row r="6" ht="32" customHeight="1">
      <x:c r="A6" s="171" t="str">
        <x:v>Check</x:v>
      </x:c>
      <x:c r="B6" s="171" t="str">
        <x:v>Actual</x:v>
      </x:c>
      <x:c r="C6" s="171" t="str">
        <x:v>Expected</x:v>
      </x:c>
      <x:c r="D6" s="171" t="str">
        <x:v>Difference</x:v>
      </x:c>
      <x:c r="E6" s="171" t="str">
        <x:v>Tolerance</x:v>
      </x:c>
      <x:c r="F6" s="171" t="str">
        <x:v>Status</x:v>
      </x:c>
      <x:c r="G6" s="171" t="str">
        <x:v>Control note</x:v>
      </x:c>
    </x:row>
    <x:row r="7" ht="31" customHeight="1">
      <x:c r="A7" s="85" t="str">
        <x:v>Score weights sum to 100%</x:v>
      </x:c>
      <x:c r="B7" s="254" t="n">
        <x:f>'P2 Scorecard'!B13</x:f>
        <x:v>1</x:v>
      </x:c>
      <x:c r="C7" s="254" t="n">
        <x:v>1</x:v>
      </x:c>
      <x:c r="D7" s="254" t="n">
        <x:f>B7-C7</x:f>
        <x:v>0</x:v>
      </x:c>
      <x:c r="E7" s="254" t="n">
        <x:v>0.0001</x:v>
      </x:c>
      <x:c r="F7" s="86" t="str">
        <x:f>IF(ABS(D7)&lt;=E7,"OK","CHECK")</x:f>
        <x:v>OK</x:v>
      </x:c>
      <x:c r="G7" s="87" t="str">
        <x:v>Methodology integrity</x:v>
      </x:c>
    </x:row>
    <x:row r="8" ht="31" customHeight="1">
      <x:c r="A8" s="88" t="str">
        <x:v>Minimum score is at least 1</x:v>
      </x:c>
      <x:c r="B8" s="255" t="n">
        <x:f>MIN('P2 Scorecard'!C6:F12)</x:f>
        <x:v>2</x:v>
      </x:c>
      <x:c r="C8" s="255" t="n">
        <x:v>1</x:v>
      </x:c>
      <x:c r="D8" s="255" t="n">
        <x:f>B8-C8</x:f>
        <x:v>1</x:v>
      </x:c>
      <x:c r="E8" s="255" t="n">
        <x:v>0.0001</x:v>
      </x:c>
      <x:c r="F8" s="89" t="str">
        <x:f>IF(B8&gt;=C8,"OK","CHECK")</x:f>
        <x:v>OK</x:v>
      </x:c>
      <x:c r="G8" s="90" t="str">
        <x:v>All analyst scores are inside the defined range</x:v>
      </x:c>
    </x:row>
    <x:row r="9" ht="31" customHeight="1">
      <x:c r="A9" s="88" t="str">
        <x:v>Maximum score is at most 5</x:v>
      </x:c>
      <x:c r="B9" s="255" t="n">
        <x:f>MAX('P2 Scorecard'!C6:F12)</x:f>
        <x:v>5</x:v>
      </x:c>
      <x:c r="C9" s="255" t="n">
        <x:v>5</x:v>
      </x:c>
      <x:c r="D9" s="255" t="n">
        <x:f>B9-C9</x:f>
        <x:v>0</x:v>
      </x:c>
      <x:c r="E9" s="255" t="n">
        <x:v>0.0001</x:v>
      </x:c>
      <x:c r="F9" s="89" t="str">
        <x:f>IF(B9&lt;=C9,"OK","CHECK")</x:f>
        <x:v>OK</x:v>
      </x:c>
      <x:c r="G9" s="90" t="str">
        <x:v>All analyst scores are inside the defined range</x:v>
      </x:c>
    </x:row>
    <x:row r="10" ht="31" customHeight="1">
      <x:c r="A10" s="88" t="str">
        <x:v>Peer count</x:v>
      </x:c>
      <x:c r="B10" s="255" t="n">
        <x:f>COUNTA('P2 Peer Raw'!A7:A10)</x:f>
        <x:v>4</x:v>
      </x:c>
      <x:c r="C10" s="255" t="n">
        <x:v>4</x:v>
      </x:c>
      <x:c r="D10" s="255" t="n">
        <x:f>B10-C10</x:f>
        <x:v>0</x:v>
      </x:c>
      <x:c r="E10" s="255" t="n">
        <x:v>0</x:v>
      </x:c>
      <x:c r="F10" s="89" t="str">
        <x:f>IF(ABS(D10)&lt;=E10,"OK","CHECK")</x:f>
        <x:v>OK</x:v>
      </x:c>
      <x:c r="G10" s="90" t="str">
        <x:v>GMD, VSC, PHP and DVP included</x:v>
      </x:c>
    </x:row>
    <x:row r="11" ht="31" customHeight="1">
      <x:c r="A11" s="88" t="str">
        <x:v>Regional cluster count</x:v>
      </x:c>
      <x:c r="B11" s="255" t="n">
        <x:f>COUNTA('P2 Regional Map'!A7:A10)</x:f>
        <x:v>4</x:v>
      </x:c>
      <x:c r="C11" s="255" t="n">
        <x:v>4</x:v>
      </x:c>
      <x:c r="D11" s="255" t="n">
        <x:f>B11-C11</x:f>
        <x:v>0</x:v>
      </x:c>
      <x:c r="E11" s="255" t="n">
        <x:v>0</x:v>
      </x:c>
      <x:c r="F11" s="89" t="str">
        <x:f>IF(ABS(D11)&lt;=E11,"OK","CHECK")</x:f>
        <x:v>OK</x:v>
      </x:c>
      <x:c r="G11" s="90" t="str">
        <x:v>Downstream North, upstream North, South and Central</x:v>
      </x:c>
    </x:row>
    <x:row r="12" ht="31" customHeight="1">
      <x:c r="A12" s="88" t="str">
        <x:v>New Phase 2 source count</x:v>
      </x:c>
      <x:c r="B12" s="255" t="n">
        <x:f>COUNTA('Source Audit'!A33:A39)</x:f>
        <x:v>7</x:v>
      </x:c>
      <x:c r="C12" s="255" t="n">
        <x:v>7</x:v>
      </x:c>
      <x:c r="D12" s="255" t="n">
        <x:f>B12-C12</x:f>
        <x:v>0</x:v>
      </x:c>
      <x:c r="E12" s="255" t="n">
        <x:v>0</x:v>
      </x:c>
      <x:c r="F12" s="89" t="str">
        <x:f>IF(ABS(D12)&lt;=E12,"OK","CHECK")</x:f>
        <x:v>OK</x:v>
      </x:c>
      <x:c r="G12" s="90" t="str">
        <x:v>Official peer sources added</x:v>
      </x:c>
    </x:row>
    <x:row r="13" ht="31" customHeight="1">
      <x:c r="A13" s="88" t="str">
        <x:v>GMD remains rank 1</x:v>
      </x:c>
      <x:c r="B13" s="255" t="n">
        <x:f>'P2 Scorecard'!C14</x:f>
        <x:v>1</x:v>
      </x:c>
      <x:c r="C13" s="255" t="n">
        <x:v>1</x:v>
      </x:c>
      <x:c r="D13" s="255" t="n">
        <x:f>B13-C13</x:f>
        <x:v>0</x:v>
      </x:c>
      <x:c r="E13" s="255" t="n">
        <x:v>0</x:v>
      </x:c>
      <x:c r="F13" s="89" t="str">
        <x:f>IF(ABS(D13)&lt;=E13,"OK","CHECK")</x:f>
        <x:v>OK</x:v>
      </x:c>
      <x:c r="G13" s="90" t="str">
        <x:v>Full-model selection must match scorecard</x:v>
      </x:c>
    </x:row>
    <x:row r="14" ht="31" customHeight="1">
      <x:c r="A14" s="88" t="str">
        <x:v>Conclusion links to GMD score</x:v>
      </x:c>
      <x:c r="B14" s="255" t="n">
        <x:f>'P2 Conclusion'!E5-'P2 Scorecard'!C13</x:f>
        <x:v>0</x:v>
      </x:c>
      <x:c r="C14" s="255" t="n">
        <x:v>0</x:v>
      </x:c>
      <x:c r="D14" s="255" t="n">
        <x:f>B14-C14</x:f>
        <x:v>0</x:v>
      </x:c>
      <x:c r="E14" s="255" t="n">
        <x:v>0.0001</x:v>
      </x:c>
      <x:c r="F14" s="89" t="str">
        <x:f>IF(ABS(D14)&lt;=E14,"OK","CHECK")</x:f>
        <x:v>OK</x:v>
      </x:c>
      <x:c r="G14" s="90" t="str">
        <x:v>No hardcoded conclusion score</x:v>
      </x:c>
    </x:row>
    <x:row r="15" ht="31" customHeight="1">
      <x:c r="A15" s="91" t="str">
        <x:v>No valuation score included</x:v>
      </x:c>
      <x:c r="B15" s="256" t="n">
        <x:v>0</x:v>
      </x:c>
      <x:c r="C15" s="256" t="n">
        <x:v>0</x:v>
      </x:c>
      <x:c r="D15" s="256" t="n">
        <x:f>B15-C15</x:f>
        <x:v>0</x:v>
      </x:c>
      <x:c r="E15" s="256" t="n">
        <x:v>0</x:v>
      </x:c>
      <x:c r="F15" s="92" t="str">
        <x:f>IF(ABS(D15)&lt;=E15,"OK","CHECK")</x:f>
        <x:v>OK</x:v>
      </x:c>
      <x:c r="G15" s="93" t="str">
        <x:v>Phase 2 is operational only</x:v>
      </x:c>
    </x:row>
    <x:row r="17" ht="21" customHeight="1">
      <x:c r="A17" s="165" t="str">
        <x:v>Overall Phase 2 status</x:v>
      </x:c>
      <x:c r="B17" s="165" t="str">
        <x:v>Overall Phase 2 status</x:v>
      </x:c>
      <x:c r="C17" s="165" t="str">
        <x:v>Overall Phase 2 status</x:v>
      </x:c>
      <x:c r="D17" s="165" t="str">
        <x:v>Overall Phase 2 status</x:v>
      </x:c>
      <x:c r="E17" s="165" t="str">
        <x:v>Overall Phase 2 status</x:v>
      </x:c>
      <x:c r="F17" s="165" t="str">
        <x:v>Overall Phase 2 status</x:v>
      </x:c>
      <x:c r="G17" s="165" t="str">
        <x:v>Overall Phase 2 status</x:v>
      </x:c>
    </x:row>
    <x:row r="18" ht="28" customHeight="1">
      <x:c r="A18" s="245" t="str">
        <x:v>Phase 2 control status</x:v>
      </x:c>
      <x:c r="B18" s="258" t="str">
        <x:f>IF(COUNTIF(F7:F15,"CHECK")=0,"OK — GMD selected for Phase 3; no rating issued","CHECK — resolve Phase 2 controls")</x:f>
        <x:v>OK — GMD selected for Phase 3; no rating issued</x:v>
      </x:c>
      <x:c r="C18" s="258"/>
      <x:c r="D18" s="258"/>
      <x:c r="E18" s="258"/>
      <x:c r="F18" s="258"/>
      <x:c r="G18" s="258"/>
    </x:row>
  </x:sheetData>
  <x:mergeCells>
    <x:mergeCell ref="A1:G1"/>
    <x:mergeCell ref="A2:G2"/>
    <x:mergeCell ref="A4:G4"/>
    <x:mergeCell ref="A17:G17"/>
    <x:mergeCell ref="B18:G18"/>
  </x:mergeCells>
  <x:conditionalFormatting sqref="F7:F15">
    <x:cfRule type="cellIs" dxfId="3" priority="1" operator="equal">
      <x:formula>"OK"</x:formula>
    </x:cfRule>
    <x:cfRule type="cellIs" dxfId="4" priority="2" operator="equal">
      <x:formula>"CHECK"</x:formula>
    </x:cfRule>
  </x:conditionalFormatting>
  <x:pageMargins left="0.7" right="0.7" top="0.75" bottom="0.75" header="0.3" footer="0.3"/>
  <x:tableParts count="1">
    <x:tablePart xmlns:r="http://schemas.openxmlformats.org/officeDocument/2006/relationships" r:id="Re339ceaab33349a5"/>
  </x:tableParts>
</x:worksheet>
</file>

<file path=xl/worksheets/sheet18.xml><?xml version="1.0" encoding="utf-8"?>
<x:worksheet xmlns:x="http://schemas.openxmlformats.org/spreadsheetml/2006/main">
  <x:sheetViews>
    <x:sheetView showGridLines="0" workbookViewId="0"/>
  </x:sheetViews>
  <x:sheetFormatPr defaultRowHeight="15"/>
  <x:cols>
    <x:col min="1" max="1" width="22" hidden="0" customWidth="1"/>
    <x:col min="2" max="2" width="48" hidden="0" customWidth="1"/>
    <x:col min="3" max="3" width="58" hidden="0" customWidth="1"/>
    <x:col min="4" max="4" width="48" hidden="0" customWidth="1"/>
    <x:col min="5" max="5" width="18" hidden="0" customWidth="1"/>
    <x:col min="6" max="6" width="18" hidden="0" customWidth="1"/>
    <x:col min="7" max="7" width="18" hidden="0" customWidth="1"/>
    <x:col min="8" max="8" width="18" hidden="0" customWidth="1"/>
    <x:col min="9" max="9" width="18" hidden="0" customWidth="1"/>
    <x:col min="10" max="10" width="11" hidden="0" customWidth="1"/>
    <x:col min="11" max="11" width="14" hidden="0" customWidth="1"/>
    <x:col min="12" max="12" width="64" hidden="0" customWidth="1"/>
    <x:col min="13" max="13" width="28" hidden="0" customWidth="1"/>
  </x:cols>
  <x:sheetData>
    <x:row r="1" ht="30" customHeight="1">
      <x:c r="A1" s="264" t="str">
        <x:v>Raw GMD VNStock Financial Statements — 2021 to 2025</x:v>
      </x:c>
      <x:c r="B1" s="264" t="str">
        <x:v>Raw GMD VNStock Financial Statements — 2021 to 2025</x:v>
      </x:c>
      <x:c r="C1" s="264" t="str">
        <x:v>Raw GMD VNStock Financial Statements — 2021 to 2025</x:v>
      </x:c>
      <x:c r="D1" s="264" t="str">
        <x:v>Raw GMD VNStock Financial Statements — 2021 to 2025</x:v>
      </x:c>
      <x:c r="E1" s="264" t="str">
        <x:v>Raw GMD VNStock Financial Statements — 2021 to 2025</x:v>
      </x:c>
      <x:c r="F1" s="264" t="str">
        <x:v>Raw GMD VNStock Financial Statements — 2021 to 2025</x:v>
      </x:c>
      <x:c r="G1" s="264" t="str">
        <x:v>Raw GMD VNStock Financial Statements — 2021 to 2025</x:v>
      </x:c>
      <x:c r="H1" s="264" t="str">
        <x:v>Raw GMD VNStock Financial Statements — 2021 to 2025</x:v>
      </x:c>
      <x:c r="I1" s="264" t="str">
        <x:v>Raw GMD VNStock Financial Statements — 2021 to 2025</x:v>
      </x:c>
      <x:c r="J1" s="264" t="str">
        <x:v>Raw GMD VNStock Financial Statements — 2021 to 2025</x:v>
      </x:c>
      <x:c r="K1" s="264" t="str">
        <x:v>Raw GMD VNStock Financial Statements — 2021 to 2025</x:v>
      </x:c>
      <x:c r="L1" s="264" t="str">
        <x:v>Raw GMD VNStock Financial Statements — 2021 to 2025</x:v>
      </x:c>
      <x:c r="M1" s="264" t="str">
        <x:v>Raw GMD VNStock Financial Statements — 2021 to 2025</x:v>
      </x:c>
    </x:row>
    <x:row r="2" ht="34" customHeight="1">
      <x:c r="A2" s="268" t="str">
        <x:v>Values are preserved in VND from the VNStock Finance API, underlying source VCI. Downstream financial-statement rows link here and divide by the visible VND-to-billion unit divisor.</x:v>
      </x:c>
      <x:c r="B2" s="268" t="str">
        <x:v>Values are preserved in VND from the VNStock Finance API, underlying source VCI. Downstream financial-statement rows link here and divide by the visible VND-to-billion unit divisor.</x:v>
      </x:c>
      <x:c r="C2" s="268" t="str">
        <x:v>Values are preserved in VND from the VNStock Finance API, underlying source VCI. Downstream financial-statement rows link here and divide by the visible VND-to-billion unit divisor.</x:v>
      </x:c>
      <x:c r="D2" s="268" t="str">
        <x:v>Values are preserved in VND from the VNStock Finance API, underlying source VCI. Downstream financial-statement rows link here and divide by the visible VND-to-billion unit divisor.</x:v>
      </x:c>
      <x:c r="E2" s="268" t="str">
        <x:v>Values are preserved in VND from the VNStock Finance API, underlying source VCI. Downstream financial-statement rows link here and divide by the visible VND-to-billion unit divisor.</x:v>
      </x:c>
      <x:c r="F2" s="268" t="str">
        <x:v>Values are preserved in VND from the VNStock Finance API, underlying source VCI. Downstream financial-statement rows link here and divide by the visible VND-to-billion unit divisor.</x:v>
      </x:c>
      <x:c r="G2" s="268" t="str">
        <x:v>Values are preserved in VND from the VNStock Finance API, underlying source VCI. Downstream financial-statement rows link here and divide by the visible VND-to-billion unit divisor.</x:v>
      </x:c>
      <x:c r="H2" s="268" t="str">
        <x:v>Values are preserved in VND from the VNStock Finance API, underlying source VCI. Downstream financial-statement rows link here and divide by the visible VND-to-billion unit divisor.</x:v>
      </x:c>
      <x:c r="I2" s="268" t="str">
        <x:v>Values are preserved in VND from the VNStock Finance API, underlying source VCI. Downstream financial-statement rows link here and divide by the visible VND-to-billion unit divisor.</x:v>
      </x:c>
      <x:c r="J2" s="268" t="str">
        <x:v>Values are preserved in VND from the VNStock Finance API, underlying source VCI. Downstream financial-statement rows link here and divide by the visible VND-to-billion unit divisor.</x:v>
      </x:c>
      <x:c r="K2" s="268" t="str">
        <x:v>Values are preserved in VND from the VNStock Finance API, underlying source VCI. Downstream financial-statement rows link here and divide by the visible VND-to-billion unit divisor.</x:v>
      </x:c>
      <x:c r="L2" s="268" t="str">
        <x:v>Values are preserved in VND from the VNStock Finance API, underlying source VCI. Downstream financial-statement rows link here and divide by the visible VND-to-billion unit divisor.</x:v>
      </x:c>
      <x:c r="M2" s="268" t="str">
        <x:v>Values are preserved in VND from the VNStock Finance API, underlying source VCI. Downstream financial-statement rows link here and divide by the visible VND-to-billion unit divisor.</x:v>
      </x:c>
    </x:row>
    <x:row r="3">
      <x:c r="A3" s="270" t="str">
        <x:v>VND to VND bn divisor</x:v>
      </x:c>
      <x:c r="B3" s="271" t="n">
        <x:v>1000000000</x:v>
      </x:c>
      <x:c r="C3" s="270" t="str">
        <x:v>Fetched at</x:v>
      </x:c>
      <x:c r="D3" s="272" t="n">
        <x:v>46228.58256944444</x:v>
      </x:c>
      <x:c r="E3" s="270" t="str">
        <x:v>API</x:v>
      </x:c>
      <x:c r="F3" s="270" t="str">
        <x:v>VNStock 4.0.5 / VCI</x:v>
      </x:c>
    </x:row>
    <x:row r="5" ht="32" customHeight="1">
      <x:c r="A5" s="278" t="str">
        <x:v>Statement</x:v>
      </x:c>
      <x:c r="B5" s="278" t="str">
        <x:v>Item ID</x:v>
      </x:c>
      <x:c r="C5" s="278" t="str">
        <x:v>Item (Vietnamese)</x:v>
      </x:c>
      <x:c r="D5" s="278" t="str">
        <x:v>Item (English)</x:v>
      </x:c>
      <x:c r="E5" s="280" t="n">
        <x:v>44561</x:v>
      </x:c>
      <x:c r="F5" s="280" t="n">
        <x:v>44926</x:v>
      </x:c>
      <x:c r="G5" s="280" t="n">
        <x:v>45291</x:v>
      </x:c>
      <x:c r="H5" s="280" t="n">
        <x:v>45657</x:v>
      </x:c>
      <x:c r="I5" s="280" t="n">
        <x:v>46022</x:v>
      </x:c>
      <x:c r="J5" s="278" t="str">
        <x:v>Unit</x:v>
      </x:c>
      <x:c r="K5" s="278" t="str">
        <x:v>Source ID</x:v>
      </x:c>
      <x:c r="L5" s="278" t="str">
        <x:v>Source URL</x:v>
      </x:c>
      <x:c r="M5" s="278" t="str">
        <x:v>Fetched at</x:v>
      </x:c>
    </x:row>
    <x:row r="6" ht="22" customHeight="1">
      <x:c r="A6" s="85" t="str">
        <x:v>income_statement</x:v>
      </x:c>
      <x:c r="B6" s="86" t="str">
        <x:v>sales</x:v>
      </x:c>
      <x:c r="C6" s="86" t="str">
        <x:v>Doanh thu bán hàng và cung cấp dịch vụ</x:v>
      </x:c>
      <x:c r="D6" s="86" t="str">
        <x:v>Sales</x:v>
      </x:c>
      <x:c r="E6" s="130" t="n">
        <x:v>3206290165333</x:v>
      </x:c>
      <x:c r="F6" s="130" t="n">
        <x:v>3898243608570</x:v>
      </x:c>
      <x:c r="G6" s="130" t="n">
        <x:v>3845826296568</x:v>
      </x:c>
      <x:c r="H6" s="130" t="n">
        <x:v>4832024798961</x:v>
      </x:c>
      <x:c r="I6" s="130" t="n">
        <x:v>5956025297015</x:v>
      </x:c>
      <x:c r="J6" s="86" t="str">
        <x:v>VND</x:v>
      </x:c>
      <x:c r="K6" s="86" t="str">
        <x:v>SRC-API01</x:v>
      </x:c>
      <x:c r="L6" s="97" t="str">
        <x:v>https://vnstocks.com/docs/vnstock/phan-tich-co-ban-fundamental</x:v>
      </x:c>
      <x:c r="M6" s="281" t="n">
        <x:v>46228.58256944444</x:v>
      </x:c>
    </x:row>
    <x:row r="7" ht="22" customHeight="1">
      <x:c r="A7" s="88" t="str">
        <x:v>income_statement</x:v>
      </x:c>
      <x:c r="B7" s="89" t="str">
        <x:v>sales_deductions</x:v>
      </x:c>
      <x:c r="C7" s="89" t="str">
        <x:v>Các khoản giảm trừ doanh thu</x:v>
      </x:c>
      <x:c r="D7" s="89" t="str">
        <x:v>Sales deductions</x:v>
      </x:c>
      <x:c r="E7" s="131" t="n">
        <x:v>0</x:v>
      </x:c>
      <x:c r="F7" s="131" t="n">
        <x:v>0</x:v>
      </x:c>
      <x:c r="G7" s="131" t="n">
        <x:v>0</x:v>
      </x:c>
      <x:c r="H7" s="131" t="n">
        <x:v>0</x:v>
      </x:c>
      <x:c r="I7" s="131" t="n">
        <x:v>0</x:v>
      </x:c>
      <x:c r="J7" s="89" t="str">
        <x:v>VND</x:v>
      </x:c>
      <x:c r="K7" s="89" t="str">
        <x:v>SRC-API01</x:v>
      </x:c>
      <x:c r="L7" s="98" t="str">
        <x:v>https://vnstocks.com/docs/vnstock/phan-tich-co-ban-fundamental</x:v>
      </x:c>
      <x:c r="M7" s="282" t="n">
        <x:v>46228.58256944444</x:v>
      </x:c>
    </x:row>
    <x:row r="8" ht="22" customHeight="1">
      <x:c r="A8" s="88" t="str">
        <x:v>income_statement</x:v>
      </x:c>
      <x:c r="B8" s="89" t="str">
        <x:v>net_sales</x:v>
      </x:c>
      <x:c r="C8" s="89" t="str">
        <x:v>Doanh thu thuần</x:v>
      </x:c>
      <x:c r="D8" s="89" t="str">
        <x:v>Net sales</x:v>
      </x:c>
      <x:c r="E8" s="131" t="n">
        <x:v>3206290165333</x:v>
      </x:c>
      <x:c r="F8" s="131" t="n">
        <x:v>3898243608570</x:v>
      </x:c>
      <x:c r="G8" s="131" t="n">
        <x:v>3845826296568</x:v>
      </x:c>
      <x:c r="H8" s="131" t="n">
        <x:v>4832024798961</x:v>
      </x:c>
      <x:c r="I8" s="131" t="n">
        <x:v>5956025297015</x:v>
      </x:c>
      <x:c r="J8" s="89" t="str">
        <x:v>VND</x:v>
      </x:c>
      <x:c r="K8" s="89" t="str">
        <x:v>SRC-API01</x:v>
      </x:c>
      <x:c r="L8" s="98" t="str">
        <x:v>https://vnstocks.com/docs/vnstock/phan-tich-co-ban-fundamental</x:v>
      </x:c>
      <x:c r="M8" s="282" t="n">
        <x:v>46228.58256944444</x:v>
      </x:c>
    </x:row>
    <x:row r="9" ht="22" customHeight="1">
      <x:c r="A9" s="88" t="str">
        <x:v>income_statement</x:v>
      </x:c>
      <x:c r="B9" s="89" t="str">
        <x:v>cost_of_sales</x:v>
      </x:c>
      <x:c r="C9" s="89" t="str">
        <x:v>Giá vốn hàng bán</x:v>
      </x:c>
      <x:c r="D9" s="89" t="str">
        <x:v>Cost of sales</x:v>
      </x:c>
      <x:c r="E9" s="131" t="n">
        <x:v>-2064489230639</x:v>
      </x:c>
      <x:c r="F9" s="131" t="n">
        <x:v>-2180183031483</x:v>
      </x:c>
      <x:c r="G9" s="131" t="n">
        <x:v>-2067811109265</x:v>
      </x:c>
      <x:c r="H9" s="131" t="n">
        <x:v>-2696544401941</x:v>
      </x:c>
      <x:c r="I9" s="131" t="n">
        <x:v>-3216552758085</x:v>
      </x:c>
      <x:c r="J9" s="89" t="str">
        <x:v>VND</x:v>
      </x:c>
      <x:c r="K9" s="89" t="str">
        <x:v>SRC-API01</x:v>
      </x:c>
      <x:c r="L9" s="98" t="str">
        <x:v>https://vnstocks.com/docs/vnstock/phan-tich-co-ban-fundamental</x:v>
      </x:c>
      <x:c r="M9" s="282" t="n">
        <x:v>46228.58256944444</x:v>
      </x:c>
    </x:row>
    <x:row r="10" ht="22" customHeight="1">
      <x:c r="A10" s="88" t="str">
        <x:v>income_statement</x:v>
      </x:c>
      <x:c r="B10" s="89" t="str">
        <x:v>gross_profit</x:v>
      </x:c>
      <x:c r="C10" s="89" t="str">
        <x:v>Lợi nhuận gộp</x:v>
      </x:c>
      <x:c r="D10" s="89" t="str">
        <x:v>Gross Profit</x:v>
      </x:c>
      <x:c r="E10" s="131" t="n">
        <x:v>1141800934694</x:v>
      </x:c>
      <x:c r="F10" s="131" t="n">
        <x:v>1718060577087</x:v>
      </x:c>
      <x:c r="G10" s="131" t="n">
        <x:v>1778015187303</x:v>
      </x:c>
      <x:c r="H10" s="131" t="n">
        <x:v>2135480397020</x:v>
      </x:c>
      <x:c r="I10" s="131" t="n">
        <x:v>2739472538930</x:v>
      </x:c>
      <x:c r="J10" s="89" t="str">
        <x:v>VND</x:v>
      </x:c>
      <x:c r="K10" s="89" t="str">
        <x:v>SRC-API01</x:v>
      </x:c>
      <x:c r="L10" s="98" t="str">
        <x:v>https://vnstocks.com/docs/vnstock/phan-tich-co-ban-fundamental</x:v>
      </x:c>
      <x:c r="M10" s="282" t="n">
        <x:v>46228.58256944444</x:v>
      </x:c>
    </x:row>
    <x:row r="11" ht="22" customHeight="1">
      <x:c r="A11" s="88" t="str">
        <x:v>income_statement</x:v>
      </x:c>
      <x:c r="B11" s="89" t="str">
        <x:v>financial_income</x:v>
      </x:c>
      <x:c r="C11" s="89" t="str">
        <x:v>Doanh thu hoạt động tài chính</x:v>
      </x:c>
      <x:c r="D11" s="89" t="str">
        <x:v>Financial income</x:v>
      </x:c>
      <x:c r="E11" s="131" t="n">
        <x:v>39669204911</x:v>
      </x:c>
      <x:c r="F11" s="131" t="n">
        <x:v>23947233662</x:v>
      </x:c>
      <x:c r="G11" s="131" t="n">
        <x:v>1940961393455</x:v>
      </x:c>
      <x:c r="H11" s="131" t="n">
        <x:v>426126464636</x:v>
      </x:c>
      <x:c r="I11" s="131" t="n">
        <x:v>228485206429</x:v>
      </x:c>
      <x:c r="J11" s="89" t="str">
        <x:v>VND</x:v>
      </x:c>
      <x:c r="K11" s="89" t="str">
        <x:v>SRC-API01</x:v>
      </x:c>
      <x:c r="L11" s="98" t="str">
        <x:v>https://vnstocks.com/docs/vnstock/phan-tich-co-ban-fundamental</x:v>
      </x:c>
      <x:c r="M11" s="282" t="n">
        <x:v>46228.58256944444</x:v>
      </x:c>
    </x:row>
    <x:row r="12" ht="22" customHeight="1">
      <x:c r="A12" s="88" t="str">
        <x:v>income_statement</x:v>
      </x:c>
      <x:c r="B12" s="89" t="str">
        <x:v>financial_expenses</x:v>
      </x:c>
      <x:c r="C12" s="89" t="str">
        <x:v>Chi phí tài chính</x:v>
      </x:c>
      <x:c r="D12" s="89" t="str">
        <x:v>Financial expenses</x:v>
      </x:c>
      <x:c r="E12" s="131" t="n">
        <x:v>-107985849517</x:v>
      </x:c>
      <x:c r="F12" s="131" t="n">
        <x:v>-165690839670</x:v>
      </x:c>
      <x:c r="G12" s="131" t="n">
        <x:v>-154695013336</x:v>
      </x:c>
      <x:c r="H12" s="131" t="n">
        <x:v>-150292456722</x:v>
      </x:c>
      <x:c r="I12" s="131" t="n">
        <x:v>-118711817693</x:v>
      </x:c>
      <x:c r="J12" s="89" t="str">
        <x:v>VND</x:v>
      </x:c>
      <x:c r="K12" s="89" t="str">
        <x:v>SRC-API01</x:v>
      </x:c>
      <x:c r="L12" s="98" t="str">
        <x:v>https://vnstocks.com/docs/vnstock/phan-tich-co-ban-fundamental</x:v>
      </x:c>
      <x:c r="M12" s="282" t="n">
        <x:v>46228.58256944444</x:v>
      </x:c>
    </x:row>
    <x:row r="13" ht="22" customHeight="1">
      <x:c r="A13" s="88" t="str">
        <x:v>income_statement</x:v>
      </x:c>
      <x:c r="B13" s="89" t="str">
        <x:v>interest_expenses</x:v>
      </x:c>
      <x:c r="C13" s="89" t="str">
        <x:v>Chi phí lãi vay</x:v>
      </x:c>
      <x:c r="D13" s="89" t="str">
        <x:v>Interest expenses</x:v>
      </x:c>
      <x:c r="E13" s="131" t="n">
        <x:v>-119252955378</x:v>
      </x:c>
      <x:c r="F13" s="131" t="n">
        <x:v>-130756997659</x:v>
      </x:c>
      <x:c r="G13" s="131" t="n">
        <x:v>-134993138662</x:v>
      </x:c>
      <x:c r="H13" s="131" t="n">
        <x:v>-139487501839</x:v>
      </x:c>
      <x:c r="I13" s="131" t="n">
        <x:v>-112580748513</x:v>
      </x:c>
      <x:c r="J13" s="89" t="str">
        <x:v>VND</x:v>
      </x:c>
      <x:c r="K13" s="89" t="str">
        <x:v>SRC-API01</x:v>
      </x:c>
      <x:c r="L13" s="98" t="str">
        <x:v>https://vnstocks.com/docs/vnstock/phan-tich-co-ban-fundamental</x:v>
      </x:c>
      <x:c r="M13" s="282" t="n">
        <x:v>46228.58256944444</x:v>
      </x:c>
    </x:row>
    <x:row r="14" ht="22" customHeight="1">
      <x:c r="A14" s="88" t="str">
        <x:v>income_statement</x:v>
      </x:c>
      <x:c r="B14" s="89" t="str">
        <x:v>selling_expenses</x:v>
      </x:c>
      <x:c r="C14" s="89" t="str">
        <x:v>Chi phí bán hàng</x:v>
      </x:c>
      <x:c r="D14" s="89" t="str">
        <x:v>Selling expenses</x:v>
      </x:c>
      <x:c r="E14" s="131" t="n">
        <x:v>-154146091638</x:v>
      </x:c>
      <x:c r="F14" s="131" t="n">
        <x:v>-142172449496</x:v>
      </x:c>
      <x:c r="G14" s="131" t="n">
        <x:v>-109543154417</x:v>
      </x:c>
      <x:c r="H14" s="131" t="n">
        <x:v>-247200313981</x:v>
      </x:c>
      <x:c r="I14" s="131" t="n">
        <x:v>-481965603944</x:v>
      </x:c>
      <x:c r="J14" s="89" t="str">
        <x:v>VND</x:v>
      </x:c>
      <x:c r="K14" s="89" t="str">
        <x:v>SRC-API01</x:v>
      </x:c>
      <x:c r="L14" s="98" t="str">
        <x:v>https://vnstocks.com/docs/vnstock/phan-tich-co-ban-fundamental</x:v>
      </x:c>
      <x:c r="M14" s="282" t="n">
        <x:v>46228.58256944444</x:v>
      </x:c>
    </x:row>
    <x:row r="15" ht="22" customHeight="1">
      <x:c r="A15" s="88" t="str">
        <x:v>income_statement</x:v>
      </x:c>
      <x:c r="B15" s="89" t="str">
        <x:v>general_and_admin_expenses</x:v>
      </x:c>
      <x:c r="C15" s="89" t="str">
        <x:v>Chi phí quản lý doanh nghiệp</x:v>
      </x:c>
      <x:c r="D15" s="89" t="str">
        <x:v>General and admin expenses</x:v>
      </x:c>
      <x:c r="E15" s="131" t="n">
        <x:v>-294784653891</x:v>
      </x:c>
      <x:c r="F15" s="131" t="n">
        <x:v>-524441250459</x:v>
      </x:c>
      <x:c r="G15" s="131" t="n">
        <x:v>-551943343263</x:v>
      </x:c>
      <x:c r="H15" s="131" t="n">
        <x:v>-574838485710</x:v>
      </x:c>
      <x:c r="I15" s="131" t="n">
        <x:v>-610544456639</x:v>
      </x:c>
      <x:c r="J15" s="89" t="str">
        <x:v>VND</x:v>
      </x:c>
      <x:c r="K15" s="89" t="str">
        <x:v>SRC-API01</x:v>
      </x:c>
      <x:c r="L15" s="98" t="str">
        <x:v>https://vnstocks.com/docs/vnstock/phan-tich-co-ban-fundamental</x:v>
      </x:c>
      <x:c r="M15" s="282" t="n">
        <x:v>46228.58256944444</x:v>
      </x:c>
    </x:row>
    <x:row r="16" ht="22" customHeight="1">
      <x:c r="A16" s="88" t="str">
        <x:v>income_statement</x:v>
      </x:c>
      <x:c r="B16" s="89" t="str">
        <x:v>operating_profit_loss</x:v>
      </x:c>
      <x:c r="C16" s="89" t="str">
        <x:v>Lãi/(lỗ) từ hoạt động kinh doanh</x:v>
      </x:c>
      <x:c r="D16" s="89" t="str">
        <x:v>Operating profit/(loss)</x:v>
      </x:c>
      <x:c r="E16" s="131" t="n">
        <x:v>861467218736</x:v>
      </x:c>
      <x:c r="F16" s="131" t="n">
        <x:v>1308851596298</x:v>
      </x:c>
      <x:c r="G16" s="131" t="n">
        <x:v>3177029885915</x:v>
      </x:c>
      <x:c r="H16" s="131" t="n">
        <x:v>2418584028235</x:v>
      </x:c>
      <x:c r="I16" s="131" t="n">
        <x:v>2914395245030</x:v>
      </x:c>
      <x:c r="J16" s="89" t="str">
        <x:v>VND</x:v>
      </x:c>
      <x:c r="K16" s="89" t="str">
        <x:v>SRC-API01</x:v>
      </x:c>
      <x:c r="L16" s="98" t="str">
        <x:v>https://vnstocks.com/docs/vnstock/phan-tich-co-ban-fundamental</x:v>
      </x:c>
      <x:c r="M16" s="282" t="n">
        <x:v>46228.58256944444</x:v>
      </x:c>
    </x:row>
    <x:row r="17" ht="22" customHeight="1">
      <x:c r="A17" s="88" t="str">
        <x:v>income_statement</x:v>
      </x:c>
      <x:c r="B17" s="89" t="str">
        <x:v>other_incomes</x:v>
      </x:c>
      <x:c r="C17" s="89" t="str">
        <x:v>Thu nhập khác</x:v>
      </x:c>
      <x:c r="D17" s="89" t="str">
        <x:v>Other incomes</x:v>
      </x:c>
      <x:c r="E17" s="131" t="n">
        <x:v>50081321224</x:v>
      </x:c>
      <x:c r="F17" s="131" t="n">
        <x:v>30265470135</x:v>
      </x:c>
      <x:c r="G17" s="131" t="n">
        <x:v>54937761605</x:v>
      </x:c>
      <x:c r="H17" s="131" t="n">
        <x:v>262198327915</x:v>
      </x:c>
      <x:c r="I17" s="131" t="n">
        <x:v>44918432856</x:v>
      </x:c>
      <x:c r="J17" s="89" t="str">
        <x:v>VND</x:v>
      </x:c>
      <x:c r="K17" s="89" t="str">
        <x:v>SRC-API01</x:v>
      </x:c>
      <x:c r="L17" s="98" t="str">
        <x:v>https://vnstocks.com/docs/vnstock/phan-tich-co-ban-fundamental</x:v>
      </x:c>
      <x:c r="M17" s="282" t="n">
        <x:v>46228.58256944444</x:v>
      </x:c>
    </x:row>
    <x:row r="18" ht="22" customHeight="1">
      <x:c r="A18" s="88" t="str">
        <x:v>income_statement</x:v>
      </x:c>
      <x:c r="B18" s="89" t="str">
        <x:v>other_expenses</x:v>
      </x:c>
      <x:c r="C18" s="89" t="str">
        <x:v>Chi phí khác</x:v>
      </x:c>
      <x:c r="D18" s="89" t="str">
        <x:v>Other expenses</x:v>
      </x:c>
      <x:c r="E18" s="131" t="n">
        <x:v>-105336384944</x:v>
      </x:c>
      <x:c r="F18" s="131" t="n">
        <x:v>-30639116628</x:v>
      </x:c>
      <x:c r="G18" s="131" t="n">
        <x:v>-84480434577</x:v>
      </x:c>
      <x:c r="H18" s="131" t="n">
        <x:v>-582192046534</x:v>
      </x:c>
      <x:c r="I18" s="131" t="n">
        <x:v>-438486531296</x:v>
      </x:c>
      <x:c r="J18" s="89" t="str">
        <x:v>VND</x:v>
      </x:c>
      <x:c r="K18" s="89" t="str">
        <x:v>SRC-API01</x:v>
      </x:c>
      <x:c r="L18" s="98" t="str">
        <x:v>https://vnstocks.com/docs/vnstock/phan-tich-co-ban-fundamental</x:v>
      </x:c>
      <x:c r="M18" s="282" t="n">
        <x:v>46228.58256944444</x:v>
      </x:c>
    </x:row>
    <x:row r="19" ht="22" customHeight="1">
      <x:c r="A19" s="88" t="str">
        <x:v>income_statement</x:v>
      </x:c>
      <x:c r="B19" s="89" t="str">
        <x:v>net_other_income_expenses</x:v>
      </x:c>
      <x:c r="C19" s="89" t="str">
        <x:v>Thu nhập khác, ròng</x:v>
      </x:c>
      <x:c r="D19" s="89" t="str">
        <x:v>Net other income/(expenses)</x:v>
      </x:c>
      <x:c r="E19" s="131" t="n">
        <x:v>-55255063720</x:v>
      </x:c>
      <x:c r="F19" s="131" t="n">
        <x:v>-373646493</x:v>
      </x:c>
      <x:c r="G19" s="131" t="n">
        <x:v>-29542672972</x:v>
      </x:c>
      <x:c r="H19" s="131" t="n">
        <x:v>-319993718619</x:v>
      </x:c>
      <x:c r="I19" s="131" t="n">
        <x:v>-393568098440</x:v>
      </x:c>
      <x:c r="J19" s="89" t="str">
        <x:v>VND</x:v>
      </x:c>
      <x:c r="K19" s="89" t="str">
        <x:v>SRC-API01</x:v>
      </x:c>
      <x:c r="L19" s="98" t="str">
        <x:v>https://vnstocks.com/docs/vnstock/phan-tich-co-ban-fundamental</x:v>
      </x:c>
      <x:c r="M19" s="282" t="n">
        <x:v>46228.58256944444</x:v>
      </x:c>
    </x:row>
    <x:row r="20" ht="22" customHeight="1">
      <x:c r="A20" s="88" t="str">
        <x:v>income_statement</x:v>
      </x:c>
      <x:c r="B20" s="89" t="str">
        <x:v>income_from_investments_in_other_entities</x:v>
      </x:c>
      <x:c r="C20" s="89" t="str">
        <x:v>Lãi/(lỗ) từ công ty liên doanh</x:v>
      </x:c>
      <x:c r="D20" s="89" t="str">
        <x:v>Income from investments in other entities</x:v>
      </x:c>
      <x:c r="E20" s="131" t="n">
        <x:v>0</x:v>
      </x:c>
      <x:c r="F20" s="131" t="n">
        <x:v>0</x:v>
      </x:c>
      <x:c r="G20" s="131" t="n">
        <x:v>0</x:v>
      </x:c>
      <x:c r="H20" s="131" t="n">
        <x:v>0</x:v>
      </x:c>
      <x:c r="I20" s="131" t="n">
        <x:v>0</x:v>
      </x:c>
      <x:c r="J20" s="89" t="str">
        <x:v>VND</x:v>
      </x:c>
      <x:c r="K20" s="89" t="str">
        <x:v>SRC-API01</x:v>
      </x:c>
      <x:c r="L20" s="98" t="str">
        <x:v>https://vnstocks.com/docs/vnstock/phan-tich-co-ban-fundamental</x:v>
      </x:c>
      <x:c r="M20" s="282" t="n">
        <x:v>46228.58256944444</x:v>
      </x:c>
    </x:row>
    <x:row r="21" ht="22" customHeight="1">
      <x:c r="A21" s="88" t="str">
        <x:v>income_statement</x:v>
      </x:c>
      <x:c r="B21" s="89" t="str">
        <x:v>net_accounting_profit_loss_before_tax</x:v>
      </x:c>
      <x:c r="C21" s="89" t="str">
        <x:v>Lãi/(lỗ) trước thuế</x:v>
      </x:c>
      <x:c r="D21" s="89" t="str">
        <x:v>Net accounting profit/(loss) before tax</x:v>
      </x:c>
      <x:c r="E21" s="131" t="n">
        <x:v>806212155016</x:v>
      </x:c>
      <x:c r="F21" s="131" t="n">
        <x:v>1308477949805</x:v>
      </x:c>
      <x:c r="G21" s="131" t="n">
        <x:v>3147487212943</x:v>
      </x:c>
      <x:c r="H21" s="131" t="n">
        <x:v>2098590309616</x:v>
      </x:c>
      <x:c r="I21" s="131" t="n">
        <x:v>2520827146590</x:v>
      </x:c>
      <x:c r="J21" s="89" t="str">
        <x:v>VND</x:v>
      </x:c>
      <x:c r="K21" s="89" t="str">
        <x:v>SRC-API01</x:v>
      </x:c>
      <x:c r="L21" s="98" t="str">
        <x:v>https://vnstocks.com/docs/vnstock/phan-tich-co-ban-fundamental</x:v>
      </x:c>
      <x:c r="M21" s="282" t="n">
        <x:v>46228.58256944444</x:v>
      </x:c>
    </x:row>
    <x:row r="22" ht="22" customHeight="1">
      <x:c r="A22" s="88" t="str">
        <x:v>income_statement</x:v>
      </x:c>
      <x:c r="B22" s="89" t="str">
        <x:v>business_income_tax_current</x:v>
      </x:c>
      <x:c r="C22" s="89" t="str">
        <x:v>Thuế thu nhập doanh nghiệp - hiện thời</x:v>
      </x:c>
      <x:c r="D22" s="89" t="str">
        <x:v>Business income tax - current</x:v>
      </x:c>
      <x:c r="E22" s="131" t="n">
        <x:v>-107478849502</x:v>
      </x:c>
      <x:c r="F22" s="131" t="n">
        <x:v>-165958294398</x:v>
      </x:c>
      <x:c r="G22" s="131" t="n">
        <x:v>-651638842548</x:v>
      </x:c>
      <x:c r="H22" s="131" t="n">
        <x:v>-236733263089</x:v>
      </x:c>
      <x:c r="I22" s="131" t="n">
        <x:v>-329165841663</x:v>
      </x:c>
      <x:c r="J22" s="89" t="str">
        <x:v>VND</x:v>
      </x:c>
      <x:c r="K22" s="89" t="str">
        <x:v>SRC-API01</x:v>
      </x:c>
      <x:c r="L22" s="98" t="str">
        <x:v>https://vnstocks.com/docs/vnstock/phan-tich-co-ban-fundamental</x:v>
      </x:c>
      <x:c r="M22" s="282" t="n">
        <x:v>46228.58256944444</x:v>
      </x:c>
    </x:row>
    <x:row r="23" ht="22" customHeight="1">
      <x:c r="A23" s="88" t="str">
        <x:v>income_statement</x:v>
      </x:c>
      <x:c r="B23" s="89" t="str">
        <x:v>business_income_tax_deferred</x:v>
      </x:c>
      <x:c r="C23" s="89" t="str">
        <x:v>Thuế thu nhập doanh nghiệp - hoãn lại</x:v>
      </x:c>
      <x:c r="D23" s="89" t="str">
        <x:v>Business income tax - deferred</x:v>
      </x:c>
      <x:c r="E23" s="131" t="n">
        <x:v>21828510661</x:v>
      </x:c>
      <x:c r="F23" s="131" t="n">
        <x:v>18774141617</x:v>
      </x:c>
      <x:c r="G23" s="131" t="n">
        <x:v>38085876028</x:v>
      </x:c>
      <x:c r="H23" s="131" t="n">
        <x:v>61726436884</x:v>
      </x:c>
      <x:c r="I23" s="131" t="n">
        <x:v>110861876425</x:v>
      </x:c>
      <x:c r="J23" s="89" t="str">
        <x:v>VND</x:v>
      </x:c>
      <x:c r="K23" s="89" t="str">
        <x:v>SRC-API01</x:v>
      </x:c>
      <x:c r="L23" s="98" t="str">
        <x:v>https://vnstocks.com/docs/vnstock/phan-tich-co-ban-fundamental</x:v>
      </x:c>
      <x:c r="M23" s="282" t="n">
        <x:v>46228.58256944444</x:v>
      </x:c>
    </x:row>
    <x:row r="24" ht="22" customHeight="1">
      <x:c r="A24" s="88" t="str">
        <x:v>income_statement</x:v>
      </x:c>
      <x:c r="B24" s="89" t="str">
        <x:v>corporate_income_tax_expenses</x:v>
      </x:c>
      <x:c r="C24" s="89" t="str">
        <x:v>Chi phí thuế thu nhập doanh nghiệp</x:v>
      </x:c>
      <x:c r="D24" s="89" t="str">
        <x:v>Corporate income tax expenses</x:v>
      </x:c>
      <x:c r="E24" s="131" t="n">
        <x:v>-85650338841</x:v>
      </x:c>
      <x:c r="F24" s="131" t="n">
        <x:v>-147184152781</x:v>
      </x:c>
      <x:c r="G24" s="131" t="n">
        <x:v>-613552966520</x:v>
      </x:c>
      <x:c r="H24" s="131" t="n">
        <x:v>-175006826205</x:v>
      </x:c>
      <x:c r="I24" s="131" t="n">
        <x:v>-218303965238</x:v>
      </x:c>
      <x:c r="J24" s="89" t="str">
        <x:v>VND</x:v>
      </x:c>
      <x:c r="K24" s="89" t="str">
        <x:v>SRC-API01</x:v>
      </x:c>
      <x:c r="L24" s="98" t="str">
        <x:v>https://vnstocks.com/docs/vnstock/phan-tich-co-ban-fundamental</x:v>
      </x:c>
      <x:c r="M24" s="282" t="n">
        <x:v>46228.58256944444</x:v>
      </x:c>
    </x:row>
    <x:row r="25" ht="22" customHeight="1">
      <x:c r="A25" s="88" t="str">
        <x:v>income_statement</x:v>
      </x:c>
      <x:c r="B25" s="89" t="str">
        <x:v>net_profit_loss_after_tax</x:v>
      </x:c>
      <x:c r="C25" s="89" t="str">
        <x:v>Lãi/(lỗ) thuần sau thuế</x:v>
      </x:c>
      <x:c r="D25" s="89" t="str">
        <x:v>Net profit/(loss) after tax</x:v>
      </x:c>
      <x:c r="E25" s="131" t="n">
        <x:v>720561816175</x:v>
      </x:c>
      <x:c r="F25" s="131" t="n">
        <x:v>1161293797024</x:v>
      </x:c>
      <x:c r="G25" s="131" t="n">
        <x:v>2533934246423</x:v>
      </x:c>
      <x:c r="H25" s="131" t="n">
        <x:v>1923583483411</x:v>
      </x:c>
      <x:c r="I25" s="131" t="n">
        <x:v>2302523181352</x:v>
      </x:c>
      <x:c r="J25" s="89" t="str">
        <x:v>VND</x:v>
      </x:c>
      <x:c r="K25" s="89" t="str">
        <x:v>SRC-API01</x:v>
      </x:c>
      <x:c r="L25" s="98" t="str">
        <x:v>https://vnstocks.com/docs/vnstock/phan-tich-co-ban-fundamental</x:v>
      </x:c>
      <x:c r="M25" s="282" t="n">
        <x:v>46228.58256944444</x:v>
      </x:c>
    </x:row>
    <x:row r="26" ht="22" customHeight="1">
      <x:c r="A26" s="88" t="str">
        <x:v>income_statement</x:v>
      </x:c>
      <x:c r="B26" s="89" t="str">
        <x:v>minority_interests</x:v>
      </x:c>
      <x:c r="C26" s="89" t="str">
        <x:v>Lợi ích của cổ đông thiểu số</x:v>
      </x:c>
      <x:c r="D26" s="89" t="str">
        <x:v>Minority interests</x:v>
      </x:c>
      <x:c r="E26" s="131" t="n">
        <x:v>108379742778</x:v>
      </x:c>
      <x:c r="F26" s="131" t="n">
        <x:v>167378232291</x:v>
      </x:c>
      <x:c r="G26" s="131" t="n">
        <x:v>283356906503</x:v>
      </x:c>
      <x:c r="H26" s="131" t="n">
        <x:v>468103887809</x:v>
      </x:c>
      <x:c r="I26" s="131" t="n">
        <x:v>546893356056</x:v>
      </x:c>
      <x:c r="J26" s="89" t="str">
        <x:v>VND</x:v>
      </x:c>
      <x:c r="K26" s="89" t="str">
        <x:v>SRC-API01</x:v>
      </x:c>
      <x:c r="L26" s="98" t="str">
        <x:v>https://vnstocks.com/docs/vnstock/phan-tich-co-ban-fundamental</x:v>
      </x:c>
      <x:c r="M26" s="282" t="n">
        <x:v>46228.58256944444</x:v>
      </x:c>
    </x:row>
    <x:row r="27" ht="22" customHeight="1">
      <x:c r="A27" s="88" t="str">
        <x:v>income_statement</x:v>
      </x:c>
      <x:c r="B27" s="89" t="str">
        <x:v>attributable_to_parent_company</x:v>
      </x:c>
      <x:c r="C27" s="89" t="str">
        <x:v>Lợi nhuận của Cổ đông của Công ty mẹ</x:v>
      </x:c>
      <x:c r="D27" s="89" t="str">
        <x:v>Attributable to parent company</x:v>
      </x:c>
      <x:c r="E27" s="131" t="n">
        <x:v>612182073397</x:v>
      </x:c>
      <x:c r="F27" s="131" t="n">
        <x:v>993915564733</x:v>
      </x:c>
      <x:c r="G27" s="131" t="n">
        <x:v>2250577339920</x:v>
      </x:c>
      <x:c r="H27" s="131" t="n">
        <x:v>1455479595602</x:v>
      </x:c>
      <x:c r="I27" s="131" t="n">
        <x:v>1755629825296</x:v>
      </x:c>
      <x:c r="J27" s="89" t="str">
        <x:v>VND</x:v>
      </x:c>
      <x:c r="K27" s="89" t="str">
        <x:v>SRC-API01</x:v>
      </x:c>
      <x:c r="L27" s="98" t="str">
        <x:v>https://vnstocks.com/docs/vnstock/phan-tich-co-ban-fundamental</x:v>
      </x:c>
      <x:c r="M27" s="282" t="n">
        <x:v>46228.58256944444</x:v>
      </x:c>
    </x:row>
    <x:row r="28" ht="22" customHeight="1">
      <x:c r="A28" s="88" t="str">
        <x:v>income_statement</x:v>
      </x:c>
      <x:c r="B28" s="89" t="str">
        <x:v>eps_basic_vnd</x:v>
      </x:c>
      <x:c r="C28" s="89" t="str">
        <x:v>Lãi cơ bản trên cổ phiếu (VND)</x:v>
      </x:c>
      <x:c r="D28" s="89" t="str">
        <x:v>EPS basic (VND)</x:v>
      </x:c>
      <x:c r="E28" s="131" t="n">
        <x:v>1869</x:v>
      </x:c>
      <x:c r="F28" s="131" t="n">
        <x:v>3034</x:v>
      </x:c>
      <x:c r="G28" s="131" t="n">
        <x:v>7207</x:v>
      </x:c>
      <x:c r="H28" s="131" t="n">
        <x:v>4276</x:v>
      </x:c>
      <x:c r="I28" s="131" t="n">
        <x:v>3839</x:v>
      </x:c>
      <x:c r="J28" s="89" t="str">
        <x:v>VND</x:v>
      </x:c>
      <x:c r="K28" s="89" t="str">
        <x:v>SRC-API01</x:v>
      </x:c>
      <x:c r="L28" s="98" t="str">
        <x:v>https://vnstocks.com/docs/vnstock/phan-tich-co-ban-fundamental</x:v>
      </x:c>
      <x:c r="M28" s="282" t="n">
        <x:v>46228.58256944444</x:v>
      </x:c>
    </x:row>
    <x:row r="29" ht="22" customHeight="1">
      <x:c r="A29" s="88" t="str">
        <x:v>income_statement</x:v>
      </x:c>
      <x:c r="B29" s="89" t="str">
        <x:v>eps_diluted_vnd</x:v>
      </x:c>
      <x:c r="C29" s="89" t="str">
        <x:v>Lãi trên cổ phiếu pha loãng (VND)</x:v>
      </x:c>
      <x:c r="D29" s="89" t="str">
        <x:v>EPS diluted (VND)</x:v>
      </x:c>
      <x:c r="E29" s="131" t="n">
        <x:v>1869</x:v>
      </x:c>
      <x:c r="F29" s="131" t="n">
        <x:v>3034</x:v>
      </x:c>
      <x:c r="G29" s="131" t="n">
        <x:v>7207</x:v>
      </x:c>
      <x:c r="H29" s="131" t="n">
        <x:v>4276</x:v>
      </x:c>
      <x:c r="I29" s="131" t="n">
        <x:v>3839</x:v>
      </x:c>
      <x:c r="J29" s="89" t="str">
        <x:v>VND</x:v>
      </x:c>
      <x:c r="K29" s="89" t="str">
        <x:v>SRC-API01</x:v>
      </x:c>
      <x:c r="L29" s="98" t="str">
        <x:v>https://vnstocks.com/docs/vnstock/phan-tich-co-ban-fundamental</x:v>
      </x:c>
      <x:c r="M29" s="282" t="n">
        <x:v>46228.58256944444</x:v>
      </x:c>
    </x:row>
    <x:row r="30" ht="22" customHeight="1">
      <x:c r="A30" s="88" t="str">
        <x:v>income_statement</x:v>
      </x:c>
      <x:c r="B30" s="89" t="str">
        <x:v>gain_loss_from_joint_ventures_from_2015</x:v>
      </x:c>
      <x:c r="C30" s="89" t="str">
        <x:v>Lãi/(lỗ) từ công ty liên doanh (từ năm 2015)</x:v>
      </x:c>
      <x:c r="D30" s="89" t="str">
        <x:v>Gain/(loss) from joint ventures (from 2015)</x:v>
      </x:c>
      <x:c r="E30" s="131" t="n">
        <x:v>236913674177</x:v>
      </x:c>
      <x:c r="F30" s="131" t="n">
        <x:v>399148325174</x:v>
      </x:c>
      <x:c r="G30" s="131" t="n">
        <x:v>274234816173</x:v>
      </x:c>
      <x:c r="H30" s="131" t="n">
        <x:v>829308422992</x:v>
      </x:c>
      <x:c r="I30" s="131" t="n">
        <x:v>1157659377947</x:v>
      </x:c>
      <x:c r="J30" s="89" t="str">
        <x:v>VND</x:v>
      </x:c>
      <x:c r="K30" s="89" t="str">
        <x:v>SRC-API01</x:v>
      </x:c>
      <x:c r="L30" s="98" t="str">
        <x:v>https://vnstocks.com/docs/vnstock/phan-tich-co-ban-fundamental</x:v>
      </x:c>
      <x:c r="M30" s="282" t="n">
        <x:v>46228.58256944444</x:v>
      </x:c>
    </x:row>
    <x:row r="31" ht="22" customHeight="1">
      <x:c r="A31" s="88" t="str">
        <x:v>balance_sheet</x:v>
      </x:c>
      <x:c r="B31" s="89" t="str">
        <x:v>current_assets</x:v>
      </x:c>
      <x:c r="C31" s="89" t="str">
        <x:v>TÀI SẢN NGẮN HẠN</x:v>
      </x:c>
      <x:c r="D31" s="89" t="str">
        <x:v>CURRENT ASSETS</x:v>
      </x:c>
      <x:c r="E31" s="131" t="n">
        <x:v>1689479334239</x:v>
      </x:c>
      <x:c r="F31" s="131" t="n">
        <x:v>2618727023263</x:v>
      </x:c>
      <x:c r="G31" s="131" t="n">
        <x:v>3380201263412</x:v>
      </x:c>
      <x:c r="H31" s="131" t="n">
        <x:v>6673567765409</x:v>
      </x:c>
      <x:c r="I31" s="131" t="n">
        <x:v>6206216188548</x:v>
      </x:c>
      <x:c r="J31" s="89" t="str">
        <x:v>VND</x:v>
      </x:c>
      <x:c r="K31" s="89" t="str">
        <x:v>SRC-API01</x:v>
      </x:c>
      <x:c r="L31" s="98" t="str">
        <x:v>https://vnstocks.com/docs/vnstock/phan-tich-co-ban-fundamental</x:v>
      </x:c>
      <x:c r="M31" s="282" t="n">
        <x:v>46228.58256944444</x:v>
      </x:c>
    </x:row>
    <x:row r="32" ht="22" customHeight="1">
      <x:c r="A32" s="88" t="str">
        <x:v>balance_sheet</x:v>
      </x:c>
      <x:c r="B32" s="89" t="str">
        <x:v>cash_and_cash_equivalents</x:v>
      </x:c>
      <x:c r="C32" s="89" t="str">
        <x:v>Tiền và tương đương tiền</x:v>
      </x:c>
      <x:c r="D32" s="89" t="str">
        <x:v>Cash and cash equivalents</x:v>
      </x:c>
      <x:c r="E32" s="131" t="n">
        <x:v>637348731809</x:v>
      </x:c>
      <x:c r="F32" s="131" t="n">
        <x:v>1364349572162</x:v>
      </x:c>
      <x:c r="G32" s="131" t="n">
        <x:v>1471676297950</x:v>
      </x:c>
      <x:c r="H32" s="131" t="n">
        <x:v>3964316764607</x:v>
      </x:c>
      <x:c r="I32" s="131" t="n">
        <x:v>1622294838770</x:v>
      </x:c>
      <x:c r="J32" s="89" t="str">
        <x:v>VND</x:v>
      </x:c>
      <x:c r="K32" s="89" t="str">
        <x:v>SRC-API01</x:v>
      </x:c>
      <x:c r="L32" s="98" t="str">
        <x:v>https://vnstocks.com/docs/vnstock/phan-tich-co-ban-fundamental</x:v>
      </x:c>
      <x:c r="M32" s="282" t="n">
        <x:v>46228.58256944444</x:v>
      </x:c>
    </x:row>
    <x:row r="33" ht="22" customHeight="1">
      <x:c r="A33" s="88" t="str">
        <x:v>balance_sheet</x:v>
      </x:c>
      <x:c r="B33" s="89" t="str">
        <x:v>cash</x:v>
      </x:c>
      <x:c r="C33" s="89" t="str">
        <x:v>Tiền</x:v>
      </x:c>
      <x:c r="D33" s="89" t="str">
        <x:v>Cash</x:v>
      </x:c>
      <x:c r="E33" s="131" t="n">
        <x:v>430773871957</x:v>
      </x:c>
      <x:c r="F33" s="131" t="n">
        <x:v>733408572162</x:v>
      </x:c>
      <x:c r="G33" s="131" t="n">
        <x:v>762008256853</x:v>
      </x:c>
      <x:c r="H33" s="131" t="n">
        <x:v>3198224475079</x:v>
      </x:c>
      <x:c r="I33" s="131" t="n">
        <x:v>390617985338</x:v>
      </x:c>
      <x:c r="J33" s="89" t="str">
        <x:v>VND</x:v>
      </x:c>
      <x:c r="K33" s="89" t="str">
        <x:v>SRC-API01</x:v>
      </x:c>
      <x:c r="L33" s="98" t="str">
        <x:v>https://vnstocks.com/docs/vnstock/phan-tich-co-ban-fundamental</x:v>
      </x:c>
      <x:c r="M33" s="282" t="n">
        <x:v>46228.58256944444</x:v>
      </x:c>
    </x:row>
    <x:row r="34" ht="22" customHeight="1">
      <x:c r="A34" s="88" t="str">
        <x:v>balance_sheet</x:v>
      </x:c>
      <x:c r="B34" s="89" t="str">
        <x:v>cash_equivalents</x:v>
      </x:c>
      <x:c r="C34" s="89" t="str">
        <x:v>Các khoản tương đương tiền</x:v>
      </x:c>
      <x:c r="D34" s="89" t="str">
        <x:v>Cash equivalents</x:v>
      </x:c>
      <x:c r="E34" s="131" t="n">
        <x:v>206574859852</x:v>
      </x:c>
      <x:c r="F34" s="131" t="n">
        <x:v>630941000000</x:v>
      </x:c>
      <x:c r="G34" s="131" t="n">
        <x:v>709668041097</x:v>
      </x:c>
      <x:c r="H34" s="131" t="n">
        <x:v>766092289528</x:v>
      </x:c>
      <x:c r="I34" s="131" t="n">
        <x:v>1231676853432</x:v>
      </x:c>
      <x:c r="J34" s="89" t="str">
        <x:v>VND</x:v>
      </x:c>
      <x:c r="K34" s="89" t="str">
        <x:v>SRC-API01</x:v>
      </x:c>
      <x:c r="L34" s="98" t="str">
        <x:v>https://vnstocks.com/docs/vnstock/phan-tich-co-ban-fundamental</x:v>
      </x:c>
      <x:c r="M34" s="282" t="n">
        <x:v>46228.58256944444</x:v>
      </x:c>
    </x:row>
    <x:row r="35" ht="22" customHeight="1">
      <x:c r="A35" s="88" t="str">
        <x:v>balance_sheet</x:v>
      </x:c>
      <x:c r="B35" s="89" t="str">
        <x:v>short_term_investments</x:v>
      </x:c>
      <x:c r="C35" s="89" t="str">
        <x:v>Đầu tư ngắn hạn</x:v>
      </x:c>
      <x:c r="D35" s="89" t="str">
        <x:v>Short-term investments</x:v>
      </x:c>
      <x:c r="E35" s="131" t="n">
        <x:v>51831843090</x:v>
      </x:c>
      <x:c r="F35" s="131" t="n">
        <x:v>82230394409</x:v>
      </x:c>
      <x:c r="G35" s="131" t="n">
        <x:v>358867040371</x:v>
      </x:c>
      <x:c r="H35" s="131" t="n">
        <x:v>1021206010000</x:v>
      </x:c>
      <x:c r="I35" s="131" t="n">
        <x:v>2738596210765</x:v>
      </x:c>
      <x:c r="J35" s="89" t="str">
        <x:v>VND</x:v>
      </x:c>
      <x:c r="K35" s="89" t="str">
        <x:v>SRC-API01</x:v>
      </x:c>
      <x:c r="L35" s="98" t="str">
        <x:v>https://vnstocks.com/docs/vnstock/phan-tich-co-ban-fundamental</x:v>
      </x:c>
      <x:c r="M35" s="282" t="n">
        <x:v>46228.58256944444</x:v>
      </x:c>
    </x:row>
    <x:row r="36" ht="22" customHeight="1">
      <x:c r="A36" s="88" t="str">
        <x:v>balance_sheet</x:v>
      </x:c>
      <x:c r="B36" s="89" t="str">
        <x:v>short_term_investments</x:v>
      </x:c>
      <x:c r="C36" s="89" t="str">
        <x:v>Đầu tư ngắn hạn</x:v>
      </x:c>
      <x:c r="D36" s="89" t="str">
        <x:v>Short-term investments</x:v>
      </x:c>
      <x:c r="E36" s="131" t="n">
        <x:v>45723235680</x:v>
      </x:c>
      <x:c r="F36" s="131" t="n">
        <x:v>45723235680</x:v>
      </x:c>
      <x:c r="G36" s="131" t="n">
        <x:v>45723235680</x:v>
      </x:c>
      <x:c r="H36" s="131" t="n">
        <x:v>34301944940</x:v>
      </x:c>
      <x:c r="I36" s="131" t="n">
        <x:v>0</x:v>
      </x:c>
      <x:c r="J36" s="89" t="str">
        <x:v>VND</x:v>
      </x:c>
      <x:c r="K36" s="89" t="str">
        <x:v>SRC-API01</x:v>
      </x:c>
      <x:c r="L36" s="98" t="str">
        <x:v>https://vnstocks.com/docs/vnstock/phan-tich-co-ban-fundamental</x:v>
      </x:c>
      <x:c r="M36" s="282" t="n">
        <x:v>46228.58256944444</x:v>
      </x:c>
    </x:row>
    <x:row r="37" ht="22" customHeight="1">
      <x:c r="A37" s="88" t="str">
        <x:v>balance_sheet</x:v>
      </x:c>
      <x:c r="B37" s="89" t="str">
        <x:v>provision_for_diminution</x:v>
      </x:c>
      <x:c r="C37" s="89" t="str">
        <x:v>Dự phòng giảm giá</x:v>
      </x:c>
      <x:c r="D37" s="89" t="str">
        <x:v>Provision for diminution</x:v>
      </x:c>
      <x:c r="E37" s="131" t="n">
        <x:v>-15881750652</x:v>
      </x:c>
      <x:c r="F37" s="131" t="n">
        <x:v>-27787639695</x:v>
      </x:c>
      <x:c r="G37" s="131" t="n">
        <x:v>-32575500775</x:v>
      </x:c>
      <x:c r="H37" s="131" t="n">
        <x:v>-25395934940</x:v>
      </x:c>
      <x:c r="I37" s="131" t="n">
        <x:v>0</x:v>
      </x:c>
      <x:c r="J37" s="89" t="str">
        <x:v>VND</x:v>
      </x:c>
      <x:c r="K37" s="89" t="str">
        <x:v>SRC-API01</x:v>
      </x:c>
      <x:c r="L37" s="98" t="str">
        <x:v>https://vnstocks.com/docs/vnstock/phan-tich-co-ban-fundamental</x:v>
      </x:c>
      <x:c r="M37" s="282" t="n">
        <x:v>46228.58256944444</x:v>
      </x:c>
    </x:row>
    <x:row r="38" ht="22" customHeight="1">
      <x:c r="A38" s="88" t="str">
        <x:v>balance_sheet</x:v>
      </x:c>
      <x:c r="B38" s="89" t="str">
        <x:v>accounts_receivable</x:v>
      </x:c>
      <x:c r="C38" s="89" t="str">
        <x:v>Các khoản phải thu</x:v>
      </x:c>
      <x:c r="D38" s="89" t="str">
        <x:v>Accounts receivable</x:v>
      </x:c>
      <x:c r="E38" s="131" t="n">
        <x:v>841900282381</x:v>
      </x:c>
      <x:c r="F38" s="131" t="n">
        <x:v>867649206297</x:v>
      </x:c>
      <x:c r="G38" s="131" t="n">
        <x:v>1193181492780</x:v>
      </x:c>
      <x:c r="H38" s="131" t="n">
        <x:v>1235608050191</x:v>
      </x:c>
      <x:c r="I38" s="131" t="n">
        <x:v>1398735264841</x:v>
      </x:c>
      <x:c r="J38" s="89" t="str">
        <x:v>VND</x:v>
      </x:c>
      <x:c r="K38" s="89" t="str">
        <x:v>SRC-API01</x:v>
      </x:c>
      <x:c r="L38" s="98" t="str">
        <x:v>https://vnstocks.com/docs/vnstock/phan-tich-co-ban-fundamental</x:v>
      </x:c>
      <x:c r="M38" s="282" t="n">
        <x:v>46228.58256944444</x:v>
      </x:c>
    </x:row>
    <x:row r="39" ht="22" customHeight="1">
      <x:c r="A39" s="88" t="str">
        <x:v>balance_sheet</x:v>
      </x:c>
      <x:c r="B39" s="89" t="str">
        <x:v>trade_accounts_receivable</x:v>
      </x:c>
      <x:c r="C39" s="89" t="str">
        <x:v>Phải thu khách hàng</x:v>
      </x:c>
      <x:c r="D39" s="89" t="str">
        <x:v>Trade accounts receivable</x:v>
      </x:c>
      <x:c r="E39" s="131" t="n">
        <x:v>436724968918</x:v>
      </x:c>
      <x:c r="F39" s="131" t="n">
        <x:v>541809634569</x:v>
      </x:c>
      <x:c r="G39" s="131" t="n">
        <x:v>584659664426</x:v>
      </x:c>
      <x:c r="H39" s="131" t="n">
        <x:v>598531863691</x:v>
      </x:c>
      <x:c r="I39" s="131" t="n">
        <x:v>673784889294</x:v>
      </x:c>
      <x:c r="J39" s="89" t="str">
        <x:v>VND</x:v>
      </x:c>
      <x:c r="K39" s="89" t="str">
        <x:v>SRC-API01</x:v>
      </x:c>
      <x:c r="L39" s="98" t="str">
        <x:v>https://vnstocks.com/docs/vnstock/phan-tich-co-ban-fundamental</x:v>
      </x:c>
      <x:c r="M39" s="282" t="n">
        <x:v>46228.58256944444</x:v>
      </x:c>
    </x:row>
    <x:row r="40" ht="22" customHeight="1">
      <x:c r="A40" s="88" t="str">
        <x:v>balance_sheet</x:v>
      </x:c>
      <x:c r="B40" s="89" t="str">
        <x:v>prepayments_to_suppliers</x:v>
      </x:c>
      <x:c r="C40" s="89" t="str">
        <x:v>Trả trước người bán</x:v>
      </x:c>
      <x:c r="D40" s="89" t="str">
        <x:v>Prepayments to suppliers</x:v>
      </x:c>
      <x:c r="E40" s="131" t="n">
        <x:v>165321785923</x:v>
      </x:c>
      <x:c r="F40" s="131" t="n">
        <x:v>137910734284</x:v>
      </x:c>
      <x:c r="G40" s="131" t="n">
        <x:v>91860358118</x:v>
      </x:c>
      <x:c r="H40" s="131" t="n">
        <x:v>280469711694</x:v>
      </x:c>
      <x:c r="I40" s="131" t="n">
        <x:v>196842503241</x:v>
      </x:c>
      <x:c r="J40" s="89" t="str">
        <x:v>VND</x:v>
      </x:c>
      <x:c r="K40" s="89" t="str">
        <x:v>SRC-API01</x:v>
      </x:c>
      <x:c r="L40" s="98" t="str">
        <x:v>https://vnstocks.com/docs/vnstock/phan-tich-co-ban-fundamental</x:v>
      </x:c>
      <x:c r="M40" s="282" t="n">
        <x:v>46228.58256944444</x:v>
      </x:c>
    </x:row>
    <x:row r="41" ht="22" customHeight="1">
      <x:c r="A41" s="88" t="str">
        <x:v>balance_sheet</x:v>
      </x:c>
      <x:c r="B41" s="89" t="str">
        <x:v>intercompany_receivables</x:v>
      </x:c>
      <x:c r="C41" s="89" t="str">
        <x:v>Phải thu nội bộ</x:v>
      </x:c>
      <x:c r="D41" s="89" t="str">
        <x:v>Intercompany receivables</x:v>
      </x:c>
      <x:c r="E41" s="131" t="n">
        <x:v>0</x:v>
      </x:c>
      <x:c r="F41" s="131" t="n">
        <x:v>0</x:v>
      </x:c>
      <x:c r="G41" s="131" t="n">
        <x:v>0</x:v>
      </x:c>
      <x:c r="H41" s="131" t="n">
        <x:v>0</x:v>
      </x:c>
      <x:c r="I41" s="131" t="n">
        <x:v>0</x:v>
      </x:c>
      <x:c r="J41" s="89" t="str">
        <x:v>VND</x:v>
      </x:c>
      <x:c r="K41" s="89" t="str">
        <x:v>SRC-API01</x:v>
      </x:c>
      <x:c r="L41" s="98" t="str">
        <x:v>https://vnstocks.com/docs/vnstock/phan-tich-co-ban-fundamental</x:v>
      </x:c>
      <x:c r="M41" s="282" t="n">
        <x:v>46228.58256944444</x:v>
      </x:c>
    </x:row>
    <x:row r="42" ht="22" customHeight="1">
      <x:c r="A42" s="88" t="str">
        <x:v>balance_sheet</x:v>
      </x:c>
      <x:c r="B42" s="89" t="str">
        <x:v>construction_contract_in_progress_receivables</x:v>
      </x:c>
      <x:c r="C42" s="89" t="str">
        <x:v>Phải thu hợp đồng xây dựng đang thực hiện</x:v>
      </x:c>
      <x:c r="D42" s="89" t="str">
        <x:v>Construction contract in progress receivables</x:v>
      </x:c>
      <x:c r="E42" s="131" t="n">
        <x:v>0</x:v>
      </x:c>
      <x:c r="F42" s="131" t="n">
        <x:v>0</x:v>
      </x:c>
      <x:c r="G42" s="131" t="n">
        <x:v>0</x:v>
      </x:c>
      <x:c r="H42" s="131" t="n">
        <x:v>0</x:v>
      </x:c>
      <x:c r="I42" s="131" t="n">
        <x:v>0</x:v>
      </x:c>
      <x:c r="J42" s="89" t="str">
        <x:v>VND</x:v>
      </x:c>
      <x:c r="K42" s="89" t="str">
        <x:v>SRC-API01</x:v>
      </x:c>
      <x:c r="L42" s="98" t="str">
        <x:v>https://vnstocks.com/docs/vnstock/phan-tich-co-ban-fundamental</x:v>
      </x:c>
      <x:c r="M42" s="282" t="n">
        <x:v>46228.58256944444</x:v>
      </x:c>
    </x:row>
    <x:row r="43" ht="22" customHeight="1">
      <x:c r="A43" s="88" t="str">
        <x:v>balance_sheet</x:v>
      </x:c>
      <x:c r="B43" s="89" t="str">
        <x:v>other_receivables</x:v>
      </x:c>
      <x:c r="C43" s="89" t="str">
        <x:v>Phải thu khác</x:v>
      </x:c>
      <x:c r="D43" s="89" t="str">
        <x:v>Other receivables</x:v>
      </x:c>
      <x:c r="E43" s="131" t="n">
        <x:v>230626742533</x:v>
      </x:c>
      <x:c r="F43" s="131" t="n">
        <x:v>174477642655</x:v>
      </x:c>
      <x:c r="G43" s="131" t="n">
        <x:v>253518004021</x:v>
      </x:c>
      <x:c r="H43" s="131" t="n">
        <x:v>373778192874</x:v>
      </x:c>
      <x:c r="I43" s="131" t="n">
        <x:v>520651632469</x:v>
      </x:c>
      <x:c r="J43" s="89" t="str">
        <x:v>VND</x:v>
      </x:c>
      <x:c r="K43" s="89" t="str">
        <x:v>SRC-API01</x:v>
      </x:c>
      <x:c r="L43" s="98" t="str">
        <x:v>https://vnstocks.com/docs/vnstock/phan-tich-co-ban-fundamental</x:v>
      </x:c>
      <x:c r="M43" s="282" t="n">
        <x:v>46228.58256944444</x:v>
      </x:c>
    </x:row>
    <x:row r="44" ht="22" customHeight="1">
      <x:c r="A44" s="88" t="str">
        <x:v>balance_sheet</x:v>
      </x:c>
      <x:c r="B44" s="89" t="str">
        <x:v>provision_for_doubtful_debts</x:v>
      </x:c>
      <x:c r="C44" s="89" t="str">
        <x:v>Dự phòng nợ khó đòi</x:v>
      </x:c>
      <x:c r="D44" s="89" t="str">
        <x:v>Provision for doubtful debts</x:v>
      </x:c>
      <x:c r="E44" s="131" t="n">
        <x:v>-10396714993</x:v>
      </x:c>
      <x:c r="F44" s="131" t="n">
        <x:v>-11172305211</x:v>
      </x:c>
      <x:c r="G44" s="131" t="n">
        <x:v>-34864521586</x:v>
      </x:c>
      <x:c r="H44" s="131" t="n">
        <x:v>-48095218068</x:v>
      </x:c>
      <x:c r="I44" s="131" t="n">
        <x:v>-53474018563</x:v>
      </x:c>
      <x:c r="J44" s="89" t="str">
        <x:v>VND</x:v>
      </x:c>
      <x:c r="K44" s="89" t="str">
        <x:v>SRC-API01</x:v>
      </x:c>
      <x:c r="L44" s="98" t="str">
        <x:v>https://vnstocks.com/docs/vnstock/phan-tich-co-ban-fundamental</x:v>
      </x:c>
      <x:c r="M44" s="282" t="n">
        <x:v>46228.58256944444</x:v>
      </x:c>
    </x:row>
    <x:row r="45" ht="22" customHeight="1">
      <x:c r="A45" s="88" t="str">
        <x:v>balance_sheet</x:v>
      </x:c>
      <x:c r="B45" s="89" t="str">
        <x:v>inventories_net</x:v>
      </x:c>
      <x:c r="C45" s="89" t="str">
        <x:v>Hàng tồn kho, ròng</x:v>
      </x:c>
      <x:c r="D45" s="89" t="str">
        <x:v>Inventories, Net</x:v>
      </x:c>
      <x:c r="E45" s="131" t="n">
        <x:v>68712818949</x:v>
      </x:c>
      <x:c r="F45" s="131" t="n">
        <x:v>82532452635</x:v>
      </x:c>
      <x:c r="G45" s="131" t="n">
        <x:v>68169766561</x:v>
      </x:c>
      <x:c r="H45" s="131" t="n">
        <x:v>83419825055</x:v>
      </x:c>
      <x:c r="I45" s="131" t="n">
        <x:v>92477952063</x:v>
      </x:c>
      <x:c r="J45" s="89" t="str">
        <x:v>VND</x:v>
      </x:c>
      <x:c r="K45" s="89" t="str">
        <x:v>SRC-API01</x:v>
      </x:c>
      <x:c r="L45" s="98" t="str">
        <x:v>https://vnstocks.com/docs/vnstock/phan-tich-co-ban-fundamental</x:v>
      </x:c>
      <x:c r="M45" s="282" t="n">
        <x:v>46228.58256944444</x:v>
      </x:c>
    </x:row>
    <x:row r="46" ht="22" customHeight="1">
      <x:c r="A46" s="88" t="str">
        <x:v>balance_sheet</x:v>
      </x:c>
      <x:c r="B46" s="89" t="str">
        <x:v>inventories</x:v>
      </x:c>
      <x:c r="C46" s="89" t="str">
        <x:v>Hàng tồn kho</x:v>
      </x:c>
      <x:c r="D46" s="89" t="str">
        <x:v>Inventories</x:v>
      </x:c>
      <x:c r="E46" s="131" t="n">
        <x:v>68712818949</x:v>
      </x:c>
      <x:c r="F46" s="131" t="n">
        <x:v>82532452635</x:v>
      </x:c>
      <x:c r="G46" s="131" t="n">
        <x:v>68169766561</x:v>
      </x:c>
      <x:c r="H46" s="131" t="n">
        <x:v>83419825055</x:v>
      </x:c>
      <x:c r="I46" s="131" t="n">
        <x:v>92477952063</x:v>
      </x:c>
      <x:c r="J46" s="89" t="str">
        <x:v>VND</x:v>
      </x:c>
      <x:c r="K46" s="89" t="str">
        <x:v>SRC-API01</x:v>
      </x:c>
      <x:c r="L46" s="98" t="str">
        <x:v>https://vnstocks.com/docs/vnstock/phan-tich-co-ban-fundamental</x:v>
      </x:c>
      <x:c r="M46" s="282" t="n">
        <x:v>46228.58256944444</x:v>
      </x:c>
    </x:row>
    <x:row r="47" ht="22" customHeight="1">
      <x:c r="A47" s="88" t="str">
        <x:v>balance_sheet</x:v>
      </x:c>
      <x:c r="B47" s="89" t="str">
        <x:v>provision_for_decline_in_inventories</x:v>
      </x:c>
      <x:c r="C47" s="89" t="str">
        <x:v>Dự phòng giảm giá hàng tồn kho</x:v>
      </x:c>
      <x:c r="D47" s="89" t="str">
        <x:v>Provision for decline in inventories</x:v>
      </x:c>
      <x:c r="E47" s="131" t="n">
        <x:v>0</x:v>
      </x:c>
      <x:c r="F47" s="131" t="n">
        <x:v>0</x:v>
      </x:c>
      <x:c r="G47" s="131" t="n">
        <x:v>0</x:v>
      </x:c>
      <x:c r="H47" s="131" t="n">
        <x:v>0</x:v>
      </x:c>
      <x:c r="I47" s="131" t="n">
        <x:v>0</x:v>
      </x:c>
      <x:c r="J47" s="89" t="str">
        <x:v>VND</x:v>
      </x:c>
      <x:c r="K47" s="89" t="str">
        <x:v>SRC-API01</x:v>
      </x:c>
      <x:c r="L47" s="98" t="str">
        <x:v>https://vnstocks.com/docs/vnstock/phan-tich-co-ban-fundamental</x:v>
      </x:c>
      <x:c r="M47" s="282" t="n">
        <x:v>46228.58256944444</x:v>
      </x:c>
    </x:row>
    <x:row r="48" ht="22" customHeight="1">
      <x:c r="A48" s="88" t="str">
        <x:v>balance_sheet</x:v>
      </x:c>
      <x:c r="B48" s="89" t="str">
        <x:v>other_current_assets</x:v>
      </x:c>
      <x:c r="C48" s="89" t="str">
        <x:v>Tài sản lưu động khác</x:v>
      </x:c>
      <x:c r="D48" s="89" t="str">
        <x:v>Other current assets</x:v>
      </x:c>
      <x:c r="E48" s="131" t="n">
        <x:v>89685658010</x:v>
      </x:c>
      <x:c r="F48" s="131" t="n">
        <x:v>221965397760</x:v>
      </x:c>
      <x:c r="G48" s="131" t="n">
        <x:v>288306665750</x:v>
      </x:c>
      <x:c r="H48" s="131" t="n">
        <x:v>369017115556</x:v>
      </x:c>
      <x:c r="I48" s="131" t="n">
        <x:v>354111922109</x:v>
      </x:c>
      <x:c r="J48" s="89" t="str">
        <x:v>VND</x:v>
      </x:c>
      <x:c r="K48" s="89" t="str">
        <x:v>SRC-API01</x:v>
      </x:c>
      <x:c r="L48" s="98" t="str">
        <x:v>https://vnstocks.com/docs/vnstock/phan-tich-co-ban-fundamental</x:v>
      </x:c>
      <x:c r="M48" s="282" t="n">
        <x:v>46228.58256944444</x:v>
      </x:c>
    </x:row>
    <x:row r="49" ht="22" customHeight="1">
      <x:c r="A49" s="88" t="str">
        <x:v>balance_sheet</x:v>
      </x:c>
      <x:c r="B49" s="89" t="str">
        <x:v>short_term_prepayments</x:v>
      </x:c>
      <x:c r="C49" s="89" t="str">
        <x:v>Chi phí trả trước ngắn hạn</x:v>
      </x:c>
      <x:c r="D49" s="89" t="str">
        <x:v>Short-term prepayments</x:v>
      </x:c>
      <x:c r="E49" s="131" t="n">
        <x:v>13618725732</x:v>
      </x:c>
      <x:c r="F49" s="131" t="n">
        <x:v>12708057001</x:v>
      </x:c>
      <x:c r="G49" s="131" t="n">
        <x:v>7949598183</x:v>
      </x:c>
      <x:c r="H49" s="131" t="n">
        <x:v>20331034493</x:v>
      </x:c>
      <x:c r="I49" s="131" t="n">
        <x:v>49422321164</x:v>
      </x:c>
      <x:c r="J49" s="89" t="str">
        <x:v>VND</x:v>
      </x:c>
      <x:c r="K49" s="89" t="str">
        <x:v>SRC-API01</x:v>
      </x:c>
      <x:c r="L49" s="98" t="str">
        <x:v>https://vnstocks.com/docs/vnstock/phan-tich-co-ban-fundamental</x:v>
      </x:c>
      <x:c r="M49" s="282" t="n">
        <x:v>46228.58256944444</x:v>
      </x:c>
    </x:row>
    <x:row r="50" ht="22" customHeight="1">
      <x:c r="A50" s="88" t="str">
        <x:v>balance_sheet</x:v>
      </x:c>
      <x:c r="B50" s="89" t="str">
        <x:v>vat_to_be_claimed</x:v>
      </x:c>
      <x:c r="C50" s="89" t="str">
        <x:v>Thuế GTGT được khấu trừ</x:v>
      </x:c>
      <x:c r="D50" s="89" t="str">
        <x:v>VAT to be claimed</x:v>
      </x:c>
      <x:c r="E50" s="131" t="n">
        <x:v>58408265354</x:v>
      </x:c>
      <x:c r="F50" s="131" t="n">
        <x:v>186384655503</x:v>
      </x:c>
      <x:c r="G50" s="131" t="n">
        <x:v>268633238575</x:v>
      </x:c>
      <x:c r="H50" s="131" t="n">
        <x:v>334621126828</x:v>
      </x:c>
      <x:c r="I50" s="131" t="n">
        <x:v>301287529386</x:v>
      </x:c>
      <x:c r="J50" s="89" t="str">
        <x:v>VND</x:v>
      </x:c>
      <x:c r="K50" s="89" t="str">
        <x:v>SRC-API01</x:v>
      </x:c>
      <x:c r="L50" s="98" t="str">
        <x:v>https://vnstocks.com/docs/vnstock/phan-tich-co-ban-fundamental</x:v>
      </x:c>
      <x:c r="M50" s="282" t="n">
        <x:v>46228.58256944444</x:v>
      </x:c>
    </x:row>
    <x:row r="51" ht="22" customHeight="1">
      <x:c r="A51" s="88" t="str">
        <x:v>balance_sheet</x:v>
      </x:c>
      <x:c r="B51" s="89" t="str">
        <x:v>other_taxes_receivable</x:v>
      </x:c>
      <x:c r="C51" s="89" t="str">
        <x:v>Phải thu thuế khác</x:v>
      </x:c>
      <x:c r="D51" s="89" t="str">
        <x:v>Other taxes receivable</x:v>
      </x:c>
      <x:c r="E51" s="131" t="n">
        <x:v>17658666924</x:v>
      </x:c>
      <x:c r="F51" s="131" t="n">
        <x:v>22872685256</x:v>
      </x:c>
      <x:c r="G51" s="131" t="n">
        <x:v>11723828992</x:v>
      </x:c>
      <x:c r="H51" s="131" t="n">
        <x:v>14064954235</x:v>
      </x:c>
      <x:c r="I51" s="131" t="n">
        <x:v>3402071559</x:v>
      </x:c>
      <x:c r="J51" s="89" t="str">
        <x:v>VND</x:v>
      </x:c>
      <x:c r="K51" s="89" t="str">
        <x:v>SRC-API01</x:v>
      </x:c>
      <x:c r="L51" s="98" t="str">
        <x:v>https://vnstocks.com/docs/vnstock/phan-tich-co-ban-fundamental</x:v>
      </x:c>
      <x:c r="M51" s="282" t="n">
        <x:v>46228.58256944444</x:v>
      </x:c>
    </x:row>
    <x:row r="52" ht="22" customHeight="1">
      <x:c r="A52" s="88" t="str">
        <x:v>balance_sheet</x:v>
      </x:c>
      <x:c r="B52" s="89" t="str">
        <x:v>other_current_assets</x:v>
      </x:c>
      <x:c r="C52" s="89" t="str">
        <x:v>Tài sản lưu động khác</x:v>
      </x:c>
      <x:c r="D52" s="89" t="str">
        <x:v>Other current assets</x:v>
      </x:c>
      <x:c r="E52" s="131" t="n">
        <x:v>0</x:v>
      </x:c>
      <x:c r="F52" s="131" t="n">
        <x:v>0</x:v>
      </x:c>
      <x:c r="G52" s="131" t="n">
        <x:v>0</x:v>
      </x:c>
      <x:c r="H52" s="131" t="n">
        <x:v>0</x:v>
      </x:c>
      <x:c r="I52" s="131" t="n">
        <x:v>0</x:v>
      </x:c>
      <x:c r="J52" s="89" t="str">
        <x:v>VND</x:v>
      </x:c>
      <x:c r="K52" s="89" t="str">
        <x:v>SRC-API01</x:v>
      </x:c>
      <x:c r="L52" s="98" t="str">
        <x:v>https://vnstocks.com/docs/vnstock/phan-tich-co-ban-fundamental</x:v>
      </x:c>
      <x:c r="M52" s="282" t="n">
        <x:v>46228.58256944444</x:v>
      </x:c>
    </x:row>
    <x:row r="53" ht="22" customHeight="1">
      <x:c r="A53" s="88" t="str">
        <x:v>balance_sheet</x:v>
      </x:c>
      <x:c r="B53" s="89" t="str">
        <x:v>long_term_assets</x:v>
      </x:c>
      <x:c r="C53" s="89" t="str">
        <x:v>TÀI SẢN DÀI HẠN</x:v>
      </x:c>
      <x:c r="D53" s="89" t="str">
        <x:v>LONG-TERM ASSETS</x:v>
      </x:c>
      <x:c r="E53" s="131" t="n">
        <x:v>9041731729045</x:v>
      </x:c>
      <x:c r="F53" s="131" t="n">
        <x:v>10411925986309</x:v>
      </x:c>
      <x:c r="G53" s="131" t="n">
        <x:v>10165823905016</x:v>
      </x:c>
      <x:c r="H53" s="131" t="n">
        <x:v>11324285547308</x:v>
      </x:c>
      <x:c r="I53" s="131" t="n">
        <x:v>13620185187029</x:v>
      </x:c>
      <x:c r="J53" s="89" t="str">
        <x:v>VND</x:v>
      </x:c>
      <x:c r="K53" s="89" t="str">
        <x:v>SRC-API01</x:v>
      </x:c>
      <x:c r="L53" s="98" t="str">
        <x:v>https://vnstocks.com/docs/vnstock/phan-tich-co-ban-fundamental</x:v>
      </x:c>
      <x:c r="M53" s="282" t="n">
        <x:v>46228.58256944444</x:v>
      </x:c>
    </x:row>
    <x:row r="54" ht="22" customHeight="1">
      <x:c r="A54" s="88" t="str">
        <x:v>balance_sheet</x:v>
      </x:c>
      <x:c r="B54" s="89" t="str">
        <x:v>long_term_trade_receivables</x:v>
      </x:c>
      <x:c r="C54" s="89" t="str">
        <x:v>Phải thu dài hạn</x:v>
      </x:c>
      <x:c r="D54" s="89" t="str">
        <x:v>Long-term trade receivables</x:v>
      </x:c>
      <x:c r="E54" s="131" t="n">
        <x:v>43838714303</x:v>
      </x:c>
      <x:c r="F54" s="131" t="n">
        <x:v>44605881337</x:v>
      </x:c>
      <x:c r="G54" s="131" t="n">
        <x:v>39754955799</x:v>
      </x:c>
      <x:c r="H54" s="131" t="n">
        <x:v>44670549888</x:v>
      </x:c>
      <x:c r="I54" s="131" t="n">
        <x:v>46839995138</x:v>
      </x:c>
      <x:c r="J54" s="89" t="str">
        <x:v>VND</x:v>
      </x:c>
      <x:c r="K54" s="89" t="str">
        <x:v>SRC-API01</x:v>
      </x:c>
      <x:c r="L54" s="98" t="str">
        <x:v>https://vnstocks.com/docs/vnstock/phan-tich-co-ban-fundamental</x:v>
      </x:c>
      <x:c r="M54" s="282" t="n">
        <x:v>46228.58256944444</x:v>
      </x:c>
    </x:row>
    <x:row r="55" ht="22" customHeight="1">
      <x:c r="A55" s="88" t="str">
        <x:v>balance_sheet</x:v>
      </x:c>
      <x:c r="B55" s="89" t="str">
        <x:v>long_term_trade_receivables_from_customers</x:v>
      </x:c>
      <x:c r="C55" s="89" t="str">
        <x:v>Phải thu khách hàng dài hạn</x:v>
      </x:c>
      <x:c r="D55" s="89" t="str">
        <x:v>Long-term trade receivables from customers</x:v>
      </x:c>
      <x:c r="E55" s="131" t="n">
        <x:v>0</x:v>
      </x:c>
      <x:c r="F55" s="131" t="n">
        <x:v>0</x:v>
      </x:c>
      <x:c r="G55" s="131" t="n">
        <x:v>0</x:v>
      </x:c>
      <x:c r="H55" s="131" t="n">
        <x:v>0</x:v>
      </x:c>
      <x:c r="I55" s="131" t="n">
        <x:v>0</x:v>
      </x:c>
      <x:c r="J55" s="89" t="str">
        <x:v>VND</x:v>
      </x:c>
      <x:c r="K55" s="89" t="str">
        <x:v>SRC-API01</x:v>
      </x:c>
      <x:c r="L55" s="98" t="str">
        <x:v>https://vnstocks.com/docs/vnstock/phan-tich-co-ban-fundamental</x:v>
      </x:c>
      <x:c r="M55" s="282" t="n">
        <x:v>46228.58256944444</x:v>
      </x:c>
    </x:row>
    <x:row r="56" ht="22" customHeight="1">
      <x:c r="A56" s="88" t="str">
        <x:v>balance_sheet</x:v>
      </x:c>
      <x:c r="B56" s="89" t="str">
        <x:v>long_term_intercompany_receivables</x:v>
      </x:c>
      <x:c r="C56" s="89" t="str">
        <x:v>Phải thu nội bộ dài hạn</x:v>
      </x:c>
      <x:c r="D56" s="89" t="str">
        <x:v>Long-term intercompany receivables</x:v>
      </x:c>
      <x:c r="E56" s="131" t="n">
        <x:v>0</x:v>
      </x:c>
      <x:c r="F56" s="131" t="n">
        <x:v>0</x:v>
      </x:c>
      <x:c r="G56" s="131" t="n">
        <x:v>0</x:v>
      </x:c>
      <x:c r="H56" s="131" t="n">
        <x:v>0</x:v>
      </x:c>
      <x:c r="I56" s="131" t="n">
        <x:v>0</x:v>
      </x:c>
      <x:c r="J56" s="89" t="str">
        <x:v>VND</x:v>
      </x:c>
      <x:c r="K56" s="89" t="str">
        <x:v>SRC-API01</x:v>
      </x:c>
      <x:c r="L56" s="98" t="str">
        <x:v>https://vnstocks.com/docs/vnstock/phan-tich-co-ban-fundamental</x:v>
      </x:c>
      <x:c r="M56" s="282" t="n">
        <x:v>46228.58256944444</x:v>
      </x:c>
    </x:row>
    <x:row r="57" ht="22" customHeight="1">
      <x:c r="A57" s="88" t="str">
        <x:v>balance_sheet</x:v>
      </x:c>
      <x:c r="B57" s="89" t="str">
        <x:v>other_long_term_receivables</x:v>
      </x:c>
      <x:c r="C57" s="89" t="str">
        <x:v>Phải thu dài hạn khác</x:v>
      </x:c>
      <x:c r="D57" s="89" t="str">
        <x:v>Other long-term receivables</x:v>
      </x:c>
      <x:c r="E57" s="131" t="n">
        <x:v>35380714303</x:v>
      </x:c>
      <x:c r="F57" s="131" t="n">
        <x:v>36505881337</x:v>
      </x:c>
      <x:c r="G57" s="131" t="n">
        <x:v>31654955799</x:v>
      </x:c>
      <x:c r="H57" s="131" t="n">
        <x:v>36570549888</x:v>
      </x:c>
      <x:c r="I57" s="131" t="n">
        <x:v>38739995138</x:v>
      </x:c>
      <x:c r="J57" s="89" t="str">
        <x:v>VND</x:v>
      </x:c>
      <x:c r="K57" s="89" t="str">
        <x:v>SRC-API01</x:v>
      </x:c>
      <x:c r="L57" s="98" t="str">
        <x:v>https://vnstocks.com/docs/vnstock/phan-tich-co-ban-fundamental</x:v>
      </x:c>
      <x:c r="M57" s="282" t="n">
        <x:v>46228.58256944444</x:v>
      </x:c>
    </x:row>
    <x:row r="58" ht="22" customHeight="1">
      <x:c r="A58" s="88" t="str">
        <x:v>balance_sheet</x:v>
      </x:c>
      <x:c r="B58" s="89" t="str">
        <x:v>provision_for_doubtful_lt_receivable</x:v>
      </x:c>
      <x:c r="C58" s="89" t="str">
        <x:v>Dự phòng phải thu dài hạn</x:v>
      </x:c>
      <x:c r="D58" s="89" t="str">
        <x:v>Provision for doubtful LT receivable</x:v>
      </x:c>
      <x:c r="E58" s="131" t="n">
        <x:v>0</x:v>
      </x:c>
      <x:c r="F58" s="131" t="n">
        <x:v>0</x:v>
      </x:c>
      <x:c r="G58" s="131" t="n">
        <x:v>0</x:v>
      </x:c>
      <x:c r="H58" s="131" t="n">
        <x:v>0</x:v>
      </x:c>
      <x:c r="I58" s="131" t="n">
        <x:v>0</x:v>
      </x:c>
      <x:c r="J58" s="89" t="str">
        <x:v>VND</x:v>
      </x:c>
      <x:c r="K58" s="89" t="str">
        <x:v>SRC-API01</x:v>
      </x:c>
      <x:c r="L58" s="98" t="str">
        <x:v>https://vnstocks.com/docs/vnstock/phan-tich-co-ban-fundamental</x:v>
      </x:c>
      <x:c r="M58" s="282" t="n">
        <x:v>46228.58256944444</x:v>
      </x:c>
    </x:row>
    <x:row r="59" ht="22" customHeight="1">
      <x:c r="A59" s="88" t="str">
        <x:v>balance_sheet</x:v>
      </x:c>
      <x:c r="B59" s="89" t="str">
        <x:v>fixed_assets</x:v>
      </x:c>
      <x:c r="C59" s="89" t="str">
        <x:v>Tài sản cố định</x:v>
      </x:c>
      <x:c r="D59" s="89" t="str">
        <x:v>Fixed assets</x:v>
      </x:c>
      <x:c r="E59" s="131" t="n">
        <x:v>3145986823900</x:v>
      </x:c>
      <x:c r="F59" s="131" t="n">
        <x:v>3262248898450</x:v>
      </x:c>
      <x:c r="G59" s="131" t="n">
        <x:v>4166026323789</x:v>
      </x:c>
      <x:c r="H59" s="131" t="n">
        <x:v>4033163455484</x:v>
      </x:c>
      <x:c r="I59" s="131" t="n">
        <x:v>5584162628010</x:v>
      </x:c>
      <x:c r="J59" s="89" t="str">
        <x:v>VND</x:v>
      </x:c>
      <x:c r="K59" s="89" t="str">
        <x:v>SRC-API01</x:v>
      </x:c>
      <x:c r="L59" s="98" t="str">
        <x:v>https://vnstocks.com/docs/vnstock/phan-tich-co-ban-fundamental</x:v>
      </x:c>
      <x:c r="M59" s="282" t="n">
        <x:v>46228.58256944444</x:v>
      </x:c>
    </x:row>
    <x:row r="60" ht="22" customHeight="1">
      <x:c r="A60" s="88" t="str">
        <x:v>balance_sheet</x:v>
      </x:c>
      <x:c r="B60" s="89" t="str">
        <x:v>tangible_fixed_assets</x:v>
      </x:c>
      <x:c r="C60" s="89" t="str">
        <x:v>GTCL TSCĐ hữu hình</x:v>
      </x:c>
      <x:c r="D60" s="89" t="str">
        <x:v>Tangible fixed assets</x:v>
      </x:c>
      <x:c r="E60" s="131" t="n">
        <x:v>2805698233139</x:v>
      </x:c>
      <x:c r="F60" s="131" t="n">
        <x:v>2956017737527</x:v>
      </x:c>
      <x:c r="G60" s="131" t="n">
        <x:v>3891229902798</x:v>
      </x:c>
      <x:c r="H60" s="131" t="n">
        <x:v>3786073252479</x:v>
      </x:c>
      <x:c r="I60" s="131" t="n">
        <x:v>5338735383830</x:v>
      </x:c>
      <x:c r="J60" s="89" t="str">
        <x:v>VND</x:v>
      </x:c>
      <x:c r="K60" s="89" t="str">
        <x:v>SRC-API01</x:v>
      </x:c>
      <x:c r="L60" s="98" t="str">
        <x:v>https://vnstocks.com/docs/vnstock/phan-tich-co-ban-fundamental</x:v>
      </x:c>
      <x:c r="M60" s="282" t="n">
        <x:v>46228.58256944444</x:v>
      </x:c>
    </x:row>
    <x:row r="61" ht="22" customHeight="1">
      <x:c r="A61" s="88" t="str">
        <x:v>balance_sheet</x:v>
      </x:c>
      <x:c r="B61" s="89" t="str">
        <x:v>cost</x:v>
      </x:c>
      <x:c r="C61" s="89" t="str">
        <x:v>Nguyên giá TSCĐ hữu hình</x:v>
      </x:c>
      <x:c r="D61" s="89" t="str">
        <x:v>Cost</x:v>
      </x:c>
      <x:c r="E61" s="131" t="n">
        <x:v>5224968556258</x:v>
      </x:c>
      <x:c r="F61" s="131" t="n">
        <x:v>5691418188210</x:v>
      </x:c>
      <x:c r="G61" s="131" t="n">
        <x:v>6234828104966</x:v>
      </x:c>
      <x:c r="H61" s="131" t="n">
        <x:v>6271975962063</x:v>
      </x:c>
      <x:c r="I61" s="131" t="n">
        <x:v>8164569860451</x:v>
      </x:c>
      <x:c r="J61" s="89" t="str">
        <x:v>VND</x:v>
      </x:c>
      <x:c r="K61" s="89" t="str">
        <x:v>SRC-API01</x:v>
      </x:c>
      <x:c r="L61" s="98" t="str">
        <x:v>https://vnstocks.com/docs/vnstock/phan-tich-co-ban-fundamental</x:v>
      </x:c>
      <x:c r="M61" s="282" t="n">
        <x:v>46228.58256944444</x:v>
      </x:c>
    </x:row>
    <x:row r="62" ht="22" customHeight="1">
      <x:c r="A62" s="88" t="str">
        <x:v>balance_sheet</x:v>
      </x:c>
      <x:c r="B62" s="89" t="str">
        <x:v>accumulated_depreciation</x:v>
      </x:c>
      <x:c r="C62" s="89" t="str">
        <x:v>Khấu hao lũy kế TSCĐ hữu hình</x:v>
      </x:c>
      <x:c r="D62" s="89" t="str">
        <x:v>Accumulated depreciation</x:v>
      </x:c>
      <x:c r="E62" s="131" t="n">
        <x:v>-2419270323119</x:v>
      </x:c>
      <x:c r="F62" s="131" t="n">
        <x:v>-2735400450683</x:v>
      </x:c>
      <x:c r="G62" s="131" t="n">
        <x:v>-2343598202168</x:v>
      </x:c>
      <x:c r="H62" s="131" t="n">
        <x:v>-2485902709584</x:v>
      </x:c>
      <x:c r="I62" s="131" t="n">
        <x:v>-2825834476621</x:v>
      </x:c>
      <x:c r="J62" s="89" t="str">
        <x:v>VND</x:v>
      </x:c>
      <x:c r="K62" s="89" t="str">
        <x:v>SRC-API01</x:v>
      </x:c>
      <x:c r="L62" s="98" t="str">
        <x:v>https://vnstocks.com/docs/vnstock/phan-tich-co-ban-fundamental</x:v>
      </x:c>
      <x:c r="M62" s="282" t="n">
        <x:v>46228.58256944444</x:v>
      </x:c>
    </x:row>
    <x:row r="63" ht="22" customHeight="1">
      <x:c r="A63" s="88" t="str">
        <x:v>balance_sheet</x:v>
      </x:c>
      <x:c r="B63" s="89" t="str">
        <x:v>finance_lease_assets</x:v>
      </x:c>
      <x:c r="C63" s="89" t="str">
        <x:v>GTCL tài sản thuê tài chính</x:v>
      </x:c>
      <x:c r="D63" s="89" t="str">
        <x:v>Finance lease assets</x:v>
      </x:c>
      <x:c r="E63" s="131" t="n">
        <x:v>78555811617</x:v>
      </x:c>
      <x:c r="F63" s="131" t="n">
        <x:v>44630763406</x:v>
      </x:c>
      <x:c r="G63" s="131" t="n">
        <x:v>16406414089</x:v>
      </x:c>
      <x:c r="H63" s="131" t="n">
        <x:v>9387685</x:v>
      </x:c>
      <x:c r="I63" s="131" t="n">
        <x:v>0</x:v>
      </x:c>
      <x:c r="J63" s="89" t="str">
        <x:v>VND</x:v>
      </x:c>
      <x:c r="K63" s="89" t="str">
        <x:v>SRC-API01</x:v>
      </x:c>
      <x:c r="L63" s="98" t="str">
        <x:v>https://vnstocks.com/docs/vnstock/phan-tich-co-ban-fundamental</x:v>
      </x:c>
      <x:c r="M63" s="282" t="n">
        <x:v>46228.58256944444</x:v>
      </x:c>
    </x:row>
    <x:row r="64" ht="22" customHeight="1">
      <x:c r="A64" s="88" t="str">
        <x:v>balance_sheet</x:v>
      </x:c>
      <x:c r="B64" s="89" t="str">
        <x:v>cost</x:v>
      </x:c>
      <x:c r="C64" s="89" t="str">
        <x:v>Nguyên giá tài sản thuê tài chính</x:v>
      </x:c>
      <x:c r="D64" s="89" t="str">
        <x:v>Cost</x:v>
      </x:c>
      <x:c r="E64" s="131" t="n">
        <x:v>235315786602</x:v>
      </x:c>
      <x:c r="F64" s="131" t="n">
        <x:v>235413682251</x:v>
      </x:c>
      <x:c r="G64" s="131" t="n">
        <x:v>235413682251</x:v>
      </x:c>
      <x:c r="H64" s="131" t="n">
        <x:v>235413682251</x:v>
      </x:c>
      <x:c r="I64" s="131" t="n">
        <x:v>259912568266</x:v>
      </x:c>
      <x:c r="J64" s="89" t="str">
        <x:v>VND</x:v>
      </x:c>
      <x:c r="K64" s="89" t="str">
        <x:v>SRC-API01</x:v>
      </x:c>
      <x:c r="L64" s="98" t="str">
        <x:v>https://vnstocks.com/docs/vnstock/phan-tich-co-ban-fundamental</x:v>
      </x:c>
      <x:c r="M64" s="282" t="n">
        <x:v>46228.58256944444</x:v>
      </x:c>
    </x:row>
    <x:row r="65" ht="22" customHeight="1">
      <x:c r="A65" s="88" t="str">
        <x:v>balance_sheet</x:v>
      </x:c>
      <x:c r="B65" s="89" t="str">
        <x:v>accumulated_depreciation</x:v>
      </x:c>
      <x:c r="C65" s="89" t="str">
        <x:v>Khấu hao lũy kế tài sản thuê tài chính</x:v>
      </x:c>
      <x:c r="D65" s="89" t="str">
        <x:v>Accumulated depreciation</x:v>
      </x:c>
      <x:c r="E65" s="131" t="n">
        <x:v>-156759974985</x:v>
      </x:c>
      <x:c r="F65" s="131" t="n">
        <x:v>-190782918845</x:v>
      </x:c>
      <x:c r="G65" s="131" t="n">
        <x:v>-219007268162</x:v>
      </x:c>
      <x:c r="H65" s="131" t="n">
        <x:v>-235404294566</x:v>
      </x:c>
      <x:c r="I65" s="131" t="n">
        <x:v>-259912568266</x:v>
      </x:c>
      <x:c r="J65" s="89" t="str">
        <x:v>VND</x:v>
      </x:c>
      <x:c r="K65" s="89" t="str">
        <x:v>SRC-API01</x:v>
      </x:c>
      <x:c r="L65" s="98" t="str">
        <x:v>https://vnstocks.com/docs/vnstock/phan-tich-co-ban-fundamental</x:v>
      </x:c>
      <x:c r="M65" s="282" t="n">
        <x:v>46228.58256944444</x:v>
      </x:c>
    </x:row>
    <x:row r="66" ht="22" customHeight="1">
      <x:c r="A66" s="88" t="str">
        <x:v>balance_sheet</x:v>
      </x:c>
      <x:c r="B66" s="89" t="str">
        <x:v>intangible_fixed_assets</x:v>
      </x:c>
      <x:c r="C66" s="89" t="str">
        <x:v>GTCL tài sản cố định vô hình</x:v>
      </x:c>
      <x:c r="D66" s="89" t="str">
        <x:v>Intangible fixed assets</x:v>
      </x:c>
      <x:c r="E66" s="131" t="n">
        <x:v>261732779144</x:v>
      </x:c>
      <x:c r="F66" s="131" t="n">
        <x:v>261600397517</x:v>
      </x:c>
      <x:c r="G66" s="131" t="n">
        <x:v>258390006902</x:v>
      </x:c>
      <x:c r="H66" s="131" t="n">
        <x:v>247080815320</x:v>
      </x:c>
      <x:c r="I66" s="131" t="n">
        <x:v>245427244180</x:v>
      </x:c>
      <x:c r="J66" s="89" t="str">
        <x:v>VND</x:v>
      </x:c>
      <x:c r="K66" s="89" t="str">
        <x:v>SRC-API01</x:v>
      </x:c>
      <x:c r="L66" s="98" t="str">
        <x:v>https://vnstocks.com/docs/vnstock/phan-tich-co-ban-fundamental</x:v>
      </x:c>
      <x:c r="M66" s="282" t="n">
        <x:v>46228.58256944444</x:v>
      </x:c>
    </x:row>
    <x:row r="67" ht="22" customHeight="1">
      <x:c r="A67" s="88" t="str">
        <x:v>balance_sheet</x:v>
      </x:c>
      <x:c r="B67" s="89" t="str">
        <x:v>cost</x:v>
      </x:c>
      <x:c r="C67" s="89" t="str">
        <x:v>Nguyên giá TSCĐ vô hình</x:v>
      </x:c>
      <x:c r="D67" s="89" t="str">
        <x:v>Cost</x:v>
      </x:c>
      <x:c r="E67" s="131" t="n">
        <x:v>364246908493</x:v>
      </x:c>
      <x:c r="F67" s="131" t="n">
        <x:v>377419689331</x:v>
      </x:c>
      <x:c r="G67" s="131" t="n">
        <x:v>382206554971</x:v>
      </x:c>
      <x:c r="H67" s="131" t="n">
        <x:v>377654306291</x:v>
      </x:c>
      <x:c r="I67" s="131" t="n">
        <x:v>390579655076</x:v>
      </x:c>
      <x:c r="J67" s="89" t="str">
        <x:v>VND</x:v>
      </x:c>
      <x:c r="K67" s="89" t="str">
        <x:v>SRC-API01</x:v>
      </x:c>
      <x:c r="L67" s="98" t="str">
        <x:v>https://vnstocks.com/docs/vnstock/phan-tich-co-ban-fundamental</x:v>
      </x:c>
      <x:c r="M67" s="282" t="n">
        <x:v>46228.58256944444</x:v>
      </x:c>
    </x:row>
    <x:row r="68" ht="22" customHeight="1">
      <x:c r="A68" s="88" t="str">
        <x:v>balance_sheet</x:v>
      </x:c>
      <x:c r="B68" s="89" t="str">
        <x:v>accumulated_depreciation</x:v>
      </x:c>
      <x:c r="C68" s="89" t="str">
        <x:v>Khấu hao lũy kế TSCĐ vô hình</x:v>
      </x:c>
      <x:c r="D68" s="89" t="str">
        <x:v>Accumulated depreciation</x:v>
      </x:c>
      <x:c r="E68" s="131" t="n">
        <x:v>-102514129349</x:v>
      </x:c>
      <x:c r="F68" s="131" t="n">
        <x:v>-115819291814</x:v>
      </x:c>
      <x:c r="G68" s="131" t="n">
        <x:v>-123816548069</x:v>
      </x:c>
      <x:c r="H68" s="131" t="n">
        <x:v>-130573490971</x:v>
      </x:c>
      <x:c r="I68" s="131" t="n">
        <x:v>-145152410896</x:v>
      </x:c>
      <x:c r="J68" s="89" t="str">
        <x:v>VND</x:v>
      </x:c>
      <x:c r="K68" s="89" t="str">
        <x:v>SRC-API01</x:v>
      </x:c>
      <x:c r="L68" s="98" t="str">
        <x:v>https://vnstocks.com/docs/vnstock/phan-tich-co-ban-fundamental</x:v>
      </x:c>
      <x:c r="M68" s="282" t="n">
        <x:v>46228.58256944444</x:v>
      </x:c>
    </x:row>
    <x:row r="69" ht="22" customHeight="1">
      <x:c r="A69" s="88" t="str">
        <x:v>balance_sheet</x:v>
      </x:c>
      <x:c r="B69" s="89" t="str">
        <x:v>construction_in_progress_before_2015</x:v>
      </x:c>
      <x:c r="C69" s="89" t="str">
        <x:v>Xây dựng cơ bản đang dang dở (trước 2015)</x:v>
      </x:c>
      <x:c r="D69" s="89" t="str">
        <x:v>Construction in progress (before 2015)</x:v>
      </x:c>
      <x:c r="E69" s="131" t="n">
        <x:v>0</x:v>
      </x:c>
      <x:c r="F69" s="131" t="n">
        <x:v>0</x:v>
      </x:c>
      <x:c r="G69" s="131" t="n">
        <x:v>0</x:v>
      </x:c>
      <x:c r="H69" s="131" t="n">
        <x:v>0</x:v>
      </x:c>
      <x:c r="I69" s="131" t="n">
        <x:v>0</x:v>
      </x:c>
      <x:c r="J69" s="89" t="str">
        <x:v>VND</x:v>
      </x:c>
      <x:c r="K69" s="89" t="str">
        <x:v>SRC-API01</x:v>
      </x:c>
      <x:c r="L69" s="98" t="str">
        <x:v>https://vnstocks.com/docs/vnstock/phan-tich-co-ban-fundamental</x:v>
      </x:c>
      <x:c r="M69" s="282" t="n">
        <x:v>46228.58256944444</x:v>
      </x:c>
    </x:row>
    <x:row r="70" ht="22" customHeight="1">
      <x:c r="A70" s="88" t="str">
        <x:v>balance_sheet</x:v>
      </x:c>
      <x:c r="B70" s="89" t="str">
        <x:v>investment_properties</x:v>
      </x:c>
      <x:c r="C70" s="89" t="str">
        <x:v>Giá trị ròng tài sản đầu tư</x:v>
      </x:c>
      <x:c r="D70" s="89" t="str">
        <x:v>Investment properties</x:v>
      </x:c>
      <x:c r="E70" s="131" t="n">
        <x:v>0</x:v>
      </x:c>
      <x:c r="F70" s="131" t="n">
        <x:v>0</x:v>
      </x:c>
      <x:c r="G70" s="131" t="n">
        <x:v>0</x:v>
      </x:c>
      <x:c r="H70" s="131" t="n">
        <x:v>0</x:v>
      </x:c>
      <x:c r="I70" s="131" t="n">
        <x:v>0</x:v>
      </x:c>
      <x:c r="J70" s="89" t="str">
        <x:v>VND</x:v>
      </x:c>
      <x:c r="K70" s="89" t="str">
        <x:v>SRC-API01</x:v>
      </x:c>
      <x:c r="L70" s="98" t="str">
        <x:v>https://vnstocks.com/docs/vnstock/phan-tich-co-ban-fundamental</x:v>
      </x:c>
      <x:c r="M70" s="282" t="n">
        <x:v>46228.58256944444</x:v>
      </x:c>
    </x:row>
    <x:row r="71" ht="22" customHeight="1">
      <x:c r="A71" s="88" t="str">
        <x:v>balance_sheet</x:v>
      </x:c>
      <x:c r="B71" s="89" t="str">
        <x:v>cost</x:v>
      </x:c>
      <x:c r="C71" s="89" t="str">
        <x:v>Nguyên giá tài sản đầu tư</x:v>
      </x:c>
      <x:c r="D71" s="89" t="str">
        <x:v>Cost</x:v>
      </x:c>
      <x:c r="E71" s="131" t="n">
        <x:v>0</x:v>
      </x:c>
      <x:c r="F71" s="131" t="n">
        <x:v>0</x:v>
      </x:c>
      <x:c r="G71" s="131" t="n">
        <x:v>0</x:v>
      </x:c>
      <x:c r="H71" s="131" t="n">
        <x:v>0</x:v>
      </x:c>
      <x:c r="I71" s="131" t="n">
        <x:v>0</x:v>
      </x:c>
      <x:c r="J71" s="89" t="str">
        <x:v>VND</x:v>
      </x:c>
      <x:c r="K71" s="89" t="str">
        <x:v>SRC-API01</x:v>
      </x:c>
      <x:c r="L71" s="98" t="str">
        <x:v>https://vnstocks.com/docs/vnstock/phan-tich-co-ban-fundamental</x:v>
      </x:c>
      <x:c r="M71" s="282" t="n">
        <x:v>46228.58256944444</x:v>
      </x:c>
    </x:row>
    <x:row r="72" ht="22" customHeight="1">
      <x:c r="A72" s="88" t="str">
        <x:v>balance_sheet</x:v>
      </x:c>
      <x:c r="B72" s="89" t="str">
        <x:v>accumulated_depreciation</x:v>
      </x:c>
      <x:c r="C72" s="89" t="str">
        <x:v>Khấu hao lũy kế tài sản đầu tư</x:v>
      </x:c>
      <x:c r="D72" s="89" t="str">
        <x:v>Accumulated depreciation</x:v>
      </x:c>
      <x:c r="E72" s="131" t="n">
        <x:v>0</x:v>
      </x:c>
      <x:c r="F72" s="131" t="n">
        <x:v>0</x:v>
      </x:c>
      <x:c r="G72" s="131" t="n">
        <x:v>0</x:v>
      </x:c>
      <x:c r="H72" s="131" t="n">
        <x:v>0</x:v>
      </x:c>
      <x:c r="I72" s="131" t="n">
        <x:v>0</x:v>
      </x:c>
      <x:c r="J72" s="89" t="str">
        <x:v>VND</x:v>
      </x:c>
      <x:c r="K72" s="89" t="str">
        <x:v>SRC-API01</x:v>
      </x:c>
      <x:c r="L72" s="98" t="str">
        <x:v>https://vnstocks.com/docs/vnstock/phan-tich-co-ban-fundamental</x:v>
      </x:c>
      <x:c r="M72" s="282" t="n">
        <x:v>46228.58256944444</x:v>
      </x:c>
    </x:row>
    <x:row r="73" ht="22" customHeight="1">
      <x:c r="A73" s="88" t="str">
        <x:v>balance_sheet</x:v>
      </x:c>
      <x:c r="B73" s="89" t="str">
        <x:v>long_term_investments</x:v>
      </x:c>
      <x:c r="C73" s="89" t="str">
        <x:v>Đầu tư dài hạn</x:v>
      </x:c>
      <x:c r="D73" s="89" t="str">
        <x:v>Long-term investments</x:v>
      </x:c>
      <x:c r="E73" s="131" t="n">
        <x:v>2830079468766</x:v>
      </x:c>
      <x:c r="F73" s="131" t="n">
        <x:v>3065414642104</x:v>
      </x:c>
      <x:c r="G73" s="131" t="n">
        <x:v>3124650970762</x:v>
      </x:c>
      <x:c r="H73" s="131" t="n">
        <x:v>3854379152187</x:v>
      </x:c>
      <x:c r="I73" s="131" t="n">
        <x:v>4867354146720</x:v>
      </x:c>
      <x:c r="J73" s="89" t="str">
        <x:v>VND</x:v>
      </x:c>
      <x:c r="K73" s="89" t="str">
        <x:v>SRC-API01</x:v>
      </x:c>
      <x:c r="L73" s="98" t="str">
        <x:v>https://vnstocks.com/docs/vnstock/phan-tich-co-ban-fundamental</x:v>
      </x:c>
      <x:c r="M73" s="282" t="n">
        <x:v>46228.58256944444</x:v>
      </x:c>
    </x:row>
    <x:row r="74" ht="22" customHeight="1">
      <x:c r="A74" s="88" t="str">
        <x:v>balance_sheet</x:v>
      </x:c>
      <x:c r="B74" s="89" t="str">
        <x:v>investments_in_subsidiaries</x:v>
      </x:c>
      <x:c r="C74" s="89" t="str">
        <x:v>Đầu tư vào các công ty con</x:v>
      </x:c>
      <x:c r="D74" s="89" t="str">
        <x:v>Investments in subsidiaries</x:v>
      </x:c>
      <x:c r="E74" s="131" t="n">
        <x:v>0</x:v>
      </x:c>
      <x:c r="F74" s="131" t="n">
        <x:v>0</x:v>
      </x:c>
      <x:c r="G74" s="131" t="n">
        <x:v>0</x:v>
      </x:c>
      <x:c r="H74" s="131" t="n">
        <x:v>0</x:v>
      </x:c>
      <x:c r="I74" s="131" t="n">
        <x:v>0</x:v>
      </x:c>
      <x:c r="J74" s="89" t="str">
        <x:v>VND</x:v>
      </x:c>
      <x:c r="K74" s="89" t="str">
        <x:v>SRC-API01</x:v>
      </x:c>
      <x:c r="L74" s="98" t="str">
        <x:v>https://vnstocks.com/docs/vnstock/phan-tich-co-ban-fundamental</x:v>
      </x:c>
      <x:c r="M74" s="282" t="n">
        <x:v>46228.58256944444</x:v>
      </x:c>
    </x:row>
    <x:row r="75" ht="22" customHeight="1">
      <x:c r="A75" s="88" t="str">
        <x:v>balance_sheet</x:v>
      </x:c>
      <x:c r="B75" s="89" t="str">
        <x:v>investments_in_associates</x:v>
      </x:c>
      <x:c r="C75" s="89" t="str">
        <x:v>Đầu tư vào các công ty liên kết</x:v>
      </x:c>
      <x:c r="D75" s="89" t="str">
        <x:v>Investments in associates</x:v>
      </x:c>
      <x:c r="E75" s="131" t="n">
        <x:v>2791754446590</x:v>
      </x:c>
      <x:c r="F75" s="131" t="n">
        <x:v>3025947265961</x:v>
      </x:c>
      <x:c r="G75" s="131" t="n">
        <x:v>3085037407601</x:v>
      </x:c>
      <x:c r="H75" s="131" t="n">
        <x:v>3805207996433</x:v>
      </x:c>
      <x:c r="I75" s="131" t="n">
        <x:v>4828102997796</x:v>
      </x:c>
      <x:c r="J75" s="89" t="str">
        <x:v>VND</x:v>
      </x:c>
      <x:c r="K75" s="89" t="str">
        <x:v>SRC-API01</x:v>
      </x:c>
      <x:c r="L75" s="98" t="str">
        <x:v>https://vnstocks.com/docs/vnstock/phan-tich-co-ban-fundamental</x:v>
      </x:c>
      <x:c r="M75" s="282" t="n">
        <x:v>46228.58256944444</x:v>
      </x:c>
    </x:row>
    <x:row r="76" ht="22" customHeight="1">
      <x:c r="A76" s="88" t="str">
        <x:v>balance_sheet</x:v>
      </x:c>
      <x:c r="B76" s="89" t="str">
        <x:v>other_long_term_investments</x:v>
      </x:c>
      <x:c r="C76" s="89" t="str">
        <x:v>Đầu tư dài hạn khác</x:v>
      </x:c>
      <x:c r="D76" s="89" t="str">
        <x:v>Other long-term investments</x:v>
      </x:c>
      <x:c r="E76" s="131" t="n">
        <x:v>41021599762</x:v>
      </x:c>
      <x:c r="F76" s="131" t="n">
        <x:v>41021599762</x:v>
      </x:c>
      <x:c r="G76" s="131" t="n">
        <x:v>41914287262</x:v>
      </x:c>
      <x:c r="H76" s="131" t="n">
        <x:v>41913687500</x:v>
      </x:c>
      <x:c r="I76" s="131" t="n">
        <x:v>41913687500</x:v>
      </x:c>
      <x:c r="J76" s="89" t="str">
        <x:v>VND</x:v>
      </x:c>
      <x:c r="K76" s="89" t="str">
        <x:v>SRC-API01</x:v>
      </x:c>
      <x:c r="L76" s="98" t="str">
        <x:v>https://vnstocks.com/docs/vnstock/phan-tich-co-ban-fundamental</x:v>
      </x:c>
      <x:c r="M76" s="282" t="n">
        <x:v>46228.58256944444</x:v>
      </x:c>
    </x:row>
    <x:row r="77" ht="22" customHeight="1">
      <x:c r="A77" s="88" t="str">
        <x:v>balance_sheet</x:v>
      </x:c>
      <x:c r="B77" s="89" t="str">
        <x:v>provision_for_long_term_investments</x:v>
      </x:c>
      <x:c r="C77" s="89" t="str">
        <x:v>Dự phòng giảm giá đầu tư dài hạn</x:v>
      </x:c>
      <x:c r="D77" s="89" t="str">
        <x:v>Provision for long-term investments</x:v>
      </x:c>
      <x:c r="E77" s="131" t="n">
        <x:v>-2696577586</x:v>
      </x:c>
      <x:c r="F77" s="131" t="n">
        <x:v>-1554223619</x:v>
      </x:c>
      <x:c r="G77" s="131" t="n">
        <x:v>-2300724101</x:v>
      </x:c>
      <x:c r="H77" s="131" t="n">
        <x:v>-2742531746</x:v>
      </x:c>
      <x:c r="I77" s="131" t="n">
        <x:v>-2662538576</x:v>
      </x:c>
      <x:c r="J77" s="89" t="str">
        <x:v>VND</x:v>
      </x:c>
      <x:c r="K77" s="89" t="str">
        <x:v>SRC-API01</x:v>
      </x:c>
      <x:c r="L77" s="98" t="str">
        <x:v>https://vnstocks.com/docs/vnstock/phan-tich-co-ban-fundamental</x:v>
      </x:c>
      <x:c r="M77" s="282" t="n">
        <x:v>46228.58256944444</x:v>
      </x:c>
    </x:row>
    <x:row r="78" ht="22" customHeight="1">
      <x:c r="A78" s="88" t="str">
        <x:v>balance_sheet</x:v>
      </x:c>
      <x:c r="B78" s="89" t="str">
        <x:v>goodwill_before_2015</x:v>
      </x:c>
      <x:c r="C78" s="89" t="str">
        <x:v>Lợi thế thương mại (trước 2015)</x:v>
      </x:c>
      <x:c r="D78" s="89" t="str">
        <x:v>Goodwill (before 2015)</x:v>
      </x:c>
      <x:c r="E78" s="131" t="n">
        <x:v>0</x:v>
      </x:c>
      <x:c r="F78" s="131" t="n">
        <x:v>0</x:v>
      </x:c>
      <x:c r="G78" s="131" t="n">
        <x:v>0</x:v>
      </x:c>
      <x:c r="H78" s="131" t="n">
        <x:v>0</x:v>
      </x:c>
      <x:c r="I78" s="131" t="n">
        <x:v>0</x:v>
      </x:c>
      <x:c r="J78" s="89" t="str">
        <x:v>VND</x:v>
      </x:c>
      <x:c r="K78" s="89" t="str">
        <x:v>SRC-API01</x:v>
      </x:c>
      <x:c r="L78" s="98" t="str">
        <x:v>https://vnstocks.com/docs/vnstock/phan-tich-co-ban-fundamental</x:v>
      </x:c>
      <x:c r="M78" s="282" t="n">
        <x:v>46228.58256944444</x:v>
      </x:c>
    </x:row>
    <x:row r="79" ht="22" customHeight="1">
      <x:c r="A79" s="88" t="str">
        <x:v>balance_sheet</x:v>
      </x:c>
      <x:c r="B79" s="89" t="str">
        <x:v>other_long_term_assets</x:v>
      </x:c>
      <x:c r="C79" s="89" t="str">
        <x:v>Tài sản dài hạn khác</x:v>
      </x:c>
      <x:c r="D79" s="89" t="str">
        <x:v>Other long-term assets</x:v>
      </x:c>
      <x:c r="E79" s="131" t="n">
        <x:v>1275188845217</x:v>
      </x:c>
      <x:c r="F79" s="131" t="n">
        <x:v>1249463624667</x:v>
      </x:c>
      <x:c r="G79" s="131" t="n">
        <x:v>1076047183844</x:v>
      </x:c>
      <x:c r="H79" s="131" t="n">
        <x:v>1673939611589</x:v>
      </x:c>
      <x:c r="I79" s="131" t="n">
        <x:v>1851899227133</x:v>
      </x:c>
      <x:c r="J79" s="89" t="str">
        <x:v>VND</x:v>
      </x:c>
      <x:c r="K79" s="89" t="str">
        <x:v>SRC-API01</x:v>
      </x:c>
      <x:c r="L79" s="98" t="str">
        <x:v>https://vnstocks.com/docs/vnstock/phan-tich-co-ban-fundamental</x:v>
      </x:c>
      <x:c r="M79" s="282" t="n">
        <x:v>46228.58256944444</x:v>
      </x:c>
    </x:row>
    <x:row r="80" ht="22" customHeight="1">
      <x:c r="A80" s="88" t="str">
        <x:v>balance_sheet</x:v>
      </x:c>
      <x:c r="B80" s="89" t="str">
        <x:v>long_term_prepayments</x:v>
      </x:c>
      <x:c r="C80" s="89" t="str">
        <x:v>Trả trước dài hạn</x:v>
      </x:c>
      <x:c r="D80" s="89" t="str">
        <x:v>Long-term prepayments</x:v>
      </x:c>
      <x:c r="E80" s="131" t="n">
        <x:v>928738640013</x:v>
      </x:c>
      <x:c r="F80" s="131" t="n">
        <x:v>911842875259</x:v>
      </x:c>
      <x:c r="G80" s="131" t="n">
        <x:v>732373580412</x:v>
      </x:c>
      <x:c r="H80" s="131" t="n">
        <x:v>1296472457506</x:v>
      </x:c>
      <x:c r="I80" s="131" t="n">
        <x:v>1361363395288</x:v>
      </x:c>
      <x:c r="J80" s="89" t="str">
        <x:v>VND</x:v>
      </x:c>
      <x:c r="K80" s="89" t="str">
        <x:v>SRC-API01</x:v>
      </x:c>
      <x:c r="L80" s="98" t="str">
        <x:v>https://vnstocks.com/docs/vnstock/phan-tich-co-ban-fundamental</x:v>
      </x:c>
      <x:c r="M80" s="282" t="n">
        <x:v>46228.58256944444</x:v>
      </x:c>
    </x:row>
    <x:row r="81" ht="22" customHeight="1">
      <x:c r="A81" s="88" t="str">
        <x:v>balance_sheet</x:v>
      </x:c>
      <x:c r="B81" s="89" t="str">
        <x:v>deferred_income_tax_assets</x:v>
      </x:c>
      <x:c r="C81" s="89" t="str">
        <x:v>Thuế thu nhập hoãn lại</x:v>
      </x:c>
      <x:c r="D81" s="89" t="str">
        <x:v>Deferred income tax assets</x:v>
      </x:c>
      <x:c r="E81" s="131" t="n">
        <x:v>132522325253</x:v>
      </x:c>
      <x:c r="F81" s="131" t="n">
        <x:v>151296466870</x:v>
      </x:c>
      <x:c r="G81" s="131" t="n">
        <x:v>184952918307</x:v>
      </x:c>
      <x:c r="H81" s="131" t="n">
        <x:v>246350066371</x:v>
      </x:c>
      <x:c r="I81" s="131" t="n">
        <x:v>357211942796</x:v>
      </x:c>
      <x:c r="J81" s="89" t="str">
        <x:v>VND</x:v>
      </x:c>
      <x:c r="K81" s="89" t="str">
        <x:v>SRC-API01</x:v>
      </x:c>
      <x:c r="L81" s="98" t="str">
        <x:v>https://vnstocks.com/docs/vnstock/phan-tich-co-ban-fundamental</x:v>
      </x:c>
      <x:c r="M81" s="282" t="n">
        <x:v>46228.58256944444</x:v>
      </x:c>
    </x:row>
    <x:row r="82" ht="22" customHeight="1">
      <x:c r="A82" s="88" t="str">
        <x:v>balance_sheet</x:v>
      </x:c>
      <x:c r="B82" s="89" t="str">
        <x:v>other_long_term_assets</x:v>
      </x:c>
      <x:c r="C82" s="89" t="str">
        <x:v>Các tài sản dài hạn khác</x:v>
      </x:c>
      <x:c r="D82" s="89" t="str">
        <x:v>Other long-term assets</x:v>
      </x:c>
      <x:c r="E82" s="131" t="n">
        <x:v>0</x:v>
      </x:c>
      <x:c r="F82" s="131" t="n">
        <x:v>0</x:v>
      </x:c>
      <x:c r="G82" s="131" t="n">
        <x:v>0</x:v>
      </x:c>
      <x:c r="H82" s="131" t="n">
        <x:v>0</x:v>
      </x:c>
      <x:c r="I82" s="131" t="n">
        <x:v>0</x:v>
      </x:c>
      <x:c r="J82" s="89" t="str">
        <x:v>VND</x:v>
      </x:c>
      <x:c r="K82" s="89" t="str">
        <x:v>SRC-API01</x:v>
      </x:c>
      <x:c r="L82" s="98" t="str">
        <x:v>https://vnstocks.com/docs/vnstock/phan-tich-co-ban-fundamental</x:v>
      </x:c>
      <x:c r="M82" s="282" t="n">
        <x:v>46228.58256944444</x:v>
      </x:c>
    </x:row>
    <x:row r="83" ht="22" customHeight="1">
      <x:c r="A83" s="88" t="str">
        <x:v>balance_sheet</x:v>
      </x:c>
      <x:c r="B83" s="89" t="str">
        <x:v>total_assets</x:v>
      </x:c>
      <x:c r="C83" s="89" t="str">
        <x:v>TỔNG CỘNG TÀI SẢN</x:v>
      </x:c>
      <x:c r="D83" s="89" t="str">
        <x:v>Total Assets</x:v>
      </x:c>
      <x:c r="E83" s="131" t="n">
        <x:v>10731211063284</x:v>
      </x:c>
      <x:c r="F83" s="131" t="n">
        <x:v>13030653009572</x:v>
      </x:c>
      <x:c r="G83" s="131" t="n">
        <x:v>13546025168428</x:v>
      </x:c>
      <x:c r="H83" s="131" t="n">
        <x:v>17997853312717</x:v>
      </x:c>
      <x:c r="I83" s="131" t="n">
        <x:v>19826401375577</x:v>
      </x:c>
      <x:c r="J83" s="89" t="str">
        <x:v>VND</x:v>
      </x:c>
      <x:c r="K83" s="89" t="str">
        <x:v>SRC-API01</x:v>
      </x:c>
      <x:c r="L83" s="98" t="str">
        <x:v>https://vnstocks.com/docs/vnstock/phan-tich-co-ban-fundamental</x:v>
      </x:c>
      <x:c r="M83" s="282" t="n">
        <x:v>46228.58256944444</x:v>
      </x:c>
    </x:row>
    <x:row r="84" ht="22" customHeight="1">
      <x:c r="A84" s="88" t="str">
        <x:v>balance_sheet</x:v>
      </x:c>
      <x:c r="B84" s="89" t="str">
        <x:v>liabilities</x:v>
      </x:c>
      <x:c r="C84" s="89" t="str">
        <x:v>NỢ PHẢI TRẢ</x:v>
      </x:c>
      <x:c r="D84" s="89" t="str">
        <x:v>Liabilities</x:v>
      </x:c>
      <x:c r="E84" s="131" t="n">
        <x:v>3686592691375</x:v>
      </x:c>
      <x:c r="F84" s="131" t="n">
        <x:v>5082896989616</x:v>
      </x:c>
      <x:c r="G84" s="131" t="n">
        <x:v>3813651116409</x:v>
      </x:c>
      <x:c r="H84" s="131" t="n">
        <x:v>4225927310161</x:v>
      </x:c>
      <x:c r="I84" s="131" t="n">
        <x:v>4908147222414</x:v>
      </x:c>
      <x:c r="J84" s="89" t="str">
        <x:v>VND</x:v>
      </x:c>
      <x:c r="K84" s="89" t="str">
        <x:v>SRC-API01</x:v>
      </x:c>
      <x:c r="L84" s="98" t="str">
        <x:v>https://vnstocks.com/docs/vnstock/phan-tich-co-ban-fundamental</x:v>
      </x:c>
      <x:c r="M84" s="282" t="n">
        <x:v>46228.58256944444</x:v>
      </x:c>
    </x:row>
    <x:row r="85" ht="22" customHeight="1">
      <x:c r="A85" s="88" t="str">
        <x:v>balance_sheet</x:v>
      </x:c>
      <x:c r="B85" s="89" t="str">
        <x:v>current_liabilities</x:v>
      </x:c>
      <x:c r="C85" s="89" t="str">
        <x:v>Nợ ngắn hạn</x:v>
      </x:c>
      <x:c r="D85" s="89" t="str">
        <x:v>Current liabilities</x:v>
      </x:c>
      <x:c r="E85" s="131" t="n">
        <x:v>2262720710817</x:v>
      </x:c>
      <x:c r="F85" s="131" t="n">
        <x:v>3210578779512</x:v>
      </x:c>
      <x:c r="G85" s="131" t="n">
        <x:v>1915337161256</x:v>
      </x:c>
      <x:c r="H85" s="131" t="n">
        <x:v>2100758451703</x:v>
      </x:c>
      <x:c r="I85" s="131" t="n">
        <x:v>2342521762972</x:v>
      </x:c>
      <x:c r="J85" s="89" t="str">
        <x:v>VND</x:v>
      </x:c>
      <x:c r="K85" s="89" t="str">
        <x:v>SRC-API01</x:v>
      </x:c>
      <x:c r="L85" s="98" t="str">
        <x:v>https://vnstocks.com/docs/vnstock/phan-tich-co-ban-fundamental</x:v>
      </x:c>
      <x:c r="M85" s="282" t="n">
        <x:v>46228.58256944444</x:v>
      </x:c>
    </x:row>
    <x:row r="86" ht="22" customHeight="1">
      <x:c r="A86" s="88" t="str">
        <x:v>balance_sheet</x:v>
      </x:c>
      <x:c r="B86" s="89" t="str">
        <x:v>short_term_borrowings</x:v>
      </x:c>
      <x:c r="C86" s="89" t="str">
        <x:v>Vay ngắn hạn</x:v>
      </x:c>
      <x:c r="D86" s="89" t="str">
        <x:v>Short-term borrowings</x:v>
      </x:c>
      <x:c r="E86" s="131" t="n">
        <x:v>860465960439</x:v>
      </x:c>
      <x:c r="F86" s="131" t="n">
        <x:v>543415455601</x:v>
      </x:c>
      <x:c r="G86" s="131" t="n">
        <x:v>445359774088</x:v>
      </x:c>
      <x:c r="H86" s="131" t="n">
        <x:v>422039710314</x:v>
      </x:c>
      <x:c r="I86" s="131" t="n">
        <x:v>307522460143</x:v>
      </x:c>
      <x:c r="J86" s="89" t="str">
        <x:v>VND</x:v>
      </x:c>
      <x:c r="K86" s="89" t="str">
        <x:v>SRC-API01</x:v>
      </x:c>
      <x:c r="L86" s="98" t="str">
        <x:v>https://vnstocks.com/docs/vnstock/phan-tich-co-ban-fundamental</x:v>
      </x:c>
      <x:c r="M86" s="282" t="n">
        <x:v>46228.58256944444</x:v>
      </x:c>
    </x:row>
    <x:row r="87" ht="22" customHeight="1">
      <x:c r="A87" s="88" t="str">
        <x:v>balance_sheet</x:v>
      </x:c>
      <x:c r="B87" s="89" t="str">
        <x:v>trade_accounts_payable</x:v>
      </x:c>
      <x:c r="C87" s="89" t="str">
        <x:v>Phải trả người bán</x:v>
      </x:c>
      <x:c r="D87" s="89" t="str">
        <x:v>Trade accounts payable</x:v>
      </x:c>
      <x:c r="E87" s="131" t="n">
        <x:v>380602578508</x:v>
      </x:c>
      <x:c r="F87" s="131" t="n">
        <x:v>838451012006</x:v>
      </x:c>
      <x:c r="G87" s="131" t="n">
        <x:v>517923905276</x:v>
      </x:c>
      <x:c r="H87" s="131" t="n">
        <x:v>486687090476</x:v>
      </x:c>
      <x:c r="I87" s="131" t="n">
        <x:v>686187347040</x:v>
      </x:c>
      <x:c r="J87" s="89" t="str">
        <x:v>VND</x:v>
      </x:c>
      <x:c r="K87" s="89" t="str">
        <x:v>SRC-API01</x:v>
      </x:c>
      <x:c r="L87" s="98" t="str">
        <x:v>https://vnstocks.com/docs/vnstock/phan-tich-co-ban-fundamental</x:v>
      </x:c>
      <x:c r="M87" s="282" t="n">
        <x:v>46228.58256944444</x:v>
      </x:c>
    </x:row>
    <x:row r="88" ht="22" customHeight="1">
      <x:c r="A88" s="88" t="str">
        <x:v>balance_sheet</x:v>
      </x:c>
      <x:c r="B88" s="89" t="str">
        <x:v>advances_from_customers</x:v>
      </x:c>
      <x:c r="C88" s="89" t="str">
        <x:v>Người mua trả tiền trước</x:v>
      </x:c>
      <x:c r="D88" s="89" t="str">
        <x:v>Advances from customers</x:v>
      </x:c>
      <x:c r="E88" s="131" t="n">
        <x:v>3225949982</x:v>
      </x:c>
      <x:c r="F88" s="131" t="n">
        <x:v>850107706</x:v>
      </x:c>
      <x:c r="G88" s="131" t="n">
        <x:v>3633365459</x:v>
      </x:c>
      <x:c r="H88" s="131" t="n">
        <x:v>7623946501</x:v>
      </x:c>
      <x:c r="I88" s="131" t="n">
        <x:v>9842248827</x:v>
      </x:c>
      <x:c r="J88" s="89" t="str">
        <x:v>VND</x:v>
      </x:c>
      <x:c r="K88" s="89" t="str">
        <x:v>SRC-API01</x:v>
      </x:c>
      <x:c r="L88" s="98" t="str">
        <x:v>https://vnstocks.com/docs/vnstock/phan-tich-co-ban-fundamental</x:v>
      </x:c>
      <x:c r="M88" s="282" t="n">
        <x:v>46228.58256944444</x:v>
      </x:c>
    </x:row>
    <x:row r="89" ht="22" customHeight="1">
      <x:c r="A89" s="88" t="str">
        <x:v>balance_sheet</x:v>
      </x:c>
      <x:c r="B89" s="89" t="str">
        <x:v>taxes_and_other_payable_to_state_budget</x:v>
      </x:c>
      <x:c r="C89" s="89" t="str">
        <x:v>Thuế và các khoản phải trả Nhà nước</x:v>
      </x:c>
      <x:c r="D89" s="89" t="str">
        <x:v>Taxes and other payable to State Budget</x:v>
      </x:c>
      <x:c r="E89" s="131" t="n">
        <x:v>26969535358</x:v>
      </x:c>
      <x:c r="F89" s="131" t="n">
        <x:v>90367384854</x:v>
      </x:c>
      <x:c r="G89" s="131" t="n">
        <x:v>73690792494</x:v>
      </x:c>
      <x:c r="H89" s="131" t="n">
        <x:v>66884521512</x:v>
      </x:c>
      <x:c r="I89" s="131" t="n">
        <x:v>160122507614</x:v>
      </x:c>
      <x:c r="J89" s="89" t="str">
        <x:v>VND</x:v>
      </x:c>
      <x:c r="K89" s="89" t="str">
        <x:v>SRC-API01</x:v>
      </x:c>
      <x:c r="L89" s="98" t="str">
        <x:v>https://vnstocks.com/docs/vnstock/phan-tich-co-ban-fundamental</x:v>
      </x:c>
      <x:c r="M89" s="282" t="n">
        <x:v>46228.58256944444</x:v>
      </x:c>
    </x:row>
    <x:row r="90" ht="22" customHeight="1">
      <x:c r="A90" s="88" t="str">
        <x:v>balance_sheet</x:v>
      </x:c>
      <x:c r="B90" s="89" t="str">
        <x:v>payable_to_employees</x:v>
      </x:c>
      <x:c r="C90" s="89" t="str">
        <x:v>Phải trả người lao động</x:v>
      </x:c>
      <x:c r="D90" s="89" t="str">
        <x:v>Payable to employees</x:v>
      </x:c>
      <x:c r="E90" s="131" t="n">
        <x:v>64454457848</x:v>
      </x:c>
      <x:c r="F90" s="131" t="n">
        <x:v>103770676029</x:v>
      </x:c>
      <x:c r="G90" s="131" t="n">
        <x:v>139907411400</x:v>
      </x:c>
      <x:c r="H90" s="131" t="n">
        <x:v>191939767748</x:v>
      </x:c>
      <x:c r="I90" s="131" t="n">
        <x:v>220540081914</x:v>
      </x:c>
      <x:c r="J90" s="89" t="str">
        <x:v>VND</x:v>
      </x:c>
      <x:c r="K90" s="89" t="str">
        <x:v>SRC-API01</x:v>
      </x:c>
      <x:c r="L90" s="98" t="str">
        <x:v>https://vnstocks.com/docs/vnstock/phan-tich-co-ban-fundamental</x:v>
      </x:c>
      <x:c r="M90" s="282" t="n">
        <x:v>46228.58256944444</x:v>
      </x:c>
    </x:row>
    <x:row r="91" ht="22" customHeight="1">
      <x:c r="A91" s="88" t="str">
        <x:v>balance_sheet</x:v>
      </x:c>
      <x:c r="B91" s="89" t="str">
        <x:v>accrued_expenses</x:v>
      </x:c>
      <x:c r="C91" s="89" t="str">
        <x:v>Chi phí phải trả</x:v>
      </x:c>
      <x:c r="D91" s="89" t="str">
        <x:v>Accrued expenses</x:v>
      </x:c>
      <x:c r="E91" s="131" t="n">
        <x:v>451189725415</x:v>
      </x:c>
      <x:c r="F91" s="131" t="n">
        <x:v>194384229842</x:v>
      </x:c>
      <x:c r="G91" s="131" t="n">
        <x:v>318155045124</x:v>
      </x:c>
      <x:c r="H91" s="131" t="n">
        <x:v>230198605012</x:v>
      </x:c>
      <x:c r="I91" s="131" t="n">
        <x:v>375331544065</x:v>
      </x:c>
      <x:c r="J91" s="89" t="str">
        <x:v>VND</x:v>
      </x:c>
      <x:c r="K91" s="89" t="str">
        <x:v>SRC-API01</x:v>
      </x:c>
      <x:c r="L91" s="98" t="str">
        <x:v>https://vnstocks.com/docs/vnstock/phan-tich-co-ban-fundamental</x:v>
      </x:c>
      <x:c r="M91" s="282" t="n">
        <x:v>46228.58256944444</x:v>
      </x:c>
    </x:row>
    <x:row r="92" ht="22" customHeight="1">
      <x:c r="A92" s="88" t="str">
        <x:v>balance_sheet</x:v>
      </x:c>
      <x:c r="B92" s="89" t="str">
        <x:v>intercompany_payables</x:v>
      </x:c>
      <x:c r="C92" s="89" t="str">
        <x:v>Phải trả nội bộ</x:v>
      </x:c>
      <x:c r="D92" s="89" t="str">
        <x:v>Intercompany payables</x:v>
      </x:c>
      <x:c r="E92" s="131" t="n">
        <x:v>0</x:v>
      </x:c>
      <x:c r="F92" s="131" t="n">
        <x:v>0</x:v>
      </x:c>
      <x:c r="G92" s="131" t="n">
        <x:v>0</x:v>
      </x:c>
      <x:c r="H92" s="131" t="n">
        <x:v>0</x:v>
      </x:c>
      <x:c r="I92" s="131" t="n">
        <x:v>0</x:v>
      </x:c>
      <x:c r="J92" s="89" t="str">
        <x:v>VND</x:v>
      </x:c>
      <x:c r="K92" s="89" t="str">
        <x:v>SRC-API01</x:v>
      </x:c>
      <x:c r="L92" s="98" t="str">
        <x:v>https://vnstocks.com/docs/vnstock/phan-tich-co-ban-fundamental</x:v>
      </x:c>
      <x:c r="M92" s="282" t="n">
        <x:v>46228.58256944444</x:v>
      </x:c>
    </x:row>
    <x:row r="93" ht="22" customHeight="1">
      <x:c r="A93" s="88" t="str">
        <x:v>balance_sheet</x:v>
      </x:c>
      <x:c r="B93" s="89" t="str">
        <x:v>construction_contract_in_progress_payables</x:v>
      </x:c>
      <x:c r="C93" s="89" t="str">
        <x:v>Phải trả về xây dựng cơ bản</x:v>
      </x:c>
      <x:c r="D93" s="89" t="str">
        <x:v>Construction contract in progress payables</x:v>
      </x:c>
      <x:c r="E93" s="131" t="n">
        <x:v>0</x:v>
      </x:c>
      <x:c r="F93" s="131" t="n">
        <x:v>0</x:v>
      </x:c>
      <x:c r="G93" s="131" t="n">
        <x:v>0</x:v>
      </x:c>
      <x:c r="H93" s="131" t="n">
        <x:v>0</x:v>
      </x:c>
      <x:c r="I93" s="131" t="n">
        <x:v>0</x:v>
      </x:c>
      <x:c r="J93" s="89" t="str">
        <x:v>VND</x:v>
      </x:c>
      <x:c r="K93" s="89" t="str">
        <x:v>SRC-API01</x:v>
      </x:c>
      <x:c r="L93" s="98" t="str">
        <x:v>https://vnstocks.com/docs/vnstock/phan-tich-co-ban-fundamental</x:v>
      </x:c>
      <x:c r="M93" s="282" t="n">
        <x:v>46228.58256944444</x:v>
      </x:c>
    </x:row>
    <x:row r="94" ht="22" customHeight="1">
      <x:c r="A94" s="88" t="str">
        <x:v>balance_sheet</x:v>
      </x:c>
      <x:c r="B94" s="89" t="str">
        <x:v>other_payables</x:v>
      </x:c>
      <x:c r="C94" s="89" t="str">
        <x:v>Phải trả khác</x:v>
      </x:c>
      <x:c r="D94" s="89" t="str">
        <x:v>Other payables</x:v>
      </x:c>
      <x:c r="E94" s="131" t="n">
        <x:v>275828752674</x:v>
      </x:c>
      <x:c r="F94" s="131" t="n">
        <x:v>1271033316489</x:v>
      </x:c>
      <x:c r="G94" s="131" t="n">
        <x:v>306758506379</x:v>
      </x:c>
      <x:c r="H94" s="131" t="n">
        <x:v>481595911721</x:v>
      </x:c>
      <x:c r="I94" s="131" t="n">
        <x:v>330880457160</x:v>
      </x:c>
      <x:c r="J94" s="89" t="str">
        <x:v>VND</x:v>
      </x:c>
      <x:c r="K94" s="89" t="str">
        <x:v>SRC-API01</x:v>
      </x:c>
      <x:c r="L94" s="98" t="str">
        <x:v>https://vnstocks.com/docs/vnstock/phan-tich-co-ban-fundamental</x:v>
      </x:c>
      <x:c r="M94" s="282" t="n">
        <x:v>46228.58256944444</x:v>
      </x:c>
    </x:row>
    <x:row r="95" ht="22" customHeight="1">
      <x:c r="A95" s="88" t="str">
        <x:v>balance_sheet</x:v>
      </x:c>
      <x:c r="B95" s="89" t="str">
        <x:v>provision_for_st_liabilities</x:v>
      </x:c>
      <x:c r="C95" s="89" t="str">
        <x:v>Dự phòng các khoản phải trả ngắn hạn</x:v>
      </x:c>
      <x:c r="D95" s="89" t="str">
        <x:v>Provision for ST liabilities</x:v>
      </x:c>
      <x:c r="E95" s="131" t="n">
        <x:v>141615822845</x:v>
      </x:c>
      <x:c r="F95" s="131" t="n">
        <x:v>103805971767</x:v>
      </x:c>
      <x:c r="G95" s="131" t="n">
        <x:v>52001501539</x:v>
      </x:c>
      <x:c r="H95" s="131" t="n">
        <x:v>148305353998</x:v>
      </x:c>
      <x:c r="I95" s="131" t="n">
        <x:v>139362430397</x:v>
      </x:c>
      <x:c r="J95" s="89" t="str">
        <x:v>VND</x:v>
      </x:c>
      <x:c r="K95" s="89" t="str">
        <x:v>SRC-API01</x:v>
      </x:c>
      <x:c r="L95" s="98" t="str">
        <x:v>https://vnstocks.com/docs/vnstock/phan-tich-co-ban-fundamental</x:v>
      </x:c>
      <x:c r="M95" s="282" t="n">
        <x:v>46228.58256944444</x:v>
      </x:c>
    </x:row>
    <x:row r="96" ht="22" customHeight="1">
      <x:c r="A96" s="88" t="str">
        <x:v>balance_sheet</x:v>
      </x:c>
      <x:c r="B96" s="89" t="str">
        <x:v>bonus_and_welfare_funds</x:v>
      </x:c>
      <x:c r="C96" s="89" t="str">
        <x:v>Quỹ khen thưởng, phúc lợi</x:v>
      </x:c>
      <x:c r="D96" s="89" t="str">
        <x:v>Bonus and welfare funds</x:v>
      </x:c>
      <x:c r="E96" s="131" t="n">
        <x:v>57053572584</x:v>
      </x:c>
      <x:c r="F96" s="131" t="n">
        <x:v>63461530454</x:v>
      </x:c>
      <x:c r="G96" s="131" t="n">
        <x:v>49429256622</x:v>
      </x:c>
      <x:c r="H96" s="131" t="n">
        <x:v>64267468537</x:v>
      </x:c>
      <x:c r="I96" s="131" t="n">
        <x:v>104956718794</x:v>
      </x:c>
      <x:c r="J96" s="89" t="str">
        <x:v>VND</x:v>
      </x:c>
      <x:c r="K96" s="89" t="str">
        <x:v>SRC-API01</x:v>
      </x:c>
      <x:c r="L96" s="98" t="str">
        <x:v>https://vnstocks.com/docs/vnstock/phan-tich-co-ban-fundamental</x:v>
      </x:c>
      <x:c r="M96" s="282" t="n">
        <x:v>46228.58256944444</x:v>
      </x:c>
    </x:row>
    <x:row r="97" ht="22" customHeight="1">
      <x:c r="A97" s="88" t="str">
        <x:v>balance_sheet</x:v>
      </x:c>
      <x:c r="B97" s="89" t="str">
        <x:v>long_term_liabilities</x:v>
      </x:c>
      <x:c r="C97" s="89" t="str">
        <x:v>Nợ dài hạn</x:v>
      </x:c>
      <x:c r="D97" s="89" t="str">
        <x:v>Long-term liabilities</x:v>
      </x:c>
      <x:c r="E97" s="131" t="n">
        <x:v>1423871980558</x:v>
      </x:c>
      <x:c r="F97" s="131" t="n">
        <x:v>1872318210104</x:v>
      </x:c>
      <x:c r="G97" s="131" t="n">
        <x:v>1898313955153</x:v>
      </x:c>
      <x:c r="H97" s="131" t="n">
        <x:v>2125168858458</x:v>
      </x:c>
      <x:c r="I97" s="131" t="n">
        <x:v>2565625459442</x:v>
      </x:c>
      <x:c r="J97" s="89" t="str">
        <x:v>VND</x:v>
      </x:c>
      <x:c r="K97" s="89" t="str">
        <x:v>SRC-API01</x:v>
      </x:c>
      <x:c r="L97" s="98" t="str">
        <x:v>https://vnstocks.com/docs/vnstock/phan-tich-co-ban-fundamental</x:v>
      </x:c>
      <x:c r="M97" s="282" t="n">
        <x:v>46228.58256944444</x:v>
      </x:c>
    </x:row>
    <x:row r="98" ht="22" customHeight="1">
      <x:c r="A98" s="88" t="str">
        <x:v>balance_sheet</x:v>
      </x:c>
      <x:c r="B98" s="89" t="str">
        <x:v>long_term_trade_payables</x:v>
      </x:c>
      <x:c r="C98" s="89" t="str">
        <x:v>Phải trả nhà cung cấp dài hạn</x:v>
      </x:c>
      <x:c r="D98" s="89" t="str">
        <x:v>Long-term trade payables</x:v>
      </x:c>
      <x:c r="E98" s="131" t="n">
        <x:v>0</x:v>
      </x:c>
      <x:c r="F98" s="131" t="n">
        <x:v>0</x:v>
      </x:c>
      <x:c r="G98" s="131" t="n">
        <x:v>0</x:v>
      </x:c>
      <x:c r="H98" s="131" t="n">
        <x:v>0</x:v>
      </x:c>
      <x:c r="I98" s="131" t="n">
        <x:v>0</x:v>
      </x:c>
      <x:c r="J98" s="89" t="str">
        <x:v>VND</x:v>
      </x:c>
      <x:c r="K98" s="89" t="str">
        <x:v>SRC-API01</x:v>
      </x:c>
      <x:c r="L98" s="98" t="str">
        <x:v>https://vnstocks.com/docs/vnstock/phan-tich-co-ban-fundamental</x:v>
      </x:c>
      <x:c r="M98" s="282" t="n">
        <x:v>46228.58256944444</x:v>
      </x:c>
    </x:row>
    <x:row r="99" ht="22" customHeight="1">
      <x:c r="A99" s="88" t="str">
        <x:v>balance_sheet</x:v>
      </x:c>
      <x:c r="B99" s="89" t="str">
        <x:v>long_term_intercompany_payables</x:v>
      </x:c>
      <x:c r="C99" s="89" t="str">
        <x:v>Phải trả nội bộ dài hạn</x:v>
      </x:c>
      <x:c r="D99" s="89" t="str">
        <x:v>Long-term intercompany payables</x:v>
      </x:c>
      <x:c r="E99" s="131" t="n">
        <x:v>0</x:v>
      </x:c>
      <x:c r="F99" s="131" t="n">
        <x:v>0</x:v>
      </x:c>
      <x:c r="G99" s="131" t="n">
        <x:v>0</x:v>
      </x:c>
      <x:c r="H99" s="131" t="n">
        <x:v>0</x:v>
      </x:c>
      <x:c r="I99" s="131" t="n">
        <x:v>0</x:v>
      </x:c>
      <x:c r="J99" s="89" t="str">
        <x:v>VND</x:v>
      </x:c>
      <x:c r="K99" s="89" t="str">
        <x:v>SRC-API01</x:v>
      </x:c>
      <x:c r="L99" s="98" t="str">
        <x:v>https://vnstocks.com/docs/vnstock/phan-tich-co-ban-fundamental</x:v>
      </x:c>
      <x:c r="M99" s="282" t="n">
        <x:v>46228.58256944444</x:v>
      </x:c>
    </x:row>
    <x:row r="100" ht="22" customHeight="1">
      <x:c r="A100" s="88" t="str">
        <x:v>balance_sheet</x:v>
      </x:c>
      <x:c r="B100" s="89" t="str">
        <x:v>other_long_term_payables</x:v>
      </x:c>
      <x:c r="C100" s="89" t="str">
        <x:v>Phải trả dài hạn khác</x:v>
      </x:c>
      <x:c r="D100" s="89" t="str">
        <x:v>Other long-term payables</x:v>
      </x:c>
      <x:c r="E100" s="131" t="n">
        <x:v>86409739072</x:v>
      </x:c>
      <x:c r="F100" s="131" t="n">
        <x:v>95551626200</x:v>
      </x:c>
      <x:c r="G100" s="131" t="n">
        <x:v>104658652936</x:v>
      </x:c>
      <x:c r="H100" s="131" t="n">
        <x:v>115705220528</x:v>
      </x:c>
      <x:c r="I100" s="131" t="n">
        <x:v>231012177679</x:v>
      </x:c>
      <x:c r="J100" s="89" t="str">
        <x:v>VND</x:v>
      </x:c>
      <x:c r="K100" s="89" t="str">
        <x:v>SRC-API01</x:v>
      </x:c>
      <x:c r="L100" s="98" t="str">
        <x:v>https://vnstocks.com/docs/vnstock/phan-tich-co-ban-fundamental</x:v>
      </x:c>
      <x:c r="M100" s="282" t="n">
        <x:v>46228.58256944444</x:v>
      </x:c>
    </x:row>
    <x:row r="101" ht="22" customHeight="1">
      <x:c r="A101" s="88" t="str">
        <x:v>balance_sheet</x:v>
      </x:c>
      <x:c r="B101" s="89" t="str">
        <x:v>long_term_borrowings</x:v>
      </x:c>
      <x:c r="C101" s="89" t="str">
        <x:v>Vay dài hạn</x:v>
      </x:c>
      <x:c r="D101" s="89" t="str">
        <x:v>Long-term borrowings</x:v>
      </x:c>
      <x:c r="E101" s="131" t="n">
        <x:v>1061243655583</x:v>
      </x:c>
      <x:c r="F101" s="131" t="n">
        <x:v>1486163237413</x:v>
      </x:c>
      <x:c r="G101" s="131" t="n">
        <x:v>1518388232315</x:v>
      </x:c>
      <x:c r="H101" s="131" t="n">
        <x:v>1745343469594</x:v>
      </x:c>
      <x:c r="I101" s="131" t="n">
        <x:v>2081640014993</x:v>
      </x:c>
      <x:c r="J101" s="89" t="str">
        <x:v>VND</x:v>
      </x:c>
      <x:c r="K101" s="89" t="str">
        <x:v>SRC-API01</x:v>
      </x:c>
      <x:c r="L101" s="98" t="str">
        <x:v>https://vnstocks.com/docs/vnstock/phan-tich-co-ban-fundamental</x:v>
      </x:c>
      <x:c r="M101" s="282" t="n">
        <x:v>46228.58256944444</x:v>
      </x:c>
    </x:row>
    <x:row r="102" ht="22" customHeight="1">
      <x:c r="A102" s="88" t="str">
        <x:v>balance_sheet</x:v>
      </x:c>
      <x:c r="B102" s="89" t="str">
        <x:v>deferred_income_tax_liabilities</x:v>
      </x:c>
      <x:c r="C102" s="89" t="str">
        <x:v>Thuế thu nhập hoãn lại</x:v>
      </x:c>
      <x:c r="D102" s="89" t="str">
        <x:v>Deferred income tax liabilities</x:v>
      </x:c>
      <x:c r="E102" s="131" t="n">
        <x:v>0</x:v>
      </x:c>
      <x:c r="F102" s="131" t="n">
        <x:v>0</x:v>
      </x:c>
      <x:c r="G102" s="131" t="n">
        <x:v>0</x:v>
      </x:c>
      <x:c r="H102" s="131" t="n">
        <x:v>0</x:v>
      </x:c>
      <x:c r="I102" s="131" t="n">
        <x:v>0</x:v>
      </x:c>
      <x:c r="J102" s="89" t="str">
        <x:v>VND</x:v>
      </x:c>
      <x:c r="K102" s="89" t="str">
        <x:v>SRC-API01</x:v>
      </x:c>
      <x:c r="L102" s="98" t="str">
        <x:v>https://vnstocks.com/docs/vnstock/phan-tich-co-ban-fundamental</x:v>
      </x:c>
      <x:c r="M102" s="282" t="n">
        <x:v>46228.58256944444</x:v>
      </x:c>
    </x:row>
    <x:row r="103" ht="22" customHeight="1">
      <x:c r="A103" s="88" t="str">
        <x:v>balance_sheet</x:v>
      </x:c>
      <x:c r="B103" s="89" t="str">
        <x:v>provision_for_severance_allowances</x:v>
      </x:c>
      <x:c r="C103" s="89" t="str">
        <x:v>Dự phòng trợ cấp thôi việc</x:v>
      </x:c>
      <x:c r="D103" s="89" t="str">
        <x:v>Provision for severance allowances</x:v>
      </x:c>
      <x:c r="E103" s="131" t="n">
        <x:v>0</x:v>
      </x:c>
      <x:c r="F103" s="131" t="n">
        <x:v>0</x:v>
      </x:c>
      <x:c r="G103" s="131" t="n">
        <x:v>0</x:v>
      </x:c>
      <x:c r="H103" s="131" t="n">
        <x:v>0</x:v>
      </x:c>
      <x:c r="I103" s="131" t="n">
        <x:v>0</x:v>
      </x:c>
      <x:c r="J103" s="89" t="str">
        <x:v>VND</x:v>
      </x:c>
      <x:c r="K103" s="89" t="str">
        <x:v>SRC-API01</x:v>
      </x:c>
      <x:c r="L103" s="98" t="str">
        <x:v>https://vnstocks.com/docs/vnstock/phan-tich-co-ban-fundamental</x:v>
      </x:c>
      <x:c r="M103" s="282" t="n">
        <x:v>46228.58256944444</x:v>
      </x:c>
    </x:row>
    <x:row r="104" ht="22" customHeight="1">
      <x:c r="A104" s="88" t="str">
        <x:v>balance_sheet</x:v>
      </x:c>
      <x:c r="B104" s="89" t="str">
        <x:v>provision_for_long_term_liabilities</x:v>
      </x:c>
      <x:c r="C104" s="89" t="str">
        <x:v>Dự phòng các khoản nợ dài hạn</x:v>
      </x:c>
      <x:c r="D104" s="89" t="str">
        <x:v>Provision for long-term liabilities</x:v>
      </x:c>
      <x:c r="E104" s="131" t="n">
        <x:v>0</x:v>
      </x:c>
      <x:c r="F104" s="131" t="n">
        <x:v>0</x:v>
      </x:c>
      <x:c r="G104" s="131" t="n">
        <x:v>0</x:v>
      </x:c>
      <x:c r="H104" s="131" t="n">
        <x:v>0</x:v>
      </x:c>
      <x:c r="I104" s="131" t="n">
        <x:v>0</x:v>
      </x:c>
      <x:c r="J104" s="89" t="str">
        <x:v>VND</x:v>
      </x:c>
      <x:c r="K104" s="89" t="str">
        <x:v>SRC-API01</x:v>
      </x:c>
      <x:c r="L104" s="98" t="str">
        <x:v>https://vnstocks.com/docs/vnstock/phan-tich-co-ban-fundamental</x:v>
      </x:c>
      <x:c r="M104" s="282" t="n">
        <x:v>46228.58256944444</x:v>
      </x:c>
    </x:row>
    <x:row r="105" ht="22" customHeight="1">
      <x:c r="A105" s="88" t="str">
        <x:v>balance_sheet</x:v>
      </x:c>
      <x:c r="B105" s="89" t="str">
        <x:v>deferred_revenue</x:v>
      </x:c>
      <x:c r="C105" s="89" t="str">
        <x:v>Doanh thu chưa thực hiện</x:v>
      </x:c>
      <x:c r="D105" s="89" t="str">
        <x:v>Deferred revenue</x:v>
      </x:c>
      <x:c r="E105" s="131" t="n">
        <x:v>276218585903</x:v>
      </x:c>
      <x:c r="F105" s="131" t="n">
        <x:v>290603346491</x:v>
      </x:c>
      <x:c r="G105" s="131" t="n">
        <x:v>275267069902</x:v>
      </x:c>
      <x:c r="H105" s="131" t="n">
        <x:v>264120168336</x:v>
      </x:c>
      <x:c r="I105" s="131" t="n">
        <x:v>252973266770</x:v>
      </x:c>
      <x:c r="J105" s="89" t="str">
        <x:v>VND</x:v>
      </x:c>
      <x:c r="K105" s="89" t="str">
        <x:v>SRC-API01</x:v>
      </x:c>
      <x:c r="L105" s="98" t="str">
        <x:v>https://vnstocks.com/docs/vnstock/phan-tich-co-ban-fundamental</x:v>
      </x:c>
      <x:c r="M105" s="282" t="n">
        <x:v>46228.58256944444</x:v>
      </x:c>
    </x:row>
    <x:row r="106" ht="22" customHeight="1">
      <x:c r="A106" s="88" t="str">
        <x:v>balance_sheet</x:v>
      </x:c>
      <x:c r="B106" s="89" t="str">
        <x:v>technology_science_development_fund</x:v>
      </x:c>
      <x:c r="C106" s="89" t="str">
        <x:v>Quỹ phát triển khoa học công nghệ</x:v>
      </x:c>
      <x:c r="D106" s="89" t="str">
        <x:v>Technology-science development fund</x:v>
      </x:c>
      <x:c r="E106" s="131" t="n">
        <x:v>0</x:v>
      </x:c>
      <x:c r="F106" s="131" t="n">
        <x:v>0</x:v>
      </x:c>
      <x:c r="G106" s="131" t="n">
        <x:v>0</x:v>
      </x:c>
      <x:c r="H106" s="131" t="n">
        <x:v>0</x:v>
      </x:c>
      <x:c r="I106" s="131" t="n">
        <x:v>0</x:v>
      </x:c>
      <x:c r="J106" s="89" t="str">
        <x:v>VND</x:v>
      </x:c>
      <x:c r="K106" s="89" t="str">
        <x:v>SRC-API01</x:v>
      </x:c>
      <x:c r="L106" s="98" t="str">
        <x:v>https://vnstocks.com/docs/vnstock/phan-tich-co-ban-fundamental</x:v>
      </x:c>
      <x:c r="M106" s="282" t="n">
        <x:v>46228.58256944444</x:v>
      </x:c>
    </x:row>
    <x:row r="107" ht="22" customHeight="1">
      <x:c r="A107" s="88" t="str">
        <x:v>balance_sheet</x:v>
      </x:c>
      <x:c r="B107" s="89" t="str">
        <x:v>owners_equity</x:v>
      </x:c>
      <x:c r="C107" s="89" t="str">
        <x:v>Vốn chủ sở hữu</x:v>
      </x:c>
      <x:c r="D107" s="89" t="str">
        <x:v>Owner's Equity</x:v>
      </x:c>
      <x:c r="E107" s="131" t="n">
        <x:v>7044618371909</x:v>
      </x:c>
      <x:c r="F107" s="131" t="n">
        <x:v>7947756019956</x:v>
      </x:c>
      <x:c r="G107" s="131" t="n">
        <x:v>9732374052019</x:v>
      </x:c>
      <x:c r="H107" s="131" t="n">
        <x:v>13771926002556</x:v>
      </x:c>
      <x:c r="I107" s="131" t="n">
        <x:v>14918254153163</x:v>
      </x:c>
      <x:c r="J107" s="89" t="str">
        <x:v>VND</x:v>
      </x:c>
      <x:c r="K107" s="89" t="str">
        <x:v>SRC-API01</x:v>
      </x:c>
      <x:c r="L107" s="98" t="str">
        <x:v>https://vnstocks.com/docs/vnstock/phan-tich-co-ban-fundamental</x:v>
      </x:c>
      <x:c r="M107" s="282" t="n">
        <x:v>46228.58256944444</x:v>
      </x:c>
    </x:row>
    <x:row r="108" ht="22" customHeight="1">
      <x:c r="A108" s="88" t="str">
        <x:v>balance_sheet</x:v>
      </x:c>
      <x:c r="B108" s="89" t="str">
        <x:v>capital_and_reserves</x:v>
      </x:c>
      <x:c r="C108" s="89" t="str">
        <x:v>Vốn và các quỹ</x:v>
      </x:c>
      <x:c r="D108" s="89" t="str">
        <x:v>Capital and reserves</x:v>
      </x:c>
      <x:c r="E108" s="131" t="n">
        <x:v>7044618371909</x:v>
      </x:c>
      <x:c r="F108" s="131" t="n">
        <x:v>7947756019956</x:v>
      </x:c>
      <x:c r="G108" s="131" t="n">
        <x:v>9732374052019</x:v>
      </x:c>
      <x:c r="H108" s="131" t="n">
        <x:v>13771926002556</x:v>
      </x:c>
      <x:c r="I108" s="131" t="n">
        <x:v>14918254153163</x:v>
      </x:c>
      <x:c r="J108" s="89" t="str">
        <x:v>VND</x:v>
      </x:c>
      <x:c r="K108" s="89" t="str">
        <x:v>SRC-API01</x:v>
      </x:c>
      <x:c r="L108" s="98" t="str">
        <x:v>https://vnstocks.com/docs/vnstock/phan-tich-co-ban-fundamental</x:v>
      </x:c>
      <x:c r="M108" s="282" t="n">
        <x:v>46228.58256944444</x:v>
      </x:c>
    </x:row>
    <x:row r="109" ht="22" customHeight="1">
      <x:c r="A109" s="88" t="str">
        <x:v>balance_sheet</x:v>
      </x:c>
      <x:c r="B109" s="89" t="str">
        <x:v>paid_in_capital</x:v>
      </x:c>
      <x:c r="C109" s="89" t="str">
        <x:v>Vốn góp</x:v>
      </x:c>
      <x:c r="D109" s="89" t="str">
        <x:v>Paid-in capital</x:v>
      </x:c>
      <x:c r="E109" s="131" t="n">
        <x:v>3013779570000</x:v>
      </x:c>
      <x:c r="F109" s="131" t="n">
        <x:v>3013779570000</x:v>
      </x:c>
      <x:c r="G109" s="131" t="n">
        <x:v>3058985570000</x:v>
      </x:c>
      <x:c r="H109" s="131" t="n">
        <x:v>4139826090000</x:v>
      </x:c>
      <x:c r="I109" s="131" t="n">
        <x:v>4264951090000</x:v>
      </x:c>
      <x:c r="J109" s="89" t="str">
        <x:v>VND</x:v>
      </x:c>
      <x:c r="K109" s="89" t="str">
        <x:v>SRC-API01</x:v>
      </x:c>
      <x:c r="L109" s="98" t="str">
        <x:v>https://vnstocks.com/docs/vnstock/phan-tich-co-ban-fundamental</x:v>
      </x:c>
      <x:c r="M109" s="282" t="n">
        <x:v>46228.58256944444</x:v>
      </x:c>
    </x:row>
    <x:row r="110" ht="22" customHeight="1">
      <x:c r="A110" s="88" t="str">
        <x:v>balance_sheet</x:v>
      </x:c>
      <x:c r="B110" s="89" t="str">
        <x:v>share_premium</x:v>
      </x:c>
      <x:c r="C110" s="89" t="str">
        <x:v>Thặng dư vốn cổ phần</x:v>
      </x:c>
      <x:c r="D110" s="89" t="str">
        <x:v>Share premium</x:v>
      </x:c>
      <x:c r="E110" s="131" t="n">
        <x:v>1941832197040</x:v>
      </x:c>
      <x:c r="F110" s="131" t="n">
        <x:v>1941832197040</x:v>
      </x:c>
      <x:c r="G110" s="131" t="n">
        <x:v>1941832197040</x:v>
      </x:c>
      <x:c r="H110" s="131" t="n">
        <x:v>3920183061040</x:v>
      </x:c>
      <x:c r="I110" s="131" t="n">
        <x:v>3920183061040</x:v>
      </x:c>
      <x:c r="J110" s="89" t="str">
        <x:v>VND</x:v>
      </x:c>
      <x:c r="K110" s="89" t="str">
        <x:v>SRC-API01</x:v>
      </x:c>
      <x:c r="L110" s="98" t="str">
        <x:v>https://vnstocks.com/docs/vnstock/phan-tich-co-ban-fundamental</x:v>
      </x:c>
      <x:c r="M110" s="282" t="n">
        <x:v>46228.58256944444</x:v>
      </x:c>
    </x:row>
    <x:row r="111" ht="22" customHeight="1">
      <x:c r="A111" s="88" t="str">
        <x:v>balance_sheet</x:v>
      </x:c>
      <x:c r="B111" s="89" t="str">
        <x:v>owners_other_capital</x:v>
      </x:c>
      <x:c r="C111" s="89" t="str">
        <x:v>Vốn khác</x:v>
      </x:c>
      <x:c r="D111" s="89" t="str">
        <x:v>Owner's other capital</x:v>
      </x:c>
      <x:c r="E111" s="131" t="n">
        <x:v>128097775902</x:v>
      </x:c>
      <x:c r="F111" s="131" t="n">
        <x:v>128097775902</x:v>
      </x:c>
      <x:c r="G111" s="131" t="n">
        <x:v>128097775902</x:v>
      </x:c>
      <x:c r="H111" s="131" t="n">
        <x:v>128097775902</x:v>
      </x:c>
      <x:c r="I111" s="131" t="n">
        <x:v>128097775902</x:v>
      </x:c>
      <x:c r="J111" s="89" t="str">
        <x:v>VND</x:v>
      </x:c>
      <x:c r="K111" s="89" t="str">
        <x:v>SRC-API01</x:v>
      </x:c>
      <x:c r="L111" s="98" t="str">
        <x:v>https://vnstocks.com/docs/vnstock/phan-tich-co-ban-fundamental</x:v>
      </x:c>
      <x:c r="M111" s="282" t="n">
        <x:v>46228.58256944444</x:v>
      </x:c>
    </x:row>
    <x:row r="112" ht="22" customHeight="1">
      <x:c r="A112" s="88" t="str">
        <x:v>balance_sheet</x:v>
      </x:c>
      <x:c r="B112" s="89" t="str">
        <x:v>treasury_shares</x:v>
      </x:c>
      <x:c r="C112" s="89" t="str">
        <x:v>Cổ phiếu quỹ</x:v>
      </x:c>
      <x:c r="D112" s="89" t="str">
        <x:v>Treasury shares</x:v>
      </x:c>
      <x:c r="E112" s="131" t="n">
        <x:v>0</x:v>
      </x:c>
      <x:c r="F112" s="131" t="n">
        <x:v>0</x:v>
      </x:c>
      <x:c r="G112" s="131" t="n">
        <x:v>0</x:v>
      </x:c>
      <x:c r="H112" s="131" t="n">
        <x:v>0</x:v>
      </x:c>
      <x:c r="I112" s="131" t="n">
        <x:v>0</x:v>
      </x:c>
      <x:c r="J112" s="89" t="str">
        <x:v>VND</x:v>
      </x:c>
      <x:c r="K112" s="89" t="str">
        <x:v>SRC-API01</x:v>
      </x:c>
      <x:c r="L112" s="98" t="str">
        <x:v>https://vnstocks.com/docs/vnstock/phan-tich-co-ban-fundamental</x:v>
      </x:c>
      <x:c r="M112" s="282" t="n">
        <x:v>46228.58256944444</x:v>
      </x:c>
    </x:row>
    <x:row r="113" ht="22" customHeight="1">
      <x:c r="A113" s="88" t="str">
        <x:v>balance_sheet</x:v>
      </x:c>
      <x:c r="B113" s="89" t="str">
        <x:v>differences_upon_asset_revaluation</x:v>
      </x:c>
      <x:c r="C113" s="89" t="str">
        <x:v>Chênh lệch đánh giá lại tài sản</x:v>
      </x:c>
      <x:c r="D113" s="89" t="str">
        <x:v>Differences upon asset revaluation</x:v>
      </x:c>
      <x:c r="E113" s="131" t="n">
        <x:v>0</x:v>
      </x:c>
      <x:c r="F113" s="131" t="n">
        <x:v>0</x:v>
      </x:c>
      <x:c r="G113" s="131" t="n">
        <x:v>0</x:v>
      </x:c>
      <x:c r="H113" s="131" t="n">
        <x:v>0</x:v>
      </x:c>
      <x:c r="I113" s="131" t="n">
        <x:v>0</x:v>
      </x:c>
      <x:c r="J113" s="89" t="str">
        <x:v>VND</x:v>
      </x:c>
      <x:c r="K113" s="89" t="str">
        <x:v>SRC-API01</x:v>
      </x:c>
      <x:c r="L113" s="98" t="str">
        <x:v>https://vnstocks.com/docs/vnstock/phan-tich-co-ban-fundamental</x:v>
      </x:c>
      <x:c r="M113" s="282" t="n">
        <x:v>46228.58256944444</x:v>
      </x:c>
    </x:row>
    <x:row r="114" ht="22" customHeight="1">
      <x:c r="A114" s="88" t="str">
        <x:v>balance_sheet</x:v>
      </x:c>
      <x:c r="B114" s="89" t="str">
        <x:v>foreign_exchange_differences</x:v>
      </x:c>
      <x:c r="C114" s="89" t="str">
        <x:v>Chênh lệch tỷ giá</x:v>
      </x:c>
      <x:c r="D114" s="89" t="str">
        <x:v>Foreign exchange differences</x:v>
      </x:c>
      <x:c r="E114" s="131" t="n">
        <x:v>282283839337</x:v>
      </x:c>
      <x:c r="F114" s="131" t="n">
        <x:v>324141784661</x:v>
      </x:c>
      <x:c r="G114" s="131" t="n">
        <x:v>358279382052</x:v>
      </x:c>
      <x:c r="H114" s="131" t="n">
        <x:v>431368225715</x:v>
      </x:c>
      <x:c r="I114" s="131" t="n">
        <x:v>468455589543</x:v>
      </x:c>
      <x:c r="J114" s="89" t="str">
        <x:v>VND</x:v>
      </x:c>
      <x:c r="K114" s="89" t="str">
        <x:v>SRC-API01</x:v>
      </x:c>
      <x:c r="L114" s="98" t="str">
        <x:v>https://vnstocks.com/docs/vnstock/phan-tich-co-ban-fundamental</x:v>
      </x:c>
      <x:c r="M114" s="282" t="n">
        <x:v>46228.58256944444</x:v>
      </x:c>
    </x:row>
    <x:row r="115" ht="22" customHeight="1">
      <x:c r="A115" s="88" t="str">
        <x:v>balance_sheet</x:v>
      </x:c>
      <x:c r="B115" s="89" t="str">
        <x:v>investment_and_development_funds</x:v>
      </x:c>
      <x:c r="C115" s="89" t="str">
        <x:v>Quỹ đầu tư và phát triển</x:v>
      </x:c>
      <x:c r="D115" s="89" t="str">
        <x:v>Investment and development funds</x:v>
      </x:c>
      <x:c r="E115" s="131" t="n">
        <x:v>152636937352</x:v>
      </x:c>
      <x:c r="F115" s="131" t="n">
        <x:v>152636937352</x:v>
      </x:c>
      <x:c r="G115" s="131" t="n">
        <x:v>61305100650</x:v>
      </x:c>
      <x:c r="H115" s="131" t="n">
        <x:v>72892277093</x:v>
      </x:c>
      <x:c r="I115" s="131" t="n">
        <x:v>73121317440</x:v>
      </x:c>
      <x:c r="J115" s="89" t="str">
        <x:v>VND</x:v>
      </x:c>
      <x:c r="K115" s="89" t="str">
        <x:v>SRC-API01</x:v>
      </x:c>
      <x:c r="L115" s="98" t="str">
        <x:v>https://vnstocks.com/docs/vnstock/phan-tich-co-ban-fundamental</x:v>
      </x:c>
      <x:c r="M115" s="282" t="n">
        <x:v>46228.58256944444</x:v>
      </x:c>
    </x:row>
    <x:row r="116" ht="22" customHeight="1">
      <x:c r="A116" s="88" t="str">
        <x:v>balance_sheet</x:v>
      </x:c>
      <x:c r="B116" s="89" t="str">
        <x:v>financial_reserve_funds</x:v>
      </x:c>
      <x:c r="C116" s="89" t="str">
        <x:v>Quỹ dự phòng tài chính</x:v>
      </x:c>
      <x:c r="D116" s="89" t="str">
        <x:v>Financial reserve funds</x:v>
      </x:c>
      <x:c r="E116" s="131" t="n">
        <x:v>0</x:v>
      </x:c>
      <x:c r="F116" s="131" t="n">
        <x:v>0</x:v>
      </x:c>
      <x:c r="G116" s="131" t="n">
        <x:v>0</x:v>
      </x:c>
      <x:c r="H116" s="131" t="n">
        <x:v>0</x:v>
      </x:c>
      <x:c r="I116" s="131" t="n">
        <x:v>0</x:v>
      </x:c>
      <x:c r="J116" s="89" t="str">
        <x:v>VND</x:v>
      </x:c>
      <x:c r="K116" s="89" t="str">
        <x:v>SRC-API01</x:v>
      </x:c>
      <x:c r="L116" s="98" t="str">
        <x:v>https://vnstocks.com/docs/vnstock/phan-tich-co-ban-fundamental</x:v>
      </x:c>
      <x:c r="M116" s="282" t="n">
        <x:v>46228.58256944444</x:v>
      </x:c>
    </x:row>
    <x:row r="117" ht="22" customHeight="1">
      <x:c r="A117" s="88" t="str">
        <x:v>balance_sheet</x:v>
      </x:c>
      <x:c r="B117" s="89" t="str">
        <x:v>other_funds</x:v>
      </x:c>
      <x:c r="C117" s="89" t="str">
        <x:v>Quỹ khác</x:v>
      </x:c>
      <x:c r="D117" s="89" t="str">
        <x:v>Other funds</x:v>
      </x:c>
      <x:c r="E117" s="131" t="n">
        <x:v>139110971167</x:v>
      </x:c>
      <x:c r="F117" s="131" t="n">
        <x:v>138177637831</x:v>
      </x:c>
      <x:c r="G117" s="131" t="n">
        <x:v>68471352005</x:v>
      </x:c>
      <x:c r="H117" s="131" t="n">
        <x:v>72381836572</x:v>
      </x:c>
      <x:c r="I117" s="131" t="n">
        <x:v>72381836572</x:v>
      </x:c>
      <x:c r="J117" s="89" t="str">
        <x:v>VND</x:v>
      </x:c>
      <x:c r="K117" s="89" t="str">
        <x:v>SRC-API01</x:v>
      </x:c>
      <x:c r="L117" s="98" t="str">
        <x:v>https://vnstocks.com/docs/vnstock/phan-tich-co-ban-fundamental</x:v>
      </x:c>
      <x:c r="M117" s="282" t="n">
        <x:v>46228.58256944444</x:v>
      </x:c>
    </x:row>
    <x:row r="118" ht="22" customHeight="1">
      <x:c r="A118" s="88" t="str">
        <x:v>balance_sheet</x:v>
      </x:c>
      <x:c r="B118" s="89" t="str">
        <x:v>undistributed_earnings</x:v>
      </x:c>
      <x:c r="C118" s="89" t="str">
        <x:v>Lãi chưa phân phối</x:v>
      </x:c>
      <x:c r="D118" s="89" t="str">
        <x:v>Undistributed earnings</x:v>
      </x:c>
      <x:c r="E118" s="131" t="n">
        <x:v>661219564120</x:v>
      </x:c>
      <x:c r="F118" s="131" t="n">
        <x:v>1227386551336</x:v>
      </x:c>
      <x:c r="G118" s="131" t="n">
        <x:v>2963514009028</x:v>
      </x:c>
      <x:c r="H118" s="131" t="n">
        <x:v>3617139919490</x:v>
      </x:c>
      <x:c r="I118" s="131" t="n">
        <x:v>4212636741407</x:v>
      </x:c>
      <x:c r="J118" s="89" t="str">
        <x:v>VND</x:v>
      </x:c>
      <x:c r="K118" s="89" t="str">
        <x:v>SRC-API01</x:v>
      </x:c>
      <x:c r="L118" s="98" t="str">
        <x:v>https://vnstocks.com/docs/vnstock/phan-tich-co-ban-fundamental</x:v>
      </x:c>
      <x:c r="M118" s="282" t="n">
        <x:v>46228.58256944444</x:v>
      </x:c>
    </x:row>
    <x:row r="119" ht="22" customHeight="1">
      <x:c r="A119" s="88" t="str">
        <x:v>balance_sheet</x:v>
      </x:c>
      <x:c r="B119" s="89" t="str">
        <x:v>enterprise_arrangement_fund</x:v>
      </x:c>
      <x:c r="C119" s="89" t="str">
        <x:v>Quỹ hỗ trợ sắp xếp doanh nghiệp</x:v>
      </x:c>
      <x:c r="D119" s="89" t="str">
        <x:v>Enterprise arrangement fund</x:v>
      </x:c>
      <x:c r="E119" s="131" t="n">
        <x:v>0</x:v>
      </x:c>
      <x:c r="F119" s="131" t="n">
        <x:v>0</x:v>
      </x:c>
      <x:c r="G119" s="131" t="n">
        <x:v>0</x:v>
      </x:c>
      <x:c r="H119" s="131" t="n">
        <x:v>0</x:v>
      </x:c>
      <x:c r="I119" s="131" t="n">
        <x:v>0</x:v>
      </x:c>
      <x:c r="J119" s="89" t="str">
        <x:v>VND</x:v>
      </x:c>
      <x:c r="K119" s="89" t="str">
        <x:v>SRC-API01</x:v>
      </x:c>
      <x:c r="L119" s="98" t="str">
        <x:v>https://vnstocks.com/docs/vnstock/phan-tich-co-ban-fundamental</x:v>
      </x:c>
      <x:c r="M119" s="282" t="n">
        <x:v>46228.58256944444</x:v>
      </x:c>
    </x:row>
    <x:row r="120" ht="22" customHeight="1">
      <x:c r="A120" s="88" t="str">
        <x:v>balance_sheet</x:v>
      </x:c>
      <x:c r="B120" s="89" t="str">
        <x:v>budget_sources_and_other_funds</x:v>
      </x:c>
      <x:c r="C120" s="89" t="str">
        <x:v>Vốn Ngân sách nhà nước và quỹ khác</x:v>
      </x:c>
      <x:c r="D120" s="89" t="str">
        <x:v>Budget sources and other funds</x:v>
      </x:c>
      <x:c r="E120" s="131" t="n">
        <x:v>0</x:v>
      </x:c>
      <x:c r="F120" s="131" t="n">
        <x:v>0</x:v>
      </x:c>
      <x:c r="G120" s="131" t="n">
        <x:v>0</x:v>
      </x:c>
      <x:c r="H120" s="131" t="n">
        <x:v>0</x:v>
      </x:c>
      <x:c r="I120" s="131" t="n">
        <x:v>0</x:v>
      </x:c>
      <x:c r="J120" s="89" t="str">
        <x:v>VND</x:v>
      </x:c>
      <x:c r="K120" s="89" t="str">
        <x:v>SRC-API01</x:v>
      </x:c>
      <x:c r="L120" s="98" t="str">
        <x:v>https://vnstocks.com/docs/vnstock/phan-tich-co-ban-fundamental</x:v>
      </x:c>
      <x:c r="M120" s="282" t="n">
        <x:v>46228.58256944444</x:v>
      </x:c>
    </x:row>
    <x:row r="121" ht="22" customHeight="1">
      <x:c r="A121" s="88" t="str">
        <x:v>balance_sheet</x:v>
      </x:c>
      <x:c r="B121" s="89" t="str">
        <x:v>bonus_and_welfare_funds_before_2010</x:v>
      </x:c>
      <x:c r="C121" s="89" t="str">
        <x:v>Quỹ khen thưởng, phúc lợi (trước 2010)</x:v>
      </x:c>
      <x:c r="D121" s="89" t="str">
        <x:v>Bonus and welfare funds (Before 2010)</x:v>
      </x:c>
      <x:c r="E121" s="131" t="n">
        <x:v>0</x:v>
      </x:c>
      <x:c r="F121" s="131" t="n">
        <x:v>0</x:v>
      </x:c>
      <x:c r="G121" s="131" t="n">
        <x:v>0</x:v>
      </x:c>
      <x:c r="H121" s="131" t="n">
        <x:v>0</x:v>
      </x:c>
      <x:c r="I121" s="131" t="n">
        <x:v>0</x:v>
      </x:c>
      <x:c r="J121" s="89" t="str">
        <x:v>VND</x:v>
      </x:c>
      <x:c r="K121" s="89" t="str">
        <x:v>SRC-API01</x:v>
      </x:c>
      <x:c r="L121" s="98" t="str">
        <x:v>https://vnstocks.com/docs/vnstock/phan-tich-co-ban-fundamental</x:v>
      </x:c>
      <x:c r="M121" s="282" t="n">
        <x:v>46228.58256944444</x:v>
      </x:c>
    </x:row>
    <x:row r="122" ht="22" customHeight="1">
      <x:c r="A122" s="88" t="str">
        <x:v>balance_sheet</x:v>
      </x:c>
      <x:c r="B122" s="89" t="str">
        <x:v>budget_sources_and_other_funds</x:v>
      </x:c>
      <x:c r="C122" s="89" t="str">
        <x:v>Vốn ngân sách nhà nước và quỹ khác</x:v>
      </x:c>
      <x:c r="D122" s="89" t="str">
        <x:v>Budget sources and other funds</x:v>
      </x:c>
      <x:c r="E122" s="131" t="n">
        <x:v>0</x:v>
      </x:c>
      <x:c r="F122" s="131" t="n">
        <x:v>0</x:v>
      </x:c>
      <x:c r="G122" s="131" t="n">
        <x:v>0</x:v>
      </x:c>
      <x:c r="H122" s="131" t="n">
        <x:v>0</x:v>
      </x:c>
      <x:c r="I122" s="131" t="n">
        <x:v>0</x:v>
      </x:c>
      <x:c r="J122" s="89" t="str">
        <x:v>VND</x:v>
      </x:c>
      <x:c r="K122" s="89" t="str">
        <x:v>SRC-API01</x:v>
      </x:c>
      <x:c r="L122" s="98" t="str">
        <x:v>https://vnstocks.com/docs/vnstock/phan-tich-co-ban-fundamental</x:v>
      </x:c>
      <x:c r="M122" s="282" t="n">
        <x:v>46228.58256944444</x:v>
      </x:c>
    </x:row>
    <x:row r="123" ht="22" customHeight="1">
      <x:c r="A123" s="88" t="str">
        <x:v>balance_sheet</x:v>
      </x:c>
      <x:c r="B123" s="89" t="str">
        <x:v>minority_interests_before_2015</x:v>
      </x:c>
      <x:c r="C123" s="89" t="str">
        <x:v>Lợi ích của cổ đông thiểu số</x:v>
      </x:c>
      <x:c r="D123" s="89" t="str">
        <x:v>Minority interests (Before 2015)</x:v>
      </x:c>
      <x:c r="E123" s="131" t="n">
        <x:v>0</x:v>
      </x:c>
      <x:c r="F123" s="131" t="n">
        <x:v>0</x:v>
      </x:c>
      <x:c r="G123" s="131" t="n">
        <x:v>0</x:v>
      </x:c>
      <x:c r="H123" s="131" t="n">
        <x:v>0</x:v>
      </x:c>
      <x:c r="I123" s="131" t="n">
        <x:v>0</x:v>
      </x:c>
      <x:c r="J123" s="89" t="str">
        <x:v>VND</x:v>
      </x:c>
      <x:c r="K123" s="89" t="str">
        <x:v>SRC-API01</x:v>
      </x:c>
      <x:c r="L123" s="98" t="str">
        <x:v>https://vnstocks.com/docs/vnstock/phan-tich-co-ban-fundamental</x:v>
      </x:c>
      <x:c r="M123" s="282" t="n">
        <x:v>46228.58256944444</x:v>
      </x:c>
    </x:row>
    <x:row r="124" ht="22" customHeight="1">
      <x:c r="A124" s="88" t="str">
        <x:v>balance_sheet</x:v>
      </x:c>
      <x:c r="B124" s="89" t="str">
        <x:v>total_resource</x:v>
      </x:c>
      <x:c r="C124" s="89" t="str">
        <x:v>Tổng cộng nguồn vốn</x:v>
      </x:c>
      <x:c r="D124" s="89" t="str">
        <x:v>Total resource</x:v>
      </x:c>
      <x:c r="E124" s="131" t="n">
        <x:v>10731211063284</x:v>
      </x:c>
      <x:c r="F124" s="131" t="n">
        <x:v>13030653009572</x:v>
      </x:c>
      <x:c r="G124" s="131" t="n">
        <x:v>13546025168428</x:v>
      </x:c>
      <x:c r="H124" s="131" t="n">
        <x:v>17997853312717</x:v>
      </x:c>
      <x:c r="I124" s="131" t="n">
        <x:v>19826401375577</x:v>
      </x:c>
      <x:c r="J124" s="89" t="str">
        <x:v>VND</x:v>
      </x:c>
      <x:c r="K124" s="89" t="str">
        <x:v>SRC-API01</x:v>
      </x:c>
      <x:c r="L124" s="98" t="str">
        <x:v>https://vnstocks.com/docs/vnstock/phan-tich-co-ban-fundamental</x:v>
      </x:c>
      <x:c r="M124" s="282" t="n">
        <x:v>46228.58256944444</x:v>
      </x:c>
    </x:row>
    <x:row r="125" ht="22" customHeight="1">
      <x:c r="A125" s="88" t="str">
        <x:v>balance_sheet</x:v>
      </x:c>
      <x:c r="B125" s="89" t="str">
        <x:v>preferred_shares</x:v>
      </x:c>
      <x:c r="C125" s="89" t="str">
        <x:v>Cổ phiếu ưu đãi</x:v>
      </x:c>
      <x:c r="D125" s="89" t="str">
        <x:v>Preferred shares</x:v>
      </x:c>
      <x:c r="E125" s="131"/>
      <x:c r="F125" s="131"/>
      <x:c r="G125" s="131"/>
      <x:c r="H125" s="131"/>
      <x:c r="I125" s="131"/>
      <x:c r="J125" s="89" t="str">
        <x:v>VND</x:v>
      </x:c>
      <x:c r="K125" s="89" t="str">
        <x:v>SRC-API01</x:v>
      </x:c>
      <x:c r="L125" s="98" t="str">
        <x:v>https://vnstocks.com/docs/vnstock/phan-tich-co-ban-fundamental</x:v>
      </x:c>
      <x:c r="M125" s="282" t="n">
        <x:v>46228.58256944444</x:v>
      </x:c>
    </x:row>
    <x:row r="126" ht="22" customHeight="1">
      <x:c r="A126" s="88" t="str">
        <x:v>balance_sheet</x:v>
      </x:c>
      <x:c r="B126" s="89" t="str">
        <x:v>held_to_maturity_investment</x:v>
      </x:c>
      <x:c r="C126" s="89" t="str">
        <x:v>Đầu tư nắm giữ đến ngày đáo hạn</x:v>
      </x:c>
      <x:c r="D126" s="89" t="str">
        <x:v>Held-to-maturity investment</x:v>
      </x:c>
      <x:c r="E126" s="131" t="n">
        <x:v>21990358062</x:v>
      </x:c>
      <x:c r="F126" s="131" t="n">
        <x:v>64294798424</x:v>
      </x:c>
      <x:c r="G126" s="131" t="n">
        <x:v>345719305466</x:v>
      </x:c>
      <x:c r="H126" s="131" t="n">
        <x:v>1012300000000</x:v>
      </x:c>
      <x:c r="I126" s="131" t="n">
        <x:v>2738596210765</x:v>
      </x:c>
      <x:c r="J126" s="89" t="str">
        <x:v>VND</x:v>
      </x:c>
      <x:c r="K126" s="89" t="str">
        <x:v>SRC-API01</x:v>
      </x:c>
      <x:c r="L126" s="98" t="str">
        <x:v>https://vnstocks.com/docs/vnstock/phan-tich-co-ban-fundamental</x:v>
      </x:c>
      <x:c r="M126" s="282" t="n">
        <x:v>46228.58256944444</x:v>
      </x:c>
    </x:row>
    <x:row r="127" ht="22" customHeight="1">
      <x:c r="A127" s="88" t="str">
        <x:v>balance_sheet</x:v>
      </x:c>
      <x:c r="B127" s="89" t="str">
        <x:v>paid_in_capital_in_wholly_owned_subsidiaries</x:v>
      </x:c>
      <x:c r="C127" s="89" t="str">
        <x:v>Vốn kinh doanh ở các đơn vị trực thuộc</x:v>
      </x:c>
      <x:c r="D127" s="89" t="str">
        <x:v>Paid-in capital in wholly-owned subsidiaries</x:v>
      </x:c>
      <x:c r="E127" s="131" t="n">
        <x:v>0</x:v>
      </x:c>
      <x:c r="F127" s="131" t="n">
        <x:v>0</x:v>
      </x:c>
      <x:c r="G127" s="131" t="n">
        <x:v>0</x:v>
      </x:c>
      <x:c r="H127" s="131" t="n">
        <x:v>0</x:v>
      </x:c>
      <x:c r="I127" s="131" t="n">
        <x:v>0</x:v>
      </x:c>
      <x:c r="J127" s="89" t="str">
        <x:v>VND</x:v>
      </x:c>
      <x:c r="K127" s="89" t="str">
        <x:v>SRC-API01</x:v>
      </x:c>
      <x:c r="L127" s="98" t="str">
        <x:v>https://vnstocks.com/docs/vnstock/phan-tich-co-ban-fundamental</x:v>
      </x:c>
      <x:c r="M127" s="282" t="n">
        <x:v>46228.58256944444</x:v>
      </x:c>
    </x:row>
    <x:row r="128" ht="22" customHeight="1">
      <x:c r="A128" s="88" t="str">
        <x:v>balance_sheet</x:v>
      </x:c>
      <x:c r="B128" s="89" t="str">
        <x:v>shortage_of_current_assets_waiting_for_solution</x:v>
      </x:c>
      <x:c r="C128" s="89" t="str">
        <x:v>Tài sản thiếu cần xử lý</x:v>
      </x:c>
      <x:c r="D128" s="89" t="str">
        <x:v>Shortage of current assets waiting for solution</x:v>
      </x:c>
      <x:c r="E128" s="131" t="n">
        <x:v>0</x:v>
      </x:c>
      <x:c r="F128" s="131" t="n">
        <x:v>0</x:v>
      </x:c>
      <x:c r="G128" s="131" t="n">
        <x:v>0</x:v>
      </x:c>
      <x:c r="H128" s="131" t="n">
        <x:v>0</x:v>
      </x:c>
      <x:c r="I128" s="131" t="n">
        <x:v>6758400</x:v>
      </x:c>
      <x:c r="J128" s="89" t="str">
        <x:v>VND</x:v>
      </x:c>
      <x:c r="K128" s="89" t="str">
        <x:v>SRC-API01</x:v>
      </x:c>
      <x:c r="L128" s="98" t="str">
        <x:v>https://vnstocks.com/docs/vnstock/phan-tich-co-ban-fundamental</x:v>
      </x:c>
      <x:c r="M128" s="282" t="n">
        <x:v>46228.58256944444</x:v>
      </x:c>
    </x:row>
    <x:row r="129" ht="22" customHeight="1">
      <x:c r="A129" s="88" t="str">
        <x:v>balance_sheet</x:v>
      </x:c>
      <x:c r="B129" s="89" t="str">
        <x:v>short_term_loans_receivables</x:v>
      </x:c>
      <x:c r="C129" s="89" t="str">
        <x:v>Phải thu cho vay ngắn hạn</x:v>
      </x:c>
      <x:c r="D129" s="89" t="str">
        <x:v>Short-term loans receivables</x:v>
      </x:c>
      <x:c r="E129" s="131" t="n">
        <x:v>19623500000</x:v>
      </x:c>
      <x:c r="F129" s="131" t="n">
        <x:v>24623500000</x:v>
      </x:c>
      <x:c r="G129" s="131" t="n">
        <x:v>298007987801</x:v>
      </x:c>
      <x:c r="H129" s="131" t="n">
        <x:v>30923500000</x:v>
      </x:c>
      <x:c r="I129" s="131" t="n">
        <x:v>60923500000</x:v>
      </x:c>
      <x:c r="J129" s="89" t="str">
        <x:v>VND</x:v>
      </x:c>
      <x:c r="K129" s="89" t="str">
        <x:v>SRC-API01</x:v>
      </x:c>
      <x:c r="L129" s="98" t="str">
        <x:v>https://vnstocks.com/docs/vnstock/phan-tich-co-ban-fundamental</x:v>
      </x:c>
      <x:c r="M129" s="282" t="n">
        <x:v>46228.58256944444</x:v>
      </x:c>
    </x:row>
    <x:row r="130" ht="22" customHeight="1">
      <x:c r="A130" s="88" t="str">
        <x:v>balance_sheet</x:v>
      </x:c>
      <x:c r="B130" s="89" t="str">
        <x:v>government_bonds_purchased_for_resale</x:v>
      </x:c>
      <x:c r="C130" s="89" t="str">
        <x:v>Giao dịch mua bán lại trái phiếu Chính phủ</x:v>
      </x:c>
      <x:c r="D130" s="89" t="str">
        <x:v>Government bonds purchased for resale</x:v>
      </x:c>
      <x:c r="E130" s="131" t="n">
        <x:v>0</x:v>
      </x:c>
      <x:c r="F130" s="131" t="n">
        <x:v>0</x:v>
      </x:c>
      <x:c r="G130" s="131" t="n">
        <x:v>0</x:v>
      </x:c>
      <x:c r="H130" s="131" t="n">
        <x:v>0</x:v>
      </x:c>
      <x:c r="I130" s="131" t="n">
        <x:v>0</x:v>
      </x:c>
      <x:c r="J130" s="89" t="str">
        <x:v>VND</x:v>
      </x:c>
      <x:c r="K130" s="89" t="str">
        <x:v>SRC-API01</x:v>
      </x:c>
      <x:c r="L130" s="98" t="str">
        <x:v>https://vnstocks.com/docs/vnstock/phan-tich-co-ban-fundamental</x:v>
      </x:c>
      <x:c r="M130" s="282" t="n">
        <x:v>46228.58256944444</x:v>
      </x:c>
    </x:row>
    <x:row r="131" ht="22" customHeight="1">
      <x:c r="A131" s="88" t="str">
        <x:v>balance_sheet</x:v>
      </x:c>
      <x:c r="B131" s="89" t="str">
        <x:v>long_term_prepayments_to_suppliers</x:v>
      </x:c>
      <x:c r="C131" s="89" t="str">
        <x:v>Trả trước người bán dài hạn</x:v>
      </x:c>
      <x:c r="D131" s="89" t="str">
        <x:v>Long-term prepayments to suppliers</x:v>
      </x:c>
      <x:c r="E131" s="131" t="n">
        <x:v>358000000</x:v>
      </x:c>
      <x:c r="F131" s="131" t="n">
        <x:v>0</x:v>
      </x:c>
      <x:c r="G131" s="131" t="n">
        <x:v>0</x:v>
      </x:c>
      <x:c r="H131" s="131" t="n">
        <x:v>0</x:v>
      </x:c>
      <x:c r="I131" s="131" t="n">
        <x:v>0</x:v>
      </x:c>
      <x:c r="J131" s="89" t="str">
        <x:v>VND</x:v>
      </x:c>
      <x:c r="K131" s="89" t="str">
        <x:v>SRC-API01</x:v>
      </x:c>
      <x:c r="L131" s="98" t="str">
        <x:v>https://vnstocks.com/docs/vnstock/phan-tich-co-ban-fundamental</x:v>
      </x:c>
      <x:c r="M131" s="282" t="n">
        <x:v>46228.58256944444</x:v>
      </x:c>
    </x:row>
    <x:row r="132" ht="22" customHeight="1">
      <x:c r="A132" s="88" t="str">
        <x:v>balance_sheet</x:v>
      </x:c>
      <x:c r="B132" s="89" t="str">
        <x:v>long_term_loans_receivables</x:v>
      </x:c>
      <x:c r="C132" s="89" t="str">
        <x:v>Phải thu cho vay dài hạn</x:v>
      </x:c>
      <x:c r="D132" s="89" t="str">
        <x:v>Long-term loans receivables</x:v>
      </x:c>
      <x:c r="E132" s="131" t="n">
        <x:v>8100000000</x:v>
      </x:c>
      <x:c r="F132" s="131" t="n">
        <x:v>8100000000</x:v>
      </x:c>
      <x:c r="G132" s="131" t="n">
        <x:v>8100000000</x:v>
      </x:c>
      <x:c r="H132" s="131" t="n">
        <x:v>8100000000</x:v>
      </x:c>
      <x:c r="I132" s="131" t="n">
        <x:v>8100000000</x:v>
      </x:c>
      <x:c r="J132" s="89" t="str">
        <x:v>VND</x:v>
      </x:c>
      <x:c r="K132" s="89" t="str">
        <x:v>SRC-API01</x:v>
      </x:c>
      <x:c r="L132" s="98" t="str">
        <x:v>https://vnstocks.com/docs/vnstock/phan-tich-co-ban-fundamental</x:v>
      </x:c>
      <x:c r="M132" s="282" t="n">
        <x:v>46228.58256944444</x:v>
      </x:c>
    </x:row>
    <x:row r="133" ht="22" customHeight="1">
      <x:c r="A133" s="88" t="str">
        <x:v>balance_sheet</x:v>
      </x:c>
      <x:c r="B133" s="89" t="str">
        <x:v>long_term_incomplete_assets</x:v>
      </x:c>
      <x:c r="C133" s="89" t="str">
        <x:v>Tài sản dở dang dài hạn</x:v>
      </x:c>
      <x:c r="D133" s="89" t="str">
        <x:v>Long-term incomplete assets</x:v>
      </x:c>
      <x:c r="E133" s="131" t="n">
        <x:v>1746637876859</x:v>
      </x:c>
      <x:c r="F133" s="131" t="n">
        <x:v>2790192939751</x:v>
      </x:c>
      <x:c r="G133" s="131" t="n">
        <x:v>1759344470822</x:v>
      </x:c>
      <x:c r="H133" s="131" t="n">
        <x:v>1718132778160</x:v>
      </x:c>
      <x:c r="I133" s="131" t="n">
        <x:v>1269929190028</x:v>
      </x:c>
      <x:c r="J133" s="89" t="str">
        <x:v>VND</x:v>
      </x:c>
      <x:c r="K133" s="89" t="str">
        <x:v>SRC-API01</x:v>
      </x:c>
      <x:c r="L133" s="98" t="str">
        <x:v>https://vnstocks.com/docs/vnstock/phan-tich-co-ban-fundamental</x:v>
      </x:c>
      <x:c r="M133" s="282" t="n">
        <x:v>46228.58256944444</x:v>
      </x:c>
    </x:row>
    <x:row r="134" ht="22" customHeight="1">
      <x:c r="A134" s="88" t="str">
        <x:v>balance_sheet</x:v>
      </x:c>
      <x:c r="B134" s="89" t="str">
        <x:v>long_term_cost_of_work_in_progress</x:v>
      </x:c>
      <x:c r="C134" s="89" t="str">
        <x:v>Chi phí sản xuất, kinh doanh dở dang dài hạn</x:v>
      </x:c>
      <x:c r="D134" s="89" t="str">
        <x:v>Long-term cost of work in progress</x:v>
      </x:c>
      <x:c r="E134" s="131" t="n">
        <x:v>0</x:v>
      </x:c>
      <x:c r="F134" s="131" t="n">
        <x:v>0</x:v>
      </x:c>
      <x:c r="G134" s="131" t="n">
        <x:v>0</x:v>
      </x:c>
      <x:c r="H134" s="131" t="n">
        <x:v>0</x:v>
      </x:c>
      <x:c r="I134" s="131" t="n">
        <x:v>0</x:v>
      </x:c>
      <x:c r="J134" s="89" t="str">
        <x:v>VND</x:v>
      </x:c>
      <x:c r="K134" s="89" t="str">
        <x:v>SRC-API01</x:v>
      </x:c>
      <x:c r="L134" s="98" t="str">
        <x:v>https://vnstocks.com/docs/vnstock/phan-tich-co-ban-fundamental</x:v>
      </x:c>
      <x:c r="M134" s="282" t="n">
        <x:v>46228.58256944444</x:v>
      </x:c>
    </x:row>
    <x:row r="135" ht="22" customHeight="1">
      <x:c r="A135" s="88" t="str">
        <x:v>balance_sheet</x:v>
      </x:c>
      <x:c r="B135" s="89" t="str">
        <x:v>held_to_maturity_investment</x:v>
      </x:c>
      <x:c r="C135" s="89" t="str">
        <x:v>Đầu tư nắm giữ đến ngày đáo hạn</x:v>
      </x:c>
      <x:c r="D135" s="89" t="str">
        <x:v>Held-to-maturity investment</x:v>
      </x:c>
      <x:c r="E135" s="131" t="n">
        <x:v>0</x:v>
      </x:c>
      <x:c r="F135" s="131" t="n">
        <x:v>0</x:v>
      </x:c>
      <x:c r="G135" s="131" t="n">
        <x:v>0</x:v>
      </x:c>
      <x:c r="H135" s="131" t="n">
        <x:v>10000000000</x:v>
      </x:c>
      <x:c r="I135" s="131" t="n">
        <x:v>0</x:v>
      </x:c>
      <x:c r="J135" s="89" t="str">
        <x:v>VND</x:v>
      </x:c>
      <x:c r="K135" s="89" t="str">
        <x:v>SRC-API01</x:v>
      </x:c>
      <x:c r="L135" s="98" t="str">
        <x:v>https://vnstocks.com/docs/vnstock/phan-tich-co-ban-fundamental</x:v>
      </x:c>
      <x:c r="M135" s="282" t="n">
        <x:v>46228.58256944444</x:v>
      </x:c>
    </x:row>
    <x:row r="136" ht="22" customHeight="1">
      <x:c r="A136" s="88" t="str">
        <x:v>balance_sheet</x:v>
      </x:c>
      <x:c r="B136" s="89" t="str">
        <x:v>long_term_equipment_material_and_spare_parts</x:v>
      </x:c>
      <x:c r="C136" s="89" t="str">
        <x:v>Thiết bị, vật tư, phụ tùng thay thế dài hạn</x:v>
      </x:c>
      <x:c r="D136" s="89" t="str">
        <x:v>Long-term equipment, material and spare parts</x:v>
      </x:c>
      <x:c r="E136" s="131" t="n">
        <x:v>0</x:v>
      </x:c>
      <x:c r="F136" s="131" t="n">
        <x:v>0</x:v>
      </x:c>
      <x:c r="G136" s="131" t="n">
        <x:v>0</x:v>
      </x:c>
      <x:c r="H136" s="131" t="n">
        <x:v>0</x:v>
      </x:c>
      <x:c r="I136" s="131" t="n">
        <x:v>0</x:v>
      </x:c>
      <x:c r="J136" s="89" t="str">
        <x:v>VND</x:v>
      </x:c>
      <x:c r="K136" s="89" t="str">
        <x:v>SRC-API01</x:v>
      </x:c>
      <x:c r="L136" s="98" t="str">
        <x:v>https://vnstocks.com/docs/vnstock/phan-tich-co-ban-fundamental</x:v>
      </x:c>
      <x:c r="M136" s="282" t="n">
        <x:v>46228.58256944444</x:v>
      </x:c>
    </x:row>
    <x:row r="137" ht="22" customHeight="1">
      <x:c r="A137" s="88" t="str">
        <x:v>balance_sheet</x:v>
      </x:c>
      <x:c r="B137" s="89" t="str">
        <x:v>short_term_unrealized_revenue</x:v>
      </x:c>
      <x:c r="C137" s="89" t="str">
        <x:v>Doanh thu chưa thực hiện ngắn hạn</x:v>
      </x:c>
      <x:c r="D137" s="89" t="str">
        <x:v>Short-term unrealized revenue</x:v>
      </x:c>
      <x:c r="E137" s="131" t="n">
        <x:v>1314355164</x:v>
      </x:c>
      <x:c r="F137" s="131" t="n">
        <x:v>1039094764</x:v>
      </x:c>
      <x:c r="G137" s="131" t="n">
        <x:v>8477602875</x:v>
      </x:c>
      <x:c r="H137" s="131" t="n">
        <x:v>1216075884</x:v>
      </x:c>
      <x:c r="I137" s="131" t="n">
        <x:v>7775967018</x:v>
      </x:c>
      <x:c r="J137" s="89" t="str">
        <x:v>VND</x:v>
      </x:c>
      <x:c r="K137" s="89" t="str">
        <x:v>SRC-API01</x:v>
      </x:c>
      <x:c r="L137" s="98" t="str">
        <x:v>https://vnstocks.com/docs/vnstock/phan-tich-co-ban-fundamental</x:v>
      </x:c>
      <x:c r="M137" s="282" t="n">
        <x:v>46228.58256944444</x:v>
      </x:c>
    </x:row>
    <x:row r="138" ht="22" customHeight="1">
      <x:c r="A138" s="88" t="str">
        <x:v>balance_sheet</x:v>
      </x:c>
      <x:c r="B138" s="89" t="str">
        <x:v>price_stabilization_fund</x:v>
      </x:c>
      <x:c r="C138" s="89" t="str">
        <x:v>Quỹ bình ổn giá</x:v>
      </x:c>
      <x:c r="D138" s="89" t="str">
        <x:v>Price stabilization fund</x:v>
      </x:c>
      <x:c r="E138" s="131" t="n">
        <x:v>0</x:v>
      </x:c>
      <x:c r="F138" s="131" t="n">
        <x:v>0</x:v>
      </x:c>
      <x:c r="G138" s="131" t="n">
        <x:v>0</x:v>
      </x:c>
      <x:c r="H138" s="131" t="n">
        <x:v>0</x:v>
      </x:c>
      <x:c r="I138" s="131" t="n">
        <x:v>0</x:v>
      </x:c>
      <x:c r="J138" s="89" t="str">
        <x:v>VND</x:v>
      </x:c>
      <x:c r="K138" s="89" t="str">
        <x:v>SRC-API01</x:v>
      </x:c>
      <x:c r="L138" s="98" t="str">
        <x:v>https://vnstocks.com/docs/vnstock/phan-tich-co-ban-fundamental</x:v>
      </x:c>
      <x:c r="M138" s="282" t="n">
        <x:v>46228.58256944444</x:v>
      </x:c>
    </x:row>
    <x:row r="139" ht="22" customHeight="1">
      <x:c r="A139" s="88" t="str">
        <x:v>balance_sheet</x:v>
      </x:c>
      <x:c r="B139" s="89" t="str">
        <x:v>government_bonds_purchased_for_resale</x:v>
      </x:c>
      <x:c r="C139" s="89" t="str">
        <x:v>Giao dịch mua bán lại trái phiếu chính phủ</x:v>
      </x:c>
      <x:c r="D139" s="89" t="str">
        <x:v>Government bonds purchased for resale</x:v>
      </x:c>
      <x:c r="E139" s="131" t="n">
        <x:v>0</x:v>
      </x:c>
      <x:c r="F139" s="131" t="n">
        <x:v>0</x:v>
      </x:c>
      <x:c r="G139" s="131" t="n">
        <x:v>0</x:v>
      </x:c>
      <x:c r="H139" s="131" t="n">
        <x:v>0</x:v>
      </x:c>
      <x:c r="I139" s="131" t="n">
        <x:v>0</x:v>
      </x:c>
      <x:c r="J139" s="89" t="str">
        <x:v>VND</x:v>
      </x:c>
      <x:c r="K139" s="89" t="str">
        <x:v>SRC-API01</x:v>
      </x:c>
      <x:c r="L139" s="98" t="str">
        <x:v>https://vnstocks.com/docs/vnstock/phan-tich-co-ban-fundamental</x:v>
      </x:c>
      <x:c r="M139" s="282" t="n">
        <x:v>46228.58256944444</x:v>
      </x:c>
    </x:row>
    <x:row r="140" ht="22" customHeight="1">
      <x:c r="A140" s="88" t="str">
        <x:v>balance_sheet</x:v>
      </x:c>
      <x:c r="B140" s="89" t="str">
        <x:v>long_term_advances_from_customers</x:v>
      </x:c>
      <x:c r="C140" s="89" t="str">
        <x:v>Người mua trả tiền trước dài hạn</x:v>
      </x:c>
      <x:c r="D140" s="89" t="str">
        <x:v>Long-term advances from customers</x:v>
      </x:c>
      <x:c r="E140" s="131" t="n">
        <x:v>0</x:v>
      </x:c>
      <x:c r="F140" s="131" t="n">
        <x:v>0</x:v>
      </x:c>
      <x:c r="G140" s="131" t="n">
        <x:v>0</x:v>
      </x:c>
      <x:c r="H140" s="131" t="n">
        <x:v>0</x:v>
      </x:c>
      <x:c r="I140" s="131" t="n">
        <x:v>0</x:v>
      </x:c>
      <x:c r="J140" s="89" t="str">
        <x:v>VND</x:v>
      </x:c>
      <x:c r="K140" s="89" t="str">
        <x:v>SRC-API01</x:v>
      </x:c>
      <x:c r="L140" s="98" t="str">
        <x:v>https://vnstocks.com/docs/vnstock/phan-tich-co-ban-fundamental</x:v>
      </x:c>
      <x:c r="M140" s="282" t="n">
        <x:v>46228.58256944444</x:v>
      </x:c>
    </x:row>
    <x:row r="141" ht="22" customHeight="1">
      <x:c r="A141" s="88" t="str">
        <x:v>balance_sheet</x:v>
      </x:c>
      <x:c r="B141" s="89" t="str">
        <x:v>long_term_accrued_expenses</x:v>
      </x:c>
      <x:c r="C141" s="89" t="str">
        <x:v>Chi phí phải trả dài hạn</x:v>
      </x:c>
      <x:c r="D141" s="89" t="str">
        <x:v>Long-term accrued expenses</x:v>
      </x:c>
      <x:c r="E141" s="131" t="n">
        <x:v>0</x:v>
      </x:c>
      <x:c r="F141" s="131" t="n">
        <x:v>0</x:v>
      </x:c>
      <x:c r="G141" s="131" t="n">
        <x:v>0</x:v>
      </x:c>
      <x:c r="H141" s="131" t="n">
        <x:v>0</x:v>
      </x:c>
      <x:c r="I141" s="131" t="n">
        <x:v>0</x:v>
      </x:c>
      <x:c r="J141" s="89" t="str">
        <x:v>VND</x:v>
      </x:c>
      <x:c r="K141" s="89" t="str">
        <x:v>SRC-API01</x:v>
      </x:c>
      <x:c r="L141" s="98" t="str">
        <x:v>https://vnstocks.com/docs/vnstock/phan-tich-co-ban-fundamental</x:v>
      </x:c>
      <x:c r="M141" s="282" t="n">
        <x:v>46228.58256944444</x:v>
      </x:c>
    </x:row>
    <x:row r="142" ht="22" customHeight="1">
      <x:c r="A142" s="88" t="str">
        <x:v>balance_sheet</x:v>
      </x:c>
      <x:c r="B142" s="89" t="str">
        <x:v>intra_company_payables_for_operating_capital_received</x:v>
      </x:c>
      <x:c r="C142" s="89" t="str">
        <x:v>Phải trả nội bộ về vốn kinh doanh</x:v>
      </x:c>
      <x:c r="D142" s="89" t="str">
        <x:v>Intra-company payables for operating capital received</x:v>
      </x:c>
      <x:c r="E142" s="131" t="n">
        <x:v>0</x:v>
      </x:c>
      <x:c r="F142" s="131" t="n">
        <x:v>0</x:v>
      </x:c>
      <x:c r="G142" s="131" t="n">
        <x:v>0</x:v>
      </x:c>
      <x:c r="H142" s="131" t="n">
        <x:v>0</x:v>
      </x:c>
      <x:c r="I142" s="131" t="n">
        <x:v>0</x:v>
      </x:c>
      <x:c r="J142" s="89" t="str">
        <x:v>VND</x:v>
      </x:c>
      <x:c r="K142" s="89" t="str">
        <x:v>SRC-API01</x:v>
      </x:c>
      <x:c r="L142" s="98" t="str">
        <x:v>https://vnstocks.com/docs/vnstock/phan-tich-co-ban-fundamental</x:v>
      </x:c>
      <x:c r="M142" s="282" t="n">
        <x:v>46228.58256944444</x:v>
      </x:c>
    </x:row>
    <x:row r="143" ht="22" customHeight="1">
      <x:c r="A143" s="88" t="str">
        <x:v>balance_sheet</x:v>
      </x:c>
      <x:c r="B143" s="89" t="str">
        <x:v>convertible_bonds</x:v>
      </x:c>
      <x:c r="C143" s="89" t="str">
        <x:v>Trái phiếu chuyển đổi</x:v>
      </x:c>
      <x:c r="D143" s="89" t="str">
        <x:v>Convertible bonds</x:v>
      </x:c>
      <x:c r="E143" s="131" t="n">
        <x:v>0</x:v>
      </x:c>
      <x:c r="F143" s="131" t="n">
        <x:v>0</x:v>
      </x:c>
      <x:c r="G143" s="131" t="n">
        <x:v>0</x:v>
      </x:c>
      <x:c r="H143" s="131" t="n">
        <x:v>0</x:v>
      </x:c>
      <x:c r="I143" s="131" t="n">
        <x:v>0</x:v>
      </x:c>
      <x:c r="J143" s="89" t="str">
        <x:v>VND</x:v>
      </x:c>
      <x:c r="K143" s="89" t="str">
        <x:v>SRC-API01</x:v>
      </x:c>
      <x:c r="L143" s="98" t="str">
        <x:v>https://vnstocks.com/docs/vnstock/phan-tich-co-ban-fundamental</x:v>
      </x:c>
      <x:c r="M143" s="282" t="n">
        <x:v>46228.58256944444</x:v>
      </x:c>
    </x:row>
    <x:row r="144" ht="22" customHeight="1">
      <x:c r="A144" s="88" t="str">
        <x:v>balance_sheet</x:v>
      </x:c>
      <x:c r="B144" s="89" t="str">
        <x:v>preferred_shares</x:v>
      </x:c>
      <x:c r="C144" s="89" t="str">
        <x:v>Cổ phiếu ưu đãi</x:v>
      </x:c>
      <x:c r="D144" s="89" t="str">
        <x:v>Preferred shares</x:v>
      </x:c>
      <x:c r="E144" s="131" t="n">
        <x:v>0</x:v>
      </x:c>
      <x:c r="F144" s="131" t="n">
        <x:v>0</x:v>
      </x:c>
      <x:c r="G144" s="131" t="n">
        <x:v>0</x:v>
      </x:c>
      <x:c r="H144" s="131" t="n">
        <x:v>0</x:v>
      </x:c>
      <x:c r="I144" s="131" t="n">
        <x:v>0</x:v>
      </x:c>
      <x:c r="J144" s="89" t="str">
        <x:v>VND</x:v>
      </x:c>
      <x:c r="K144" s="89" t="str">
        <x:v>SRC-API01</x:v>
      </x:c>
      <x:c r="L144" s="98" t="str">
        <x:v>https://vnstocks.com/docs/vnstock/phan-tich-co-ban-fundamental</x:v>
      </x:c>
      <x:c r="M144" s="282" t="n">
        <x:v>46228.58256944444</x:v>
      </x:c>
    </x:row>
    <x:row r="145" ht="22" customHeight="1">
      <x:c r="A145" s="88" t="str">
        <x:v>balance_sheet</x:v>
      </x:c>
      <x:c r="B145" s="89" t="str">
        <x:v>common_shares</x:v>
      </x:c>
      <x:c r="C145" s="89" t="str">
        <x:v>Cổ phiếu phổ thông</x:v>
      </x:c>
      <x:c r="D145" s="89" t="str">
        <x:v>Common shares</x:v>
      </x:c>
      <x:c r="E145" s="131" t="n">
        <x:v>3013779570000</x:v>
      </x:c>
      <x:c r="F145" s="131" t="n">
        <x:v>3013779570000</x:v>
      </x:c>
      <x:c r="G145" s="131" t="n">
        <x:v>3058985570000</x:v>
      </x:c>
      <x:c r="H145" s="131" t="n">
        <x:v>4139826090000</x:v>
      </x:c>
      <x:c r="I145" s="131" t="n">
        <x:v>4264951090000</x:v>
      </x:c>
      <x:c r="J145" s="89" t="str">
        <x:v>VND</x:v>
      </x:c>
      <x:c r="K145" s="89" t="str">
        <x:v>SRC-API01</x:v>
      </x:c>
      <x:c r="L145" s="98" t="str">
        <x:v>https://vnstocks.com/docs/vnstock/phan-tich-co-ban-fundamental</x:v>
      </x:c>
      <x:c r="M145" s="282" t="n">
        <x:v>46228.58256944444</x:v>
      </x:c>
    </x:row>
    <x:row r="146" ht="22" customHeight="1">
      <x:c r="A146" s="88" t="str">
        <x:v>balance_sheet</x:v>
      </x:c>
      <x:c r="B146" s="89" t="str">
        <x:v>conversion_options_on_convertible_bonds</x:v>
      </x:c>
      <x:c r="C146" s="89" t="str">
        <x:v>Quyền chọn chuyển đổi trái phiếu</x:v>
      </x:c>
      <x:c r="D146" s="89" t="str">
        <x:v>Conversion options on convertible bonds</x:v>
      </x:c>
      <x:c r="E146" s="131" t="n">
        <x:v>0</x:v>
      </x:c>
      <x:c r="F146" s="131" t="n">
        <x:v>0</x:v>
      </x:c>
      <x:c r="G146" s="131" t="n">
        <x:v>0</x:v>
      </x:c>
      <x:c r="H146" s="131" t="n">
        <x:v>0</x:v>
      </x:c>
      <x:c r="I146" s="131" t="n">
        <x:v>0</x:v>
      </x:c>
      <x:c r="J146" s="89" t="str">
        <x:v>VND</x:v>
      </x:c>
      <x:c r="K146" s="89" t="str">
        <x:v>SRC-API01</x:v>
      </x:c>
      <x:c r="L146" s="98" t="str">
        <x:v>https://vnstocks.com/docs/vnstock/phan-tich-co-ban-fundamental</x:v>
      </x:c>
      <x:c r="M146" s="282" t="n">
        <x:v>46228.58256944444</x:v>
      </x:c>
    </x:row>
    <x:row r="147" ht="22" customHeight="1">
      <x:c r="A147" s="88" t="str">
        <x:v>balance_sheet</x:v>
      </x:c>
      <x:c r="B147" s="89" t="str">
        <x:v>beginning_accumulated_undistributed_earnings</x:v>
      </x:c>
      <x:c r="C147" s="89" t="str">
        <x:v>LNST chưa phân phối lũy kế đến cuối kỳ trước</x:v>
      </x:c>
      <x:c r="D147" s="89" t="str">
        <x:v>Beginning accumulated undistributed earnings</x:v>
      </x:c>
      <x:c r="E147" s="131" t="n">
        <x:v>49037490723</x:v>
      </x:c>
      <x:c r="F147" s="131" t="n">
        <x:v>233470986603</x:v>
      </x:c>
      <x:c r="G147" s="131" t="n">
        <x:v>712936669108</x:v>
      </x:c>
      <x:c r="H147" s="131" t="n">
        <x:v>2161660323888</x:v>
      </x:c>
      <x:c r="I147" s="131" t="n">
        <x:v>2457006916111</x:v>
      </x:c>
      <x:c r="J147" s="89" t="str">
        <x:v>VND</x:v>
      </x:c>
      <x:c r="K147" s="89" t="str">
        <x:v>SRC-API01</x:v>
      </x:c>
      <x:c r="L147" s="98" t="str">
        <x:v>https://vnstocks.com/docs/vnstock/phan-tich-co-ban-fundamental</x:v>
      </x:c>
      <x:c r="M147" s="282" t="n">
        <x:v>46228.58256944444</x:v>
      </x:c>
    </x:row>
    <x:row r="148" ht="22" customHeight="1">
      <x:c r="A148" s="88" t="str">
        <x:v>balance_sheet</x:v>
      </x:c>
      <x:c r="B148" s="89" t="str">
        <x:v>current_period_undistributed_earnings</x:v>
      </x:c>
      <x:c r="C148" s="89" t="str">
        <x:v>LNST chưa phân phối kỳ này</x:v>
      </x:c>
      <x:c r="D148" s="89" t="str">
        <x:v>Current period undistributed earnings</x:v>
      </x:c>
      <x:c r="E148" s="131" t="n">
        <x:v>612182073397</x:v>
      </x:c>
      <x:c r="F148" s="131" t="n">
        <x:v>993915564733</x:v>
      </x:c>
      <x:c r="G148" s="131" t="n">
        <x:v>2250577339920</x:v>
      </x:c>
      <x:c r="H148" s="131" t="n">
        <x:v>1455479595602</x:v>
      </x:c>
      <x:c r="I148" s="131" t="n">
        <x:v>1755629825296</x:v>
      </x:c>
      <x:c r="J148" s="89" t="str">
        <x:v>VND</x:v>
      </x:c>
      <x:c r="K148" s="89" t="str">
        <x:v>SRC-API01</x:v>
      </x:c>
      <x:c r="L148" s="98" t="str">
        <x:v>https://vnstocks.com/docs/vnstock/phan-tich-co-ban-fundamental</x:v>
      </x:c>
      <x:c r="M148" s="282" t="n">
        <x:v>46228.58256944444</x:v>
      </x:c>
    </x:row>
    <x:row r="149" ht="22" customHeight="1">
      <x:c r="A149" s="88" t="str">
        <x:v>balance_sheet</x:v>
      </x:c>
      <x:c r="B149" s="89" t="str">
        <x:v>construction_in_progress</x:v>
      </x:c>
      <x:c r="C149" s="89" t="str">
        <x:v>Xây dựng cơ bản đang dở dang</x:v>
      </x:c>
      <x:c r="D149" s="89" t="str">
        <x:v>Construction in progress</x:v>
      </x:c>
      <x:c r="E149" s="131" t="n">
        <x:v>1746637876859</x:v>
      </x:c>
      <x:c r="F149" s="131" t="n">
        <x:v>2790192939751</x:v>
      </x:c>
      <x:c r="G149" s="131" t="n">
        <x:v>1759344470822</x:v>
      </x:c>
      <x:c r="H149" s="131" t="n">
        <x:v>1718132778160</x:v>
      </x:c>
      <x:c r="I149" s="131" t="n">
        <x:v>1269929190028</x:v>
      </x:c>
      <x:c r="J149" s="89" t="str">
        <x:v>VND</x:v>
      </x:c>
      <x:c r="K149" s="89" t="str">
        <x:v>SRC-API01</x:v>
      </x:c>
      <x:c r="L149" s="98" t="str">
        <x:v>https://vnstocks.com/docs/vnstock/phan-tich-co-ban-fundamental</x:v>
      </x:c>
      <x:c r="M149" s="282" t="n">
        <x:v>46228.58256944444</x:v>
      </x:c>
    </x:row>
    <x:row r="150" ht="22" customHeight="1">
      <x:c r="A150" s="88" t="str">
        <x:v>balance_sheet</x:v>
      </x:c>
      <x:c r="B150" s="89" t="str">
        <x:v>goodwill</x:v>
      </x:c>
      <x:c r="C150" s="89" t="str">
        <x:v>Lợi thế thương mại</x:v>
      </x:c>
      <x:c r="D150" s="89" t="str">
        <x:v>Goodwill</x:v>
      </x:c>
      <x:c r="E150" s="131" t="n">
        <x:v>213927879951</x:v>
      </x:c>
      <x:c r="F150" s="131" t="n">
        <x:v>186324282538</x:v>
      </x:c>
      <x:c r="G150" s="131" t="n">
        <x:v>158720685125</x:v>
      </x:c>
      <x:c r="H150" s="131" t="n">
        <x:v>131117087712</x:v>
      </x:c>
      <x:c r="I150" s="131" t="n">
        <x:v>133323889049</x:v>
      </x:c>
      <x:c r="J150" s="89" t="str">
        <x:v>VND</x:v>
      </x:c>
      <x:c r="K150" s="89" t="str">
        <x:v>SRC-API01</x:v>
      </x:c>
      <x:c r="L150" s="98" t="str">
        <x:v>https://vnstocks.com/docs/vnstock/phan-tich-co-ban-fundamental</x:v>
      </x:c>
      <x:c r="M150" s="282" t="n">
        <x:v>46228.58256944444</x:v>
      </x:c>
    </x:row>
    <x:row r="151" ht="22" customHeight="1">
      <x:c r="A151" s="88" t="str">
        <x:v>balance_sheet</x:v>
      </x:c>
      <x:c r="B151" s="89" t="str">
        <x:v>minority_interests</x:v>
      </x:c>
      <x:c r="C151" s="89" t="str">
        <x:v>Lợi ích cổ đông không kiểm soát</x:v>
      </x:c>
      <x:c r="D151" s="89" t="str">
        <x:v>Minority interests</x:v>
      </x:c>
      <x:c r="E151" s="131" t="n">
        <x:v>725657516991</x:v>
      </x:c>
      <x:c r="F151" s="131" t="n">
        <x:v>1021703565834</x:v>
      </x:c>
      <x:c r="G151" s="131" t="n">
        <x:v>1151888665342</x:v>
      </x:c>
      <x:c r="H151" s="131" t="n">
        <x:v>1390036816744</x:v>
      </x:c>
      <x:c r="I151" s="131" t="n">
        <x:v>1778426741259</x:v>
      </x:c>
      <x:c r="J151" s="89" t="str">
        <x:v>VND</x:v>
      </x:c>
      <x:c r="K151" s="89" t="str">
        <x:v>SRC-API01</x:v>
      </x:c>
      <x:c r="L151" s="98" t="str">
        <x:v>https://vnstocks.com/docs/vnstock/phan-tich-co-ban-fundamental</x:v>
      </x:c>
      <x:c r="M151" s="282" t="n">
        <x:v>46228.58256944444</x:v>
      </x:c>
    </x:row>
    <x:row r="152" ht="22" customHeight="1">
      <x:c r="A152" s="88" t="str">
        <x:v>balance_sheet</x:v>
      </x:c>
      <x:c r="B152" s="89" t="str">
        <x:v>funds_used_for_fixed_asset_acquisitions</x:v>
      </x:c>
      <x:c r="C152" s="89" t="str">
        <x:v>Nguồn kinh phí đã hình thành TSCĐ</x:v>
      </x:c>
      <x:c r="D152" s="89" t="str">
        <x:v>Funds used for fixed asset acquisitions</x:v>
      </x:c>
      <x:c r="E152" s="131" t="n">
        <x:v>0</x:v>
      </x:c>
      <x:c r="F152" s="131" t="n">
        <x:v>0</x:v>
      </x:c>
      <x:c r="G152" s="131" t="n">
        <x:v>0</x:v>
      </x:c>
      <x:c r="H152" s="131" t="n">
        <x:v>0</x:v>
      </x:c>
      <x:c r="I152" s="131" t="n">
        <x:v>0</x:v>
      </x:c>
      <x:c r="J152" s="89" t="str">
        <x:v>VND</x:v>
      </x:c>
      <x:c r="K152" s="89" t="str">
        <x:v>SRC-API01</x:v>
      </x:c>
      <x:c r="L152" s="98" t="str">
        <x:v>https://vnstocks.com/docs/vnstock/phan-tich-co-ban-fundamental</x:v>
      </x:c>
      <x:c r="M152" s="282" t="n">
        <x:v>46228.58256944444</x:v>
      </x:c>
    </x:row>
    <x:row r="153" ht="22" customHeight="1">
      <x:c r="A153" s="88" t="str">
        <x:v>cash_flow</x:v>
      </x:c>
      <x:c r="B153" s="89" t="str">
        <x:v>net_profit_loss_before_tax</x:v>
      </x:c>
      <x:c r="C153" s="89" t="str">
        <x:v>Lợi nhuận/(lỗ) trước thuế</x:v>
      </x:c>
      <x:c r="D153" s="89" t="str">
        <x:v>Net profit/(loss) before tax</x:v>
      </x:c>
      <x:c r="E153" s="131" t="n">
        <x:v>806212155016</x:v>
      </x:c>
      <x:c r="F153" s="131" t="n">
        <x:v>1308477949805</x:v>
      </x:c>
      <x:c r="G153" s="131" t="n">
        <x:v>3147487212943</x:v>
      </x:c>
      <x:c r="H153" s="131" t="n">
        <x:v>2098590309616</x:v>
      </x:c>
      <x:c r="I153" s="131" t="n">
        <x:v>2520827146590</x:v>
      </x:c>
      <x:c r="J153" s="89" t="str">
        <x:v>VND</x:v>
      </x:c>
      <x:c r="K153" s="89" t="str">
        <x:v>SRC-API01</x:v>
      </x:c>
      <x:c r="L153" s="98" t="str">
        <x:v>https://vnstocks.com/docs/vnstock/phan-tich-co-ban-fundamental</x:v>
      </x:c>
      <x:c r="M153" s="282" t="n">
        <x:v>46228.58256944444</x:v>
      </x:c>
    </x:row>
    <x:row r="154" ht="22" customHeight="1">
      <x:c r="A154" s="88" t="str">
        <x:v>cash_flow</x:v>
      </x:c>
      <x:c r="B154" s="89" t="str">
        <x:v>depreciation_and_amortization</x:v>
      </x:c>
      <x:c r="C154" s="89" t="str">
        <x:v>Khấu hao TSCĐ và BĐSĐT</x:v>
      </x:c>
      <x:c r="D154" s="89" t="str">
        <x:v>Depreciation and amortization</x:v>
      </x:c>
      <x:c r="E154" s="131" t="n">
        <x:v>379546125928</x:v>
      </x:c>
      <x:c r="F154" s="131" t="n">
        <x:v>393185025852</x:v>
      </x:c>
      <x:c r="G154" s="131" t="n">
        <x:v>396417877879</x:v>
      </x:c>
      <x:c r="H154" s="131" t="n">
        <x:v>405544194113</x:v>
      </x:c>
      <x:c r="I154" s="131" t="n">
        <x:v>415219036556</x:v>
      </x:c>
      <x:c r="J154" s="89" t="str">
        <x:v>VND</x:v>
      </x:c>
      <x:c r="K154" s="89" t="str">
        <x:v>SRC-API01</x:v>
      </x:c>
      <x:c r="L154" s="98" t="str">
        <x:v>https://vnstocks.com/docs/vnstock/phan-tich-co-ban-fundamental</x:v>
      </x:c>
      <x:c r="M154" s="282" t="n">
        <x:v>46228.58256944444</x:v>
      </x:c>
    </x:row>
    <x:row r="155" ht="22" customHeight="1">
      <x:c r="A155" s="88" t="str">
        <x:v>cash_flow</x:v>
      </x:c>
      <x:c r="B155" s="89" t="str">
        <x:v>provisions</x:v>
      </x:c>
      <x:c r="C155" s="89" t="str">
        <x:v>Chi phí dự phòng</x:v>
      </x:c>
      <x:c r="D155" s="89" t="str">
        <x:v>Provisions</x:v>
      </x:c>
      <x:c r="E155" s="131" t="n">
        <x:v>101005425598</x:v>
      </x:c>
      <x:c r="F155" s="131" t="n">
        <x:v>-26270725784</x:v>
      </x:c>
      <x:c r="G155" s="131" t="n">
        <x:v>-22060823541</x:v>
      </x:c>
      <x:c r="H155" s="131" t="n">
        <x:v>102796790751</x:v>
      </x:c>
      <x:c r="I155" s="131" t="n">
        <x:v>-14128589765</x:v>
      </x:c>
      <x:c r="J155" s="89" t="str">
        <x:v>VND</x:v>
      </x:c>
      <x:c r="K155" s="89" t="str">
        <x:v>SRC-API01</x:v>
      </x:c>
      <x:c r="L155" s="98" t="str">
        <x:v>https://vnstocks.com/docs/vnstock/phan-tich-co-ban-fundamental</x:v>
      </x:c>
      <x:c r="M155" s="282" t="n">
        <x:v>46228.58256944444</x:v>
      </x:c>
    </x:row>
    <x:row r="156" ht="22" customHeight="1">
      <x:c r="A156" s="88" t="str">
        <x:v>cash_flow</x:v>
      </x:c>
      <x:c r="B156" s="89" t="str">
        <x:v>unrealized_foreign_exchange_gain_loss</x:v>
      </x:c>
      <x:c r="C156" s="89" t="str">
        <x:v>Lãi/lỗ chênh lệch tỷ giá hối đoái do đánh giá lại các khoản mục tiền tệ có gốc ngoại tệ</x:v>
      </x:c>
      <x:c r="D156" s="89" t="str">
        <x:v>Unrealized foreign exchange gain/(loss)</x:v>
      </x:c>
      <x:c r="E156" s="131" t="n">
        <x:v>-1291611011</x:v>
      </x:c>
      <x:c r="F156" s="131" t="n">
        <x:v>6996393760</x:v>
      </x:c>
      <x:c r="G156" s="131" t="n">
        <x:v>-2630513181</x:v>
      </x:c>
      <x:c r="H156" s="131" t="n">
        <x:v>-4658386010</x:v>
      </x:c>
      <x:c r="I156" s="131" t="n">
        <x:v>-10877884553</x:v>
      </x:c>
      <x:c r="J156" s="89" t="str">
        <x:v>VND</x:v>
      </x:c>
      <x:c r="K156" s="89" t="str">
        <x:v>SRC-API01</x:v>
      </x:c>
      <x:c r="L156" s="98" t="str">
        <x:v>https://vnstocks.com/docs/vnstock/phan-tich-co-ban-fundamental</x:v>
      </x:c>
      <x:c r="M156" s="282" t="n">
        <x:v>46228.58256944444</x:v>
      </x:c>
    </x:row>
    <x:row r="157" ht="22" customHeight="1">
      <x:c r="A157" s="88" t="str">
        <x:v>cash_flow</x:v>
      </x:c>
      <x:c r="B157" s="89" t="str">
        <x:v>profit_loss_from_liquidating_fixed_assets</x:v>
      </x:c>
      <x:c r="C157" s="89" t="str">
        <x:v>Lãi/(lỗ) từ thanh lý tài sản cố định</x:v>
      </x:c>
      <x:c r="D157" s="89" t="str">
        <x:v>Profit/loss from liquidating fixed assets</x:v>
      </x:c>
      <x:c r="E157" s="131" t="n">
        <x:v>0</x:v>
      </x:c>
      <x:c r="F157" s="131" t="n">
        <x:v>0</x:v>
      </x:c>
      <x:c r="G157" s="131" t="n">
        <x:v>0</x:v>
      </x:c>
      <x:c r="H157" s="131" t="n">
        <x:v>0</x:v>
      </x:c>
      <x:c r="I157" s="131" t="n">
        <x:v>0</x:v>
      </x:c>
      <x:c r="J157" s="89" t="str">
        <x:v>VND</x:v>
      </x:c>
      <x:c r="K157" s="89" t="str">
        <x:v>SRC-API01</x:v>
      </x:c>
      <x:c r="L157" s="98" t="str">
        <x:v>https://vnstocks.com/docs/vnstock/phan-tich-co-ban-fundamental</x:v>
      </x:c>
      <x:c r="M157" s="282" t="n">
        <x:v>46228.58256944444</x:v>
      </x:c>
    </x:row>
    <x:row r="158" ht="22" customHeight="1">
      <x:c r="A158" s="88" t="str">
        <x:v>cash_flow</x:v>
      </x:c>
      <x:c r="B158" s="89" t="str">
        <x:v>profit_loss_from_investing_activities</x:v>
      </x:c>
      <x:c r="C158" s="89" t="str">
        <x:v>(Lãi)/lỗ từ hoạt động đầu tư</x:v>
      </x:c>
      <x:c r="D158" s="89" t="str">
        <x:v>Profit/loss from investing activities</x:v>
      </x:c>
      <x:c r="E158" s="131" t="n">
        <x:v>-193556811497</x:v>
      </x:c>
      <x:c r="F158" s="131" t="n">
        <x:v>-412441183177</x:v>
      </x:c>
      <x:c r="G158" s="131" t="n">
        <x:v>-2213005870827</x:v>
      </x:c>
      <x:c r="H158" s="131" t="n">
        <x:v>-823434453484</x:v>
      </x:c>
      <x:c r="I158" s="131" t="n">
        <x:v>-945387787283</x:v>
      </x:c>
      <x:c r="J158" s="89" t="str">
        <x:v>VND</x:v>
      </x:c>
      <x:c r="K158" s="89" t="str">
        <x:v>SRC-API01</x:v>
      </x:c>
      <x:c r="L158" s="98" t="str">
        <x:v>https://vnstocks.com/docs/vnstock/phan-tich-co-ban-fundamental</x:v>
      </x:c>
      <x:c r="M158" s="282" t="n">
        <x:v>46228.58256944444</x:v>
      </x:c>
    </x:row>
    <x:row r="159" ht="22" customHeight="1">
      <x:c r="A159" s="88" t="str">
        <x:v>cash_flow</x:v>
      </x:c>
      <x:c r="B159" s="89" t="str">
        <x:v>interest_expense</x:v>
      </x:c>
      <x:c r="C159" s="89" t="str">
        <x:v>Chi phí lãi vay</x:v>
      </x:c>
      <x:c r="D159" s="89" t="str">
        <x:v>Interest expense</x:v>
      </x:c>
      <x:c r="E159" s="131" t="n">
        <x:v>119252955378</x:v>
      </x:c>
      <x:c r="F159" s="131" t="n">
        <x:v>130756997659</x:v>
      </x:c>
      <x:c r="G159" s="131" t="n">
        <x:v>134993138662</x:v>
      </x:c>
      <x:c r="H159" s="131" t="n">
        <x:v>139487501839</x:v>
      </x:c>
      <x:c r="I159" s="131" t="n">
        <x:v>112580748513</x:v>
      </x:c>
      <x:c r="J159" s="89" t="str">
        <x:v>VND</x:v>
      </x:c>
      <x:c r="K159" s="89" t="str">
        <x:v>SRC-API01</x:v>
      </x:c>
      <x:c r="L159" s="98" t="str">
        <x:v>https://vnstocks.com/docs/vnstock/phan-tich-co-ban-fundamental</x:v>
      </x:c>
      <x:c r="M159" s="282" t="n">
        <x:v>46228.58256944444</x:v>
      </x:c>
    </x:row>
    <x:row r="160" ht="22" customHeight="1">
      <x:c r="A160" s="88" t="str">
        <x:v>cash_flow</x:v>
      </x:c>
      <x:c r="B160" s="89" t="str">
        <x:v>interest_income_and_dividend</x:v>
      </x:c>
      <x:c r="C160" s="89" t="str">
        <x:v>Thu lãi và cổ tức</x:v>
      </x:c>
      <x:c r="D160" s="89" t="str">
        <x:v>Interest income and dividend</x:v>
      </x:c>
      <x:c r="E160" s="131" t="n">
        <x:v>0</x:v>
      </x:c>
      <x:c r="F160" s="131" t="n">
        <x:v>0</x:v>
      </x:c>
      <x:c r="G160" s="131" t="n">
        <x:v>0</x:v>
      </x:c>
      <x:c r="H160" s="131" t="n">
        <x:v>0</x:v>
      </x:c>
      <x:c r="I160" s="131" t="n">
        <x:v>0</x:v>
      </x:c>
      <x:c r="J160" s="89" t="str">
        <x:v>VND</x:v>
      </x:c>
      <x:c r="K160" s="89" t="str">
        <x:v>SRC-API01</x:v>
      </x:c>
      <x:c r="L160" s="98" t="str">
        <x:v>https://vnstocks.com/docs/vnstock/phan-tich-co-ban-fundamental</x:v>
      </x:c>
      <x:c r="M160" s="282" t="n">
        <x:v>46228.58256944444</x:v>
      </x:c>
    </x:row>
    <x:row r="161" ht="22" customHeight="1">
      <x:c r="A161" s="88" t="str">
        <x:v>cash_flow</x:v>
      </x:c>
      <x:c r="B161" s="89" t="str">
        <x:v>operating_profit_loss_before_changes_in_working_capital</x:v>
      </x:c>
      <x:c r="C161" s="89" t="str">
        <x:v>Lợi nhuận/(lỗ) từ hoạt động kinh doanh trước những thay đổi vốn lưu động</x:v>
      </x:c>
      <x:c r="D161" s="89" t="str">
        <x:v>Operating profit/(loss) before changes in Working Capital</x:v>
      </x:c>
      <x:c r="E161" s="131" t="n">
        <x:v>1211168239412</x:v>
      </x:c>
      <x:c r="F161" s="131" t="n">
        <x:v>1400704458115</x:v>
      </x:c>
      <x:c r="G161" s="131" t="n">
        <x:v>1441201021935</x:v>
      </x:c>
      <x:c r="H161" s="131" t="n">
        <x:v>1918325956825</x:v>
      </x:c>
      <x:c r="I161" s="131" t="n">
        <x:v>2078232670058</x:v>
      </x:c>
      <x:c r="J161" s="89" t="str">
        <x:v>VND</x:v>
      </x:c>
      <x:c r="K161" s="89" t="str">
        <x:v>SRC-API01</x:v>
      </x:c>
      <x:c r="L161" s="98" t="str">
        <x:v>https://vnstocks.com/docs/vnstock/phan-tich-co-ban-fundamental</x:v>
      </x:c>
      <x:c r="M161" s="282" t="n">
        <x:v>46228.58256944444</x:v>
      </x:c>
    </x:row>
    <x:row r="162" ht="22" customHeight="1">
      <x:c r="A162" s="88" t="str">
        <x:v>cash_flow</x:v>
      </x:c>
      <x:c r="B162" s="89" t="str">
        <x:v>increase_decrease_in_receivables</x:v>
      </x:c>
      <x:c r="C162" s="89" t="str">
        <x:v>(Tăng)/giảm các khoản phải thu</x:v>
      </x:c>
      <x:c r="D162" s="89" t="str">
        <x:v>(Increase)/decrease in receivables</x:v>
      </x:c>
      <x:c r="E162" s="131" t="n">
        <x:v>6115164743</x:v>
      </x:c>
      <x:c r="F162" s="131" t="n">
        <x:v>-185782265127</x:v>
      </x:c>
      <x:c r="G162" s="131" t="n">
        <x:v>383528564483</x:v>
      </x:c>
      <x:c r="H162" s="131" t="n">
        <x:v>151701348565</x:v>
      </x:c>
      <x:c r="I162" s="131" t="n">
        <x:v>344753071999</x:v>
      </x:c>
      <x:c r="J162" s="89" t="str">
        <x:v>VND</x:v>
      </x:c>
      <x:c r="K162" s="89" t="str">
        <x:v>SRC-API01</x:v>
      </x:c>
      <x:c r="L162" s="98" t="str">
        <x:v>https://vnstocks.com/docs/vnstock/phan-tich-co-ban-fundamental</x:v>
      </x:c>
      <x:c r="M162" s="282" t="n">
        <x:v>46228.58256944444</x:v>
      </x:c>
    </x:row>
    <x:row r="163" ht="22" customHeight="1">
      <x:c r="A163" s="88" t="str">
        <x:v>cash_flow</x:v>
      </x:c>
      <x:c r="B163" s="89" t="str">
        <x:v>increase_decrease_in_inventories</x:v>
      </x:c>
      <x:c r="C163" s="89" t="str">
        <x:v>(Tăng)/giảm hàng tồn kho</x:v>
      </x:c>
      <x:c r="D163" s="89" t="str">
        <x:v>(Increase)/decrease in inventories</x:v>
      </x:c>
      <x:c r="E163" s="131" t="n">
        <x:v>8456906910</x:v>
      </x:c>
      <x:c r="F163" s="131" t="n">
        <x:v>-13752541231</x:v>
      </x:c>
      <x:c r="G163" s="131" t="n">
        <x:v>24702300246</x:v>
      </x:c>
      <x:c r="H163" s="131" t="n">
        <x:v>-11919647669</x:v>
      </x:c>
      <x:c r="I163" s="131" t="n">
        <x:v>-9058127008</x:v>
      </x:c>
      <x:c r="J163" s="89" t="str">
        <x:v>VND</x:v>
      </x:c>
      <x:c r="K163" s="89" t="str">
        <x:v>SRC-API01</x:v>
      </x:c>
      <x:c r="L163" s="98" t="str">
        <x:v>https://vnstocks.com/docs/vnstock/phan-tich-co-ban-fundamental</x:v>
      </x:c>
      <x:c r="M163" s="282" t="n">
        <x:v>46228.58256944444</x:v>
      </x:c>
    </x:row>
    <x:row r="164" ht="22" customHeight="1">
      <x:c r="A164" s="88" t="str">
        <x:v>cash_flow</x:v>
      </x:c>
      <x:c r="B164" s="89" t="str">
        <x:v>increase_decrease_in_payables</x:v>
      </x:c>
      <x:c r="C164" s="89" t="str">
        <x:v>Tăng/(giảm) các khoản phải trả</x:v>
      </x:c>
      <x:c r="D164" s="89" t="str">
        <x:v>Increase/(decrease) in payables</x:v>
      </x:c>
      <x:c r="E164" s="131" t="n">
        <x:v>-30962460624</x:v>
      </x:c>
      <x:c r="F164" s="131" t="n">
        <x:v>1392985360410</x:v>
      </x:c>
      <x:c r="G164" s="131" t="n">
        <x:v>-1073170928312</x:v>
      </x:c>
      <x:c r="H164" s="131" t="n">
        <x:v>-34738738791</x:v>
      </x:c>
      <x:c r="I164" s="131" t="n">
        <x:v>278103091855</x:v>
      </x:c>
      <x:c r="J164" s="89" t="str">
        <x:v>VND</x:v>
      </x:c>
      <x:c r="K164" s="89" t="str">
        <x:v>SRC-API01</x:v>
      </x:c>
      <x:c r="L164" s="98" t="str">
        <x:v>https://vnstocks.com/docs/vnstock/phan-tich-co-ban-fundamental</x:v>
      </x:c>
      <x:c r="M164" s="282" t="n">
        <x:v>46228.58256944444</x:v>
      </x:c>
    </x:row>
    <x:row r="165" ht="22" customHeight="1">
      <x:c r="A165" s="88" t="str">
        <x:v>cash_flow</x:v>
      </x:c>
      <x:c r="B165" s="89" t="str">
        <x:v>increase_decrease_in_prepaid_expenses</x:v>
      </x:c>
      <x:c r="C165" s="89" t="str">
        <x:v>(Tăng)/giảm chi phí trả trước</x:v>
      </x:c>
      <x:c r="D165" s="89" t="str">
        <x:v>(Increase)/decrease in prepaid expenses</x:v>
      </x:c>
      <x:c r="E165" s="131" t="n">
        <x:v>11332195824</x:v>
      </x:c>
      <x:c r="F165" s="131" t="n">
        <x:v>9899646117</x:v>
      </x:c>
      <x:c r="G165" s="131" t="n">
        <x:v>23813122803</x:v>
      </x:c>
      <x:c r="H165" s="131" t="n">
        <x:v>-74648483580</x:v>
      </x:c>
      <x:c r="I165" s="131" t="n">
        <x:v>-93984329081</x:v>
      </x:c>
      <x:c r="J165" s="89" t="str">
        <x:v>VND</x:v>
      </x:c>
      <x:c r="K165" s="89" t="str">
        <x:v>SRC-API01</x:v>
      </x:c>
      <x:c r="L165" s="98" t="str">
        <x:v>https://vnstocks.com/docs/vnstock/phan-tich-co-ban-fundamental</x:v>
      </x:c>
      <x:c r="M165" s="282" t="n">
        <x:v>46228.58256944444</x:v>
      </x:c>
    </x:row>
    <x:row r="166" ht="22" customHeight="1">
      <x:c r="A166" s="88" t="str">
        <x:v>cash_flow</x:v>
      </x:c>
      <x:c r="B166" s="89" t="str">
        <x:v>interest_paid</x:v>
      </x:c>
      <x:c r="C166" s="89" t="str">
        <x:v>Tiền lãi vay đã trả</x:v>
      </x:c>
      <x:c r="D166" s="89" t="str">
        <x:v>Interest paid</x:v>
      </x:c>
      <x:c r="E166" s="131" t="n">
        <x:v>-125739991542</x:v>
      </x:c>
      <x:c r="F166" s="131" t="n">
        <x:v>-125924664584</x:v>
      </x:c>
      <x:c r="G166" s="131" t="n">
        <x:v>-139730551008</x:v>
      </x:c>
      <x:c r="H166" s="131" t="n">
        <x:v>-141493134412</x:v>
      </x:c>
      <x:c r="I166" s="131" t="n">
        <x:v>-116338008707</x:v>
      </x:c>
      <x:c r="J166" s="89" t="str">
        <x:v>VND</x:v>
      </x:c>
      <x:c r="K166" s="89" t="str">
        <x:v>SRC-API01</x:v>
      </x:c>
      <x:c r="L166" s="98" t="str">
        <x:v>https://vnstocks.com/docs/vnstock/phan-tich-co-ban-fundamental</x:v>
      </x:c>
      <x:c r="M166" s="282" t="n">
        <x:v>46228.58256944444</x:v>
      </x:c>
    </x:row>
    <x:row r="167" ht="22" customHeight="1">
      <x:c r="A167" s="88" t="str">
        <x:v>cash_flow</x:v>
      </x:c>
      <x:c r="B167" s="89" t="str">
        <x:v>corporate_income_tax_paid</x:v>
      </x:c>
      <x:c r="C167" s="89" t="str">
        <x:v>Thuế thu nhập doanh nghiệp đã nộp</x:v>
      </x:c>
      <x:c r="D167" s="89" t="str">
        <x:v>Corporate Income Tax paid</x:v>
      </x:c>
      <x:c r="E167" s="131" t="n">
        <x:v>-102791928222</x:v>
      </x:c>
      <x:c r="F167" s="131" t="n">
        <x:v>-147473893753</x:v>
      </x:c>
      <x:c r="G167" s="131" t="n">
        <x:v>-624980841588</x:v>
      </x:c>
      <x:c r="H167" s="131" t="n">
        <x:v>-241989987693</x:v>
      </x:c>
      <x:c r="I167" s="131" t="n">
        <x:v>-243715221798</x:v>
      </x:c>
      <x:c r="J167" s="89" t="str">
        <x:v>VND</x:v>
      </x:c>
      <x:c r="K167" s="89" t="str">
        <x:v>SRC-API01</x:v>
      </x:c>
      <x:c r="L167" s="98" t="str">
        <x:v>https://vnstocks.com/docs/vnstock/phan-tich-co-ban-fundamental</x:v>
      </x:c>
      <x:c r="M167" s="282" t="n">
        <x:v>46228.58256944444</x:v>
      </x:c>
    </x:row>
    <x:row r="168" ht="22" customHeight="1">
      <x:c r="A168" s="88" t="str">
        <x:v>cash_flow</x:v>
      </x:c>
      <x:c r="B168" s="89" t="str">
        <x:v>other_receipts_from_operating_activities</x:v>
      </x:c>
      <x:c r="C168" s="89" t="str">
        <x:v>Tiền thu khác từ hoạt động kinh doanh</x:v>
      </x:c>
      <x:c r="D168" s="89" t="str">
        <x:v>Other receipts from operating activities</x:v>
      </x:c>
      <x:c r="E168" s="131" t="n">
        <x:v>0</x:v>
      </x:c>
      <x:c r="F168" s="131" t="n">
        <x:v>0</x:v>
      </x:c>
      <x:c r="G168" s="131" t="n">
        <x:v>0</x:v>
      </x:c>
      <x:c r="H168" s="131" t="n">
        <x:v>0</x:v>
      </x:c>
      <x:c r="I168" s="131" t="n">
        <x:v>0</x:v>
      </x:c>
      <x:c r="J168" s="89" t="str">
        <x:v>VND</x:v>
      </x:c>
      <x:c r="K168" s="89" t="str">
        <x:v>SRC-API01</x:v>
      </x:c>
      <x:c r="L168" s="98" t="str">
        <x:v>https://vnstocks.com/docs/vnstock/phan-tich-co-ban-fundamental</x:v>
      </x:c>
      <x:c r="M168" s="282" t="n">
        <x:v>46228.58256944444</x:v>
      </x:c>
    </x:row>
    <x:row r="169" ht="22" customHeight="1">
      <x:c r="A169" s="88" t="str">
        <x:v>cash_flow</x:v>
      </x:c>
      <x:c r="B169" s="89" t="str">
        <x:v>other_payments_on_operating_activities</x:v>
      </x:c>
      <x:c r="C169" s="89" t="str">
        <x:v>Tiền chi khác cho hoạt động kinh doanh</x:v>
      </x:c>
      <x:c r="D169" s="89" t="str">
        <x:v>Other payments on operating activities</x:v>
      </x:c>
      <x:c r="E169" s="131" t="n">
        <x:v>-16290008055</x:v>
      </x:c>
      <x:c r="F169" s="131" t="n">
        <x:v>-31416271928</x:v>
      </x:c>
      <x:c r="G169" s="131" t="n">
        <x:v>-38233006803</x:v>
      </x:c>
      <x:c r="H169" s="131" t="n">
        <x:v>-49836052180</x:v>
      </x:c>
      <x:c r="I169" s="131" t="n">
        <x:v>-116037877180</x:v>
      </x:c>
      <x:c r="J169" s="89" t="str">
        <x:v>VND</x:v>
      </x:c>
      <x:c r="K169" s="89" t="str">
        <x:v>SRC-API01</x:v>
      </x:c>
      <x:c r="L169" s="98" t="str">
        <x:v>https://vnstocks.com/docs/vnstock/phan-tich-co-ban-fundamental</x:v>
      </x:c>
      <x:c r="M169" s="282" t="n">
        <x:v>46228.58256944444</x:v>
      </x:c>
    </x:row>
    <x:row r="170" ht="22" customHeight="1">
      <x:c r="A170" s="88" t="str">
        <x:v>cash_flow</x:v>
      </x:c>
      <x:c r="B170" s="89" t="str">
        <x:v>net_cash_inflows_outflows_from_operating_activities</x:v>
      </x:c>
      <x:c r="C170" s="89" t="str">
        <x:v>Lưu chuyển tiền tệ ròng từ các hoạt động sản xuất kinh doanh</x:v>
      </x:c>
      <x:c r="D170" s="89" t="str">
        <x:v>Net cash inflows/(outflows) from operating activities</x:v>
      </x:c>
      <x:c r="E170" s="131" t="n">
        <x:v>964817116119</x:v>
      </x:c>
      <x:c r="F170" s="131" t="n">
        <x:v>2299239828019</x:v>
      </x:c>
      <x:c r="G170" s="131" t="n">
        <x:v>-2870318244</x:v>
      </x:c>
      <x:c r="H170" s="131" t="n">
        <x:v>1526822551805</x:v>
      </x:c>
      <x:c r="I170" s="131" t="n">
        <x:v>2142022560788</x:v>
      </x:c>
      <x:c r="J170" s="89" t="str">
        <x:v>VND</x:v>
      </x:c>
      <x:c r="K170" s="89" t="str">
        <x:v>SRC-API01</x:v>
      </x:c>
      <x:c r="L170" s="98" t="str">
        <x:v>https://vnstocks.com/docs/vnstock/phan-tich-co-ban-fundamental</x:v>
      </x:c>
      <x:c r="M170" s="282" t="n">
        <x:v>46228.58256944444</x:v>
      </x:c>
    </x:row>
    <x:row r="171" ht="22" customHeight="1">
      <x:c r="A171" s="88" t="str">
        <x:v>cash_flow</x:v>
      </x:c>
      <x:c r="B171" s="89" t="str">
        <x:v>purchases_of_fixed_assets_and_other_long_term_assets</x:v>
      </x:c>
      <x:c r="C171" s="89" t="str">
        <x:v>Tiền chi để mua sắm, xây dựng TSCĐ và các tài sản dài hạn khác</x:v>
      </x:c>
      <x:c r="D171" s="89" t="str">
        <x:v>Purchases of fixed assets and other long term assets</x:v>
      </x:c>
      <x:c r="E171" s="131" t="n">
        <x:v>-586166126553</x:v>
      </x:c>
      <x:c r="F171" s="131" t="n">
        <x:v>-1365689144155</x:v>
      </x:c>
      <x:c r="G171" s="131" t="n">
        <x:v>-1177219493538</x:v>
      </x:c>
      <x:c r="H171" s="131" t="n">
        <x:v>-1479931826076</x:v>
      </x:c>
      <x:c r="I171" s="131" t="n">
        <x:v>-1676123112351</x:v>
      </x:c>
      <x:c r="J171" s="89" t="str">
        <x:v>VND</x:v>
      </x:c>
      <x:c r="K171" s="89" t="str">
        <x:v>SRC-API01</x:v>
      </x:c>
      <x:c r="L171" s="98" t="str">
        <x:v>https://vnstocks.com/docs/vnstock/phan-tich-co-ban-fundamental</x:v>
      </x:c>
      <x:c r="M171" s="282" t="n">
        <x:v>46228.58256944444</x:v>
      </x:c>
    </x:row>
    <x:row r="172" ht="22" customHeight="1">
      <x:c r="A172" s="88" t="str">
        <x:v>cash_flow</x:v>
      </x:c>
      <x:c r="B172" s="89" t="str">
        <x:v>proceeds_from_disposal_of_fixed_assets</x:v>
      </x:c>
      <x:c r="C172" s="89" t="str">
        <x:v>Tiền thu từ thanh lý, nhượng bán TSCĐ và các tài sản dài hạn khác</x:v>
      </x:c>
      <x:c r="D172" s="89" t="str">
        <x:v>Proceeds from disposal of fixed assets</x:v>
      </x:c>
      <x:c r="E172" s="131" t="n">
        <x:v>42063426571</x:v>
      </x:c>
      <x:c r="F172" s="131" t="n">
        <x:v>4403181140</x:v>
      </x:c>
      <x:c r="G172" s="131" t="n">
        <x:v>23823240588</x:v>
      </x:c>
      <x:c r="H172" s="131" t="n">
        <x:v>12589305217</x:v>
      </x:c>
      <x:c r="I172" s="131" t="n">
        <x:v>4193338872</x:v>
      </x:c>
      <x:c r="J172" s="89" t="str">
        <x:v>VND</x:v>
      </x:c>
      <x:c r="K172" s="89" t="str">
        <x:v>SRC-API01</x:v>
      </x:c>
      <x:c r="L172" s="98" t="str">
        <x:v>https://vnstocks.com/docs/vnstock/phan-tich-co-ban-fundamental</x:v>
      </x:c>
      <x:c r="M172" s="282" t="n">
        <x:v>46228.58256944444</x:v>
      </x:c>
    </x:row>
    <x:row r="173" ht="22" customHeight="1">
      <x:c r="A173" s="88" t="str">
        <x:v>cash_flow</x:v>
      </x:c>
      <x:c r="B173" s="89" t="str">
        <x:v>loans_granted_purchases_of_debt_instruments</x:v>
      </x:c>
      <x:c r="C173" s="89" t="str">
        <x:v>Tiền chi cho vay, mua các công cụ nợ của đơn vị khác</x:v>
      </x:c>
      <x:c r="D173" s="89" t="str">
        <x:v>Loans granted, purchases of debt instruments</x:v>
      </x:c>
      <x:c r="E173" s="131" t="n">
        <x:v>-95493500000</x:v>
      </x:c>
      <x:c r="F173" s="131" t="n">
        <x:v>-85823187945</x:v>
      </x:c>
      <x:c r="G173" s="131" t="n">
        <x:v>-993619305466</x:v>
      </x:c>
      <x:c r="H173" s="131" t="n">
        <x:v>-1381300000000</x:v>
      </x:c>
      <x:c r="I173" s="131" t="n">
        <x:v>-4075296210765</x:v>
      </x:c>
      <x:c r="J173" s="89" t="str">
        <x:v>VND</x:v>
      </x:c>
      <x:c r="K173" s="89" t="str">
        <x:v>SRC-API01</x:v>
      </x:c>
      <x:c r="L173" s="98" t="str">
        <x:v>https://vnstocks.com/docs/vnstock/phan-tich-co-ban-fundamental</x:v>
      </x:c>
      <x:c r="M173" s="282" t="n">
        <x:v>46228.58256944444</x:v>
      </x:c>
    </x:row>
    <x:row r="174" ht="22" customHeight="1">
      <x:c r="A174" s="88" t="str">
        <x:v>cash_flow</x:v>
      </x:c>
      <x:c r="B174" s="89" t="str">
        <x:v>collection_of_loans_proceeds_from_sales_of_debts_instruments</x:v>
      </x:c>
      <x:c r="C174" s="89" t="str">
        <x:v>Tiền thu hồi cho vay, bán lại các công cụ nợ của đơn vị khác</x:v>
      </x:c>
      <x:c r="D174" s="89" t="str">
        <x:v>Collection of loans, proceeds from sales of debts instruments</x:v>
      </x:c>
      <x:c r="E174" s="131" t="n">
        <x:v>104777701116</x:v>
      </x:c>
      <x:c r="F174" s="131" t="n">
        <x:v>38518747583</x:v>
      </x:c>
      <x:c r="G174" s="131" t="n">
        <x:v>436631672188</x:v>
      </x:c>
      <x:c r="H174" s="131" t="n">
        <x:v>946206072057</x:v>
      </x:c>
      <x:c r="I174" s="131" t="n">
        <x:v>2329000000000</x:v>
      </x:c>
      <x:c r="J174" s="89" t="str">
        <x:v>VND</x:v>
      </x:c>
      <x:c r="K174" s="89" t="str">
        <x:v>SRC-API01</x:v>
      </x:c>
      <x:c r="L174" s="98" t="str">
        <x:v>https://vnstocks.com/docs/vnstock/phan-tich-co-ban-fundamental</x:v>
      </x:c>
      <x:c r="M174" s="282" t="n">
        <x:v>46228.58256944444</x:v>
      </x:c>
    </x:row>
    <x:row r="175" ht="22" customHeight="1">
      <x:c r="A175" s="88" t="str">
        <x:v>cash_flow</x:v>
      </x:c>
      <x:c r="B175" s="89" t="str">
        <x:v>investments_in_other_entities</x:v>
      </x:c>
      <x:c r="C175" s="89" t="str">
        <x:v>Tiền chi đầu tư góp vốn vào đơn vị khác</x:v>
      </x:c>
      <x:c r="D175" s="89" t="str">
        <x:v>Investments in other entities</x:v>
      </x:c>
      <x:c r="E175" s="131" t="n">
        <x:v>0</x:v>
      </x:c>
      <x:c r="F175" s="131" t="n">
        <x:v>0</x:v>
      </x:c>
      <x:c r="G175" s="131" t="n">
        <x:v>-892687500</x:v>
      </x:c>
      <x:c r="H175" s="131" t="n">
        <x:v>-132146062400</x:v>
      </x:c>
      <x:c r="I175" s="131" t="n">
        <x:v>-386519952418</x:v>
      </x:c>
      <x:c r="J175" s="89" t="str">
        <x:v>VND</x:v>
      </x:c>
      <x:c r="K175" s="89" t="str">
        <x:v>SRC-API01</x:v>
      </x:c>
      <x:c r="L175" s="98" t="str">
        <x:v>https://vnstocks.com/docs/vnstock/phan-tich-co-ban-fundamental</x:v>
      </x:c>
      <x:c r="M175" s="282" t="n">
        <x:v>46228.58256944444</x:v>
      </x:c>
    </x:row>
    <x:row r="176" ht="22" customHeight="1">
      <x:c r="A176" s="88" t="str">
        <x:v>cash_flow</x:v>
      </x:c>
      <x:c r="B176" s="89" t="str">
        <x:v>proceeds_from_divestment_in_other_entities</x:v>
      </x:c>
      <x:c r="C176" s="89" t="str">
        <x:v>Tiền thu hồi đầu tư góp vốn vào đơn vị khác</x:v>
      </x:c>
      <x:c r="D176" s="89" t="str">
        <x:v>Proceeds from divestment in other entities</x:v>
      </x:c>
      <x:c r="E176" s="131" t="n">
        <x:v>55371828595</x:v>
      </x:c>
      <x:c r="F176" s="131" t="n">
        <x:v>0</x:v>
      </x:c>
      <x:c r="G176" s="131" t="n">
        <x:v>2424939863568</x:v>
      </x:c>
      <x:c r="H176" s="131" t="n">
        <x:v>369529075758</x:v>
      </x:c>
      <x:c r="I176" s="131" t="n">
        <x:v>0</x:v>
      </x:c>
      <x:c r="J176" s="89" t="str">
        <x:v>VND</x:v>
      </x:c>
      <x:c r="K176" s="89" t="str">
        <x:v>SRC-API01</x:v>
      </x:c>
      <x:c r="L176" s="98" t="str">
        <x:v>https://vnstocks.com/docs/vnstock/phan-tich-co-ban-fundamental</x:v>
      </x:c>
      <x:c r="M176" s="282" t="n">
        <x:v>46228.58256944444</x:v>
      </x:c>
    </x:row>
    <x:row r="177" ht="22" customHeight="1">
      <x:c r="A177" s="88" t="str">
        <x:v>cash_flow</x:v>
      </x:c>
      <x:c r="B177" s="89" t="str">
        <x:v>dividends_and_interest_received</x:v>
      </x:c>
      <x:c r="C177" s="89" t="str">
        <x:v>Tiền thu lãi cho vay, cổ tức và lợi nhuận được chia</x:v>
      </x:c>
      <x:c r="D177" s="89" t="str">
        <x:v>Dividends and interest received</x:v>
      </x:c>
      <x:c r="E177" s="131" t="n">
        <x:v>123137777361</x:v>
      </x:c>
      <x:c r="F177" s="131" t="n">
        <x:v>173845190285</x:v>
      </x:c>
      <x:c r="G177" s="131" t="n">
        <x:v>201732982296</x:v>
      </x:c>
      <x:c r="H177" s="131" t="n">
        <x:v>289331414995</x:v>
      </x:c>
      <x:c r="I177" s="131" t="n">
        <x:v>420596164185</x:v>
      </x:c>
      <x:c r="J177" s="89" t="str">
        <x:v>VND</x:v>
      </x:c>
      <x:c r="K177" s="89" t="str">
        <x:v>SRC-API01</x:v>
      </x:c>
      <x:c r="L177" s="98" t="str">
        <x:v>https://vnstocks.com/docs/vnstock/phan-tich-co-ban-fundamental</x:v>
      </x:c>
      <x:c r="M177" s="282" t="n">
        <x:v>46228.58256944444</x:v>
      </x:c>
    </x:row>
    <x:row r="178" ht="22" customHeight="1">
      <x:c r="A178" s="88" t="str">
        <x:v>cash_flow</x:v>
      </x:c>
      <x:c r="B178" s="89" t="str">
        <x:v>net_cash_inflows_outflows_from_investing_activities</x:v>
      </x:c>
      <x:c r="C178" s="89" t="str">
        <x:v>Lưu chuyển tiền thuần từ hoạt động đầu tư</x:v>
      </x:c>
      <x:c r="D178" s="89" t="str">
        <x:v>Net cash inflows/(outflows) from investing activities</x:v>
      </x:c>
      <x:c r="E178" s="131" t="n">
        <x:v>-356308892910</x:v>
      </x:c>
      <x:c r="F178" s="131" t="n">
        <x:v>-1234745213092</x:v>
      </x:c>
      <x:c r="G178" s="131" t="n">
        <x:v>915396272136</x:v>
      </x:c>
      <x:c r="H178" s="131" t="n">
        <x:v>-1375722020449</x:v>
      </x:c>
      <x:c r="I178" s="131" t="n">
        <x:v>-3384149772477</x:v>
      </x:c>
      <x:c r="J178" s="89" t="str">
        <x:v>VND</x:v>
      </x:c>
      <x:c r="K178" s="89" t="str">
        <x:v>SRC-API01</x:v>
      </x:c>
      <x:c r="L178" s="98" t="str">
        <x:v>https://vnstocks.com/docs/vnstock/phan-tich-co-ban-fundamental</x:v>
      </x:c>
      <x:c r="M178" s="282" t="n">
        <x:v>46228.58256944444</x:v>
      </x:c>
    </x:row>
    <x:row r="179" ht="22" customHeight="1">
      <x:c r="A179" s="88" t="str">
        <x:v>cash_flow</x:v>
      </x:c>
      <x:c r="B179" s="89" t="str">
        <x:v>proceeds_from_issue_of_shares</x:v>
      </x:c>
      <x:c r="C179" s="89" t="str">
        <x:v>Tiền thu từ phát hành cổ phiếu, nhận vốn góp của chủ sở hữu</x:v>
      </x:c>
      <x:c r="D179" s="89" t="str">
        <x:v>Proceeds from issue of shares</x:v>
      </x:c>
      <x:c r="E179" s="131" t="n">
        <x:v>0</x:v>
      </x:c>
      <x:c r="F179" s="131" t="n">
        <x:v>0</x:v>
      </x:c>
      <x:c r="G179" s="131" t="n">
        <x:v>45206000000</x:v>
      </x:c>
      <x:c r="H179" s="131" t="n">
        <x:v>3059191384000</x:v>
      </x:c>
      <x:c r="I179" s="131" t="n">
        <x:v>125125000000</x:v>
      </x:c>
      <x:c r="J179" s="89" t="str">
        <x:v>VND</x:v>
      </x:c>
      <x:c r="K179" s="89" t="str">
        <x:v>SRC-API01</x:v>
      </x:c>
      <x:c r="L179" s="98" t="str">
        <x:v>https://vnstocks.com/docs/vnstock/phan-tich-co-ban-fundamental</x:v>
      </x:c>
      <x:c r="M179" s="282" t="n">
        <x:v>46228.58256944444</x:v>
      </x:c>
    </x:row>
    <x:row r="180" ht="22" customHeight="1">
      <x:c r="A180" s="88" t="str">
        <x:v>cash_flow</x:v>
      </x:c>
      <x:c r="B180" s="89" t="str">
        <x:v>payments_for_share_returns_and_repurchases</x:v>
      </x:c>
      <x:c r="C180" s="89" t="str">
        <x:v>Tiền chi trả vốn góp cho các chủ sở hữu, mua lại cổ phiếu của doanh nghiệp đã phát hành</x:v>
      </x:c>
      <x:c r="D180" s="89" t="str">
        <x:v>Payments for share returns and repurchases</x:v>
      </x:c>
      <x:c r="E180" s="131" t="n">
        <x:v>0</x:v>
      </x:c>
      <x:c r="F180" s="131" t="n">
        <x:v>0</x:v>
      </x:c>
      <x:c r="G180" s="131" t="n">
        <x:v>0</x:v>
      </x:c>
      <x:c r="H180" s="131" t="n">
        <x:v>0</x:v>
      </x:c>
      <x:c r="I180" s="131" t="n">
        <x:v>0</x:v>
      </x:c>
      <x:c r="J180" s="89" t="str">
        <x:v>VND</x:v>
      </x:c>
      <x:c r="K180" s="89" t="str">
        <x:v>SRC-API01</x:v>
      </x:c>
      <x:c r="L180" s="98" t="str">
        <x:v>https://vnstocks.com/docs/vnstock/phan-tich-co-ban-fundamental</x:v>
      </x:c>
      <x:c r="M180" s="282" t="n">
        <x:v>46228.58256944444</x:v>
      </x:c>
    </x:row>
    <x:row r="181" ht="22" customHeight="1">
      <x:c r="A181" s="88" t="str">
        <x:v>cash_flow</x:v>
      </x:c>
      <x:c r="B181" s="89" t="str">
        <x:v>proceeds_from_loans</x:v>
      </x:c>
      <x:c r="C181" s="89" t="str">
        <x:v>Tiền thu được các khoản đi vay</x:v>
      </x:c>
      <x:c r="D181" s="89" t="str">
        <x:v>Proceeds from loans</x:v>
      </x:c>
      <x:c r="E181" s="131" t="n">
        <x:v>1524258463677</x:v>
      </x:c>
      <x:c r="F181" s="131" t="n">
        <x:v>1562505756443</x:v>
      </x:c>
      <x:c r="G181" s="131" t="n">
        <x:v>740269471681</x:v>
      </x:c>
      <x:c r="H181" s="131" t="n">
        <x:v>744046826557</x:v>
      </x:c>
      <x:c r="I181" s="131" t="n">
        <x:v>1365696151745</x:v>
      </x:c>
      <x:c r="J181" s="89" t="str">
        <x:v>VND</x:v>
      </x:c>
      <x:c r="K181" s="89" t="str">
        <x:v>SRC-API01</x:v>
      </x:c>
      <x:c r="L181" s="98" t="str">
        <x:v>https://vnstocks.com/docs/vnstock/phan-tich-co-ban-fundamental</x:v>
      </x:c>
      <x:c r="M181" s="282" t="n">
        <x:v>46228.58256944444</x:v>
      </x:c>
    </x:row>
    <x:row r="182" ht="22" customHeight="1">
      <x:c r="A182" s="88" t="str">
        <x:v>cash_flow</x:v>
      </x:c>
      <x:c r="B182" s="89" t="str">
        <x:v>repayment_of_loans</x:v>
      </x:c>
      <x:c r="C182" s="89" t="str">
        <x:v>Tiền trả nợ gốc vay</x:v>
      </x:c>
      <x:c r="D182" s="89" t="str">
        <x:v>Repayment of loans</x:v>
      </x:c>
      <x:c r="E182" s="131" t="n">
        <x:v>-1446486479270</x:v>
      </x:c>
      <x:c r="F182" s="131" t="n">
        <x:v>-1430503626695</x:v>
      </x:c>
      <x:c r="G182" s="131" t="n">
        <x:v>-777590552494</x:v>
      </x:c>
      <x:c r="H182" s="131" t="n">
        <x:v>-523609783285</x:v>
      </x:c>
      <x:c r="I182" s="131" t="n">
        <x:v>-1280129503772</x:v>
      </x:c>
      <x:c r="J182" s="89" t="str">
        <x:v>VND</x:v>
      </x:c>
      <x:c r="K182" s="89" t="str">
        <x:v>SRC-API01</x:v>
      </x:c>
      <x:c r="L182" s="98" t="str">
        <x:v>https://vnstocks.com/docs/vnstock/phan-tich-co-ban-fundamental</x:v>
      </x:c>
      <x:c r="M182" s="282" t="n">
        <x:v>46228.58256944444</x:v>
      </x:c>
    </x:row>
    <x:row r="183" ht="22" customHeight="1">
      <x:c r="A183" s="88" t="str">
        <x:v>cash_flow</x:v>
      </x:c>
      <x:c r="B183" s="89" t="str">
        <x:v>finance_lease_principal_payments</x:v>
      </x:c>
      <x:c r="C183" s="89" t="str">
        <x:v>Tiền trả nợ gốc thuê tài chính</x:v>
      </x:c>
      <x:c r="D183" s="89" t="str">
        <x:v>Finance lease principal payments</x:v>
      </x:c>
      <x:c r="E183" s="131" t="n">
        <x:v>-49087597324</x:v>
      </x:c>
      <x:c r="F183" s="131" t="n">
        <x:v>-41436780114</x:v>
      </x:c>
      <x:c r="G183" s="131" t="n">
        <x:v>-35442526029</x:v>
      </x:c>
      <x:c r="H183" s="131" t="n">
        <x:v>-24932567969</x:v>
      </x:c>
      <x:c r="I183" s="131" t="n">
        <x:v>-21293692</x:v>
      </x:c>
      <x:c r="J183" s="89" t="str">
        <x:v>VND</x:v>
      </x:c>
      <x:c r="K183" s="89" t="str">
        <x:v>SRC-API01</x:v>
      </x:c>
      <x:c r="L183" s="98" t="str">
        <x:v>https://vnstocks.com/docs/vnstock/phan-tich-co-ban-fundamental</x:v>
      </x:c>
      <x:c r="M183" s="282" t="n">
        <x:v>46228.58256944444</x:v>
      </x:c>
    </x:row>
    <x:row r="184" ht="22" customHeight="1">
      <x:c r="A184" s="88" t="str">
        <x:v>cash_flow</x:v>
      </x:c>
      <x:c r="B184" s="89" t="str">
        <x:v>dividends_paid</x:v>
      </x:c>
      <x:c r="C184" s="89" t="str">
        <x:v>Cổ tức, lợi nhuận đã trả cho chủ sở hữu</x:v>
      </x:c>
      <x:c r="D184" s="89" t="str">
        <x:v>Dividends paid</x:v>
      </x:c>
      <x:c r="E184" s="131" t="n">
        <x:v>-426189423017</x:v>
      </x:c>
      <x:c r="F184" s="131" t="n">
        <x:v>-428119286600</x:v>
      </x:c>
      <x:c r="G184" s="131" t="n">
        <x:v>-780370623043</x:v>
      </x:c>
      <x:c r="H184" s="131" t="n">
        <x:v>-916107445304</x:v>
      </x:c>
      <x:c r="I184" s="131" t="n">
        <x:v>-1314588058559</x:v>
      </x:c>
      <x:c r="J184" s="89" t="str">
        <x:v>VND</x:v>
      </x:c>
      <x:c r="K184" s="89" t="str">
        <x:v>SRC-API01</x:v>
      </x:c>
      <x:c r="L184" s="98" t="str">
        <x:v>https://vnstocks.com/docs/vnstock/phan-tich-co-ban-fundamental</x:v>
      </x:c>
      <x:c r="M184" s="282" t="n">
        <x:v>46228.58256944444</x:v>
      </x:c>
    </x:row>
    <x:row r="185" ht="22" customHeight="1">
      <x:c r="A185" s="88" t="str">
        <x:v>cash_flow</x:v>
      </x:c>
      <x:c r="B185" s="89" t="str">
        <x:v>interests_dividends_profits_received</x:v>
      </x:c>
      <x:c r="C185" s="89" t="str">
        <x:v>Tiền lãi đã nhận</x:v>
      </x:c>
      <x:c r="D185" s="89" t="str">
        <x:v>Interests, dividends, profits received</x:v>
      </x:c>
      <x:c r="E185" s="131" t="n">
        <x:v>0</x:v>
      </x:c>
      <x:c r="F185" s="131" t="n">
        <x:v>0</x:v>
      </x:c>
      <x:c r="G185" s="131" t="n">
        <x:v>0</x:v>
      </x:c>
      <x:c r="H185" s="131" t="n">
        <x:v>0</x:v>
      </x:c>
      <x:c r="I185" s="131" t="n">
        <x:v>0</x:v>
      </x:c>
      <x:c r="J185" s="89" t="str">
        <x:v>VND</x:v>
      </x:c>
      <x:c r="K185" s="89" t="str">
        <x:v>SRC-API01</x:v>
      </x:c>
      <x:c r="L185" s="98" t="str">
        <x:v>https://vnstocks.com/docs/vnstock/phan-tich-co-ban-fundamental</x:v>
      </x:c>
      <x:c r="M185" s="282" t="n">
        <x:v>46228.58256944444</x:v>
      </x:c>
    </x:row>
    <x:row r="186" ht="22" customHeight="1">
      <x:c r="A186" s="88" t="str">
        <x:v>cash_flow</x:v>
      </x:c>
      <x:c r="B186" s="89" t="str">
        <x:v>net_cash_inflows_outflows_from_financing_activities</x:v>
      </x:c>
      <x:c r="C186" s="89" t="str">
        <x:v>Lưu chuyển tiền thuần từ hoạt động tài chính</x:v>
      </x:c>
      <x:c r="D186" s="89" t="str">
        <x:v>Net cash inflows/(outflows) from financing activities</x:v>
      </x:c>
      <x:c r="E186" s="131" t="n">
        <x:v>-397505035934</x:v>
      </x:c>
      <x:c r="F186" s="131" t="n">
        <x:v>-337553936966</x:v>
      </x:c>
      <x:c r="G186" s="131" t="n">
        <x:v>-807928229885</x:v>
      </x:c>
      <x:c r="H186" s="131" t="n">
        <x:v>2338588413999</x:v>
      </x:c>
      <x:c r="I186" s="131" t="n">
        <x:v>-1103917704278</x:v>
      </x:c>
      <x:c r="J186" s="89" t="str">
        <x:v>VND</x:v>
      </x:c>
      <x:c r="K186" s="89" t="str">
        <x:v>SRC-API01</x:v>
      </x:c>
      <x:c r="L186" s="98" t="str">
        <x:v>https://vnstocks.com/docs/vnstock/phan-tich-co-ban-fundamental</x:v>
      </x:c>
      <x:c r="M186" s="282" t="n">
        <x:v>46228.58256944444</x:v>
      </x:c>
    </x:row>
    <x:row r="187" ht="22" customHeight="1">
      <x:c r="A187" s="88" t="str">
        <x:v>cash_flow</x:v>
      </x:c>
      <x:c r="B187" s="89" t="str">
        <x:v>net_increase_in_cash_and_cash_equivalents</x:v>
      </x:c>
      <x:c r="C187" s="89" t="str">
        <x:v>Lưu chuyển tiền thuần trong kỳ</x:v>
      </x:c>
      <x:c r="D187" s="89" t="str">
        <x:v>Net increase in cash and cash equivalents</x:v>
      </x:c>
      <x:c r="E187" s="131" t="n">
        <x:v>211003187275</x:v>
      </x:c>
      <x:c r="F187" s="131" t="n">
        <x:v>726940677961</x:v>
      </x:c>
      <x:c r="G187" s="131" t="n">
        <x:v>104597724007</x:v>
      </x:c>
      <x:c r="H187" s="131" t="n">
        <x:v>2489688945355</x:v>
      </x:c>
      <x:c r="I187" s="131" t="n">
        <x:v>-2346044915967</x:v>
      </x:c>
      <x:c r="J187" s="89" t="str">
        <x:v>VND</x:v>
      </x:c>
      <x:c r="K187" s="89" t="str">
        <x:v>SRC-API01</x:v>
      </x:c>
      <x:c r="L187" s="98" t="str">
        <x:v>https://vnstocks.com/docs/vnstock/phan-tich-co-ban-fundamental</x:v>
      </x:c>
      <x:c r="M187" s="282" t="n">
        <x:v>46228.58256944444</x:v>
      </x:c>
    </x:row>
    <x:row r="188" ht="22" customHeight="1">
      <x:c r="A188" s="88" t="str">
        <x:v>cash_flow</x:v>
      </x:c>
      <x:c r="B188" s="89" t="str">
        <x:v>cash_and_cash_equivalents_at_the_beginning_of_period</x:v>
      </x:c>
      <x:c r="C188" s="89" t="str">
        <x:v>Tiền và tương đương tiền đầu kỳ</x:v>
      </x:c>
      <x:c r="D188" s="89" t="str">
        <x:v>Cash and cash equivalents at the beginning of period</x:v>
      </x:c>
      <x:c r="E188" s="131" t="n">
        <x:v>427676366191</x:v>
      </x:c>
      <x:c r="F188" s="131" t="n">
        <x:v>637348731809</x:v>
      </x:c>
      <x:c r="G188" s="131" t="n">
        <x:v>1364349572162</x:v>
      </x:c>
      <x:c r="H188" s="131" t="n">
        <x:v>1471676297950</x:v>
      </x:c>
      <x:c r="I188" s="131" t="n">
        <x:v>3964316764607</x:v>
      </x:c>
      <x:c r="J188" s="89" t="str">
        <x:v>VND</x:v>
      </x:c>
      <x:c r="K188" s="89" t="str">
        <x:v>SRC-API01</x:v>
      </x:c>
      <x:c r="L188" s="98" t="str">
        <x:v>https://vnstocks.com/docs/vnstock/phan-tich-co-ban-fundamental</x:v>
      </x:c>
      <x:c r="M188" s="282" t="n">
        <x:v>46228.58256944444</x:v>
      </x:c>
    </x:row>
    <x:row r="189" ht="22" customHeight="1">
      <x:c r="A189" s="88" t="str">
        <x:v>cash_flow</x:v>
      </x:c>
      <x:c r="B189" s="89" t="str">
        <x:v>effect_of_foreign_exchange_differences</x:v>
      </x:c>
      <x:c r="C189" s="89" t="str">
        <x:v>Ảnh hưởng của thay đổi tỷ giá hối đoái quy đổi ngoại tệ</x:v>
      </x:c>
      <x:c r="D189" s="89" t="str">
        <x:v>Effect of foreign exchange differences</x:v>
      </x:c>
      <x:c r="E189" s="131" t="n">
        <x:v>-1330821657</x:v>
      </x:c>
      <x:c r="F189" s="131" t="n">
        <x:v>60162392</x:v>
      </x:c>
      <x:c r="G189" s="131" t="n">
        <x:v>2729001781</x:v>
      </x:c>
      <x:c r="H189" s="131" t="n">
        <x:v>2951521302</x:v>
      </x:c>
      <x:c r="I189" s="131" t="n">
        <x:v>4022990130</x:v>
      </x:c>
      <x:c r="J189" s="89" t="str">
        <x:v>VND</x:v>
      </x:c>
      <x:c r="K189" s="89" t="str">
        <x:v>SRC-API01</x:v>
      </x:c>
      <x:c r="L189" s="98" t="str">
        <x:v>https://vnstocks.com/docs/vnstock/phan-tich-co-ban-fundamental</x:v>
      </x:c>
      <x:c r="M189" s="282" t="n">
        <x:v>46228.58256944444</x:v>
      </x:c>
    </x:row>
    <x:row r="190" ht="22" customHeight="1">
      <x:c r="A190" s="88" t="str">
        <x:v>cash_flow</x:v>
      </x:c>
      <x:c r="B190" s="89" t="str">
        <x:v>cash_and_cash_equivalents_at_the_end_of_period</x:v>
      </x:c>
      <x:c r="C190" s="89" t="str">
        <x:v>Tiền và tương đương tiền cuối kỳ</x:v>
      </x:c>
      <x:c r="D190" s="89" t="str">
        <x:v>Cash and cash equivalents at the end of period</x:v>
      </x:c>
      <x:c r="E190" s="131" t="n">
        <x:v>637348731809</x:v>
      </x:c>
      <x:c r="F190" s="131" t="n">
        <x:v>1364349572162</x:v>
      </x:c>
      <x:c r="G190" s="131" t="n">
        <x:v>1471676297950</x:v>
      </x:c>
      <x:c r="H190" s="131" t="n">
        <x:v>3964316764607</x:v>
      </x:c>
      <x:c r="I190" s="131" t="n">
        <x:v>1622294838770</x:v>
      </x:c>
      <x:c r="J190" s="89" t="str">
        <x:v>VND</x:v>
      </x:c>
      <x:c r="K190" s="89" t="str">
        <x:v>SRC-API01</x:v>
      </x:c>
      <x:c r="L190" s="98" t="str">
        <x:v>https://vnstocks.com/docs/vnstock/phan-tich-co-ban-fundamental</x:v>
      </x:c>
      <x:c r="M190" s="282" t="n">
        <x:v>46228.58256944444</x:v>
      </x:c>
    </x:row>
    <x:row r="191" ht="22" customHeight="1">
      <x:c r="A191" s="88" t="str">
        <x:v>cash_flow</x:v>
      </x:c>
      <x:c r="B191" s="89" t="str">
        <x:v>amortization_of_goodwill</x:v>
      </x:c>
      <x:c r="C191" s="89" t="str">
        <x:v>Phân bổ lợi thế thương mại</x:v>
      </x:c>
      <x:c r="D191" s="89" t="str">
        <x:v>Amortization of goodwill</x:v>
      </x:c>
      <x:c r="E191" s="131" t="n">
        <x:v>0</x:v>
      </x:c>
      <x:c r="F191" s="131" t="n">
        <x:v>0</x:v>
      </x:c>
      <x:c r="G191" s="131" t="n">
        <x:v>0</x:v>
      </x:c>
      <x:c r="H191" s="131" t="n">
        <x:v>0</x:v>
      </x:c>
      <x:c r="I191" s="131" t="n">
        <x:v>0</x:v>
      </x:c>
      <x:c r="J191" s="89" t="str">
        <x:v>VND</x:v>
      </x:c>
      <x:c r="K191" s="89" t="str">
        <x:v>SRC-API01</x:v>
      </x:c>
      <x:c r="L191" s="98" t="str">
        <x:v>https://vnstocks.com/docs/vnstock/phan-tich-co-ban-fundamental</x:v>
      </x:c>
      <x:c r="M191" s="282" t="n">
        <x:v>46228.58256944444</x:v>
      </x:c>
    </x:row>
    <x:row r="192" ht="22" customHeight="1">
      <x:c r="A192" s="88" t="str">
        <x:v>cash_flow</x:v>
      </x:c>
      <x:c r="B192" s="89" t="str">
        <x:v>other_adjustments</x:v>
      </x:c>
      <x:c r="C192" s="89" t="str">
        <x:v>Các khoản điều chỉnh khác</x:v>
      </x:c>
      <x:c r="D192" s="89" t="str">
        <x:v>Other adjustments</x:v>
      </x:c>
      <x:c r="E192" s="131" t="n">
        <x:v>0</x:v>
      </x:c>
      <x:c r="F192" s="131" t="n">
        <x:v>0</x:v>
      </x:c>
      <x:c r="G192" s="131" t="n">
        <x:v>0</x:v>
      </x:c>
      <x:c r="H192" s="131" t="n">
        <x:v>0</x:v>
      </x:c>
      <x:c r="I192" s="131" t="n">
        <x:v>0</x:v>
      </x:c>
      <x:c r="J192" s="89" t="str">
        <x:v>VND</x:v>
      </x:c>
      <x:c r="K192" s="89" t="str">
        <x:v>SRC-API01</x:v>
      </x:c>
      <x:c r="L192" s="98" t="str">
        <x:v>https://vnstocks.com/docs/vnstock/phan-tich-co-ban-fundamental</x:v>
      </x:c>
      <x:c r="M192" s="282" t="n">
        <x:v>46228.58256944444</x:v>
      </x:c>
    </x:row>
    <x:row r="193" ht="22" customHeight="1">
      <x:c r="A193" s="91" t="str">
        <x:v>cash_flow</x:v>
      </x:c>
      <x:c r="B193" s="92" t="str">
        <x:v>increase_decrease_in_trading_securities</x:v>
      </x:c>
      <x:c r="C193" s="92" t="str">
        <x:v>(Tăng)/giảm chứng khoán kinh doanh</x:v>
      </x:c>
      <x:c r="D193" s="92" t="str">
        <x:v>(Increase)/decrease in trading securities</x:v>
      </x:c>
      <x:c r="E193" s="132" t="n">
        <x:v>3528997673</x:v>
      </x:c>
      <x:c r="F193" s="132" t="n">
        <x:v>0</x:v>
      </x:c>
      <x:c r="G193" s="132" t="n">
        <x:v>0</x:v>
      </x:c>
      <x:c r="H193" s="132" t="n">
        <x:v>11421290740</x:v>
      </x:c>
      <x:c r="I193" s="132" t="n">
        <x:v>20067290650</x:v>
      </x:c>
      <x:c r="J193" s="92" t="str">
        <x:v>VND</x:v>
      </x:c>
      <x:c r="K193" s="92" t="str">
        <x:v>SRC-API01</x:v>
      </x:c>
      <x:c r="L193" s="99" t="str">
        <x:v>https://vnstocks.com/docs/vnstock/phan-tich-co-ban-fundamental</x:v>
      </x:c>
      <x:c r="M193" s="283" t="n">
        <x:v>46228.58256944444</x:v>
      </x:c>
    </x:row>
  </x:sheetData>
  <x:mergeCells>
    <x:mergeCell ref="A1:M1"/>
    <x:mergeCell ref="A2:M2"/>
  </x:mergeCells>
  <x:pageMargins left="0.7" right="0.7" top="0.75" bottom="0.75" header="0.3" footer="0.3"/>
  <x:tableParts count="1">
    <x:tablePart xmlns:r="http://schemas.openxmlformats.org/officeDocument/2006/relationships" r:id="R6aef27a1c8b74038"/>
  </x:tableParts>
</x:worksheet>
</file>

<file path=xl/worksheets/sheet19.xml><?xml version="1.0" encoding="utf-8"?>
<x:worksheet xmlns:x="http://schemas.openxmlformats.org/spreadsheetml/2006/main">
  <x:sheetViews>
    <x:sheetView showGridLines="0" workbookViewId="0"/>
  </x:sheetViews>
  <x:sheetFormatPr defaultRowHeight="15"/>
  <x:cols>
    <x:col min="1" max="1" width="30" hidden="0" customWidth="1"/>
    <x:col min="2" max="2" width="48" hidden="0" customWidth="1"/>
    <x:col min="3" max="3" width="18" hidden="0" customWidth="1"/>
    <x:col min="4" max="4" width="16" hidden="0" customWidth="1"/>
    <x:col min="5" max="5" width="16" hidden="0" customWidth="1"/>
    <x:col min="6" max="6" width="16" hidden="0" customWidth="1"/>
    <x:col min="7" max="7" width="16" hidden="0" customWidth="1"/>
    <x:col min="8" max="8" width="16" hidden="0" customWidth="1"/>
    <x:col min="9" max="9" width="34" hidden="0" customWidth="1"/>
    <x:col min="10" max="10" width="28" hidden="0" customWidth="1"/>
    <x:col min="11" max="11" width="68" hidden="0" customWidth="1"/>
  </x:cols>
  <x:sheetData>
    <x:row r="1" ht="30" customHeight="1">
      <x:c r="A1" s="264" t="str">
        <x:v>Raw GMD Operating &amp; Ownership Disclosures — 2021 to 2025</x:v>
      </x:c>
      <x:c r="B1" s="264" t="str">
        <x:v>Raw GMD Operating &amp; Ownership Disclosures — 2021 to 2025</x:v>
      </x:c>
      <x:c r="C1" s="264" t="str">
        <x:v>Raw GMD Operating &amp; Ownership Disclosures — 2021 to 2025</x:v>
      </x:c>
      <x:c r="D1" s="264" t="str">
        <x:v>Raw GMD Operating &amp; Ownership Disclosures — 2021 to 2025</x:v>
      </x:c>
      <x:c r="E1" s="264" t="str">
        <x:v>Raw GMD Operating &amp; Ownership Disclosures — 2021 to 2025</x:v>
      </x:c>
      <x:c r="F1" s="264" t="str">
        <x:v>Raw GMD Operating &amp; Ownership Disclosures — 2021 to 2025</x:v>
      </x:c>
      <x:c r="G1" s="264" t="str">
        <x:v>Raw GMD Operating &amp; Ownership Disclosures — 2021 to 2025</x:v>
      </x:c>
      <x:c r="H1" s="264" t="str">
        <x:v>Raw GMD Operating &amp; Ownership Disclosures — 2021 to 2025</x:v>
      </x:c>
      <x:c r="I1" s="264" t="str">
        <x:v>Raw GMD Operating &amp; Ownership Disclosures — 2021 to 2025</x:v>
      </x:c>
      <x:c r="J1" s="264" t="str">
        <x:v>Raw GMD Operating &amp; Ownership Disclosures — 2021 to 2025</x:v>
      </x:c>
      <x:c r="K1" s="264" t="str">
        <x:v>Raw GMD Operating &amp; Ownership Disclosures — 2021 to 2025</x:v>
      </x:c>
    </x:row>
    <x:row r="2" ht="34" customHeight="1">
      <x:c r="A2" s="268" t="str">
        <x:v>Issuer-reported or explicitly chart-derived operating data that is not available as a clean financial-statement line in VNStock.</x:v>
      </x:c>
      <x:c r="B2" s="268" t="str">
        <x:v>Issuer-reported or explicitly chart-derived operating data that is not available as a clean financial-statement line in VNStock.</x:v>
      </x:c>
      <x:c r="C2" s="268" t="str">
        <x:v>Issuer-reported or explicitly chart-derived operating data that is not available as a clean financial-statement line in VNStock.</x:v>
      </x:c>
      <x:c r="D2" s="268" t="str">
        <x:v>Issuer-reported or explicitly chart-derived operating data that is not available as a clean financial-statement line in VNStock.</x:v>
      </x:c>
      <x:c r="E2" s="268" t="str">
        <x:v>Issuer-reported or explicitly chart-derived operating data that is not available as a clean financial-statement line in VNStock.</x:v>
      </x:c>
      <x:c r="F2" s="268" t="str">
        <x:v>Issuer-reported or explicitly chart-derived operating data that is not available as a clean financial-statement line in VNStock.</x:v>
      </x:c>
      <x:c r="G2" s="268" t="str">
        <x:v>Issuer-reported or explicitly chart-derived operating data that is not available as a clean financial-statement line in VNStock.</x:v>
      </x:c>
      <x:c r="H2" s="268" t="str">
        <x:v>Issuer-reported or explicitly chart-derived operating data that is not available as a clean financial-statement line in VNStock.</x:v>
      </x:c>
      <x:c r="I2" s="268" t="str">
        <x:v>Issuer-reported or explicitly chart-derived operating data that is not available as a clean financial-statement line in VNStock.</x:v>
      </x:c>
      <x:c r="J2" s="268" t="str">
        <x:v>Issuer-reported or explicitly chart-derived operating data that is not available as a clean financial-statement line in VNStock.</x:v>
      </x:c>
      <x:c r="K2" s="268" t="str">
        <x:v>Issuer-reported or explicitly chart-derived operating data that is not available as a clean financial-statement line in VNStock.</x:v>
      </x:c>
    </x:row>
    <x:row r="4" ht="32" customHeight="1">
      <x:c r="A4" s="278" t="str">
        <x:v>Key</x:v>
      </x:c>
      <x:c r="B4" s="278" t="str">
        <x:v>Metric</x:v>
      </x:c>
      <x:c r="C4" s="278" t="str">
        <x:v>Unit</x:v>
      </x:c>
      <x:c r="D4" s="280" t="n">
        <x:v>44561</x:v>
      </x:c>
      <x:c r="E4" s="280" t="n">
        <x:v>44926</x:v>
      </x:c>
      <x:c r="F4" s="280" t="n">
        <x:v>45291</x:v>
      </x:c>
      <x:c r="G4" s="280" t="n">
        <x:v>45657</x:v>
      </x:c>
      <x:c r="H4" s="280" t="n">
        <x:v>46022</x:v>
      </x:c>
      <x:c r="I4" s="278" t="str">
        <x:v>Source ID</x:v>
      </x:c>
      <x:c r="J4" s="278" t="str">
        <x:v>Data class</x:v>
      </x:c>
      <x:c r="K4" s="278" t="str">
        <x:v>Audit note</x:v>
      </x:c>
    </x:row>
    <x:row r="5" ht="34" customHeight="1">
      <x:c r="A5" s="85" t="str">
        <x:v>CORE_PBT</x:v>
      </x:c>
      <x:c r="B5" s="86" t="str">
        <x:v>Issuer core PBT</x:v>
      </x:c>
      <x:c r="C5" s="86" t="str">
        <x:v>VND bn</x:v>
      </x:c>
      <x:c r="D5" s="133" t="n">
        <x:v>806.212</x:v>
      </x:c>
      <x:c r="E5" s="133" t="n">
        <x:v>1308.478</x:v>
      </x:c>
      <x:c r="F5" s="133" t="n">
        <x:v>1307</x:v>
      </x:c>
      <x:c r="G5" s="133" t="n">
        <x:v>1781</x:v>
      </x:c>
      <x:c r="H5" s="133" t="n">
        <x:v>2520.827</x:v>
      </x:c>
      <x:c r="I5" s="86" t="str">
        <x:v>SRC-G01 / SRC-G10</x:v>
      </x:c>
      <x:c r="J5" s="86" t="str">
        <x:v>Issuer normalized actual</x:v>
      </x:c>
      <x:c r="K5" s="87" t="str">
        <x:v>2023–2024 exclude disclosed capital-transfer gains; 2021, 2022 and 2025 equal reported PBT.</x:v>
      </x:c>
    </x:row>
    <x:row r="6" ht="34" customHeight="1">
      <x:c r="A6" s="88" t="str">
        <x:v>SYSTEM_THROUGHPUT</x:v>
      </x:c>
      <x:c r="B6" s="89" t="str">
        <x:v>System container throughput</x:v>
      </x:c>
      <x:c r="C6" s="89" t="str">
        <x:v>m TEU</x:v>
      </x:c>
      <x:c r="D6" s="134" t="n">
        <x:v>2.627</x:v>
      </x:c>
      <x:c r="E6" s="134" t="n">
        <x:v>3.1</x:v>
      </x:c>
      <x:c r="F6" s="134" t="n">
        <x:v>3.011</x:v>
      </x:c>
      <x:c r="G6" s="134" t="n">
        <x:v>4.435</x:v>
      </x:c>
      <x:c r="H6" s="134" t="n">
        <x:v>5.079</x:v>
      </x:c>
      <x:c r="I6" s="89" t="str">
        <x:v>SRC-G01 / SRC-G09</x:v>
      </x:c>
      <x:c r="J6" s="89" t="str">
        <x:v>Mixed exact and derived</x:v>
      </x:c>
      <x:c r="K6" s="90" t="str">
        <x:v>2021–2022 are derived from rounded issuer chart growth rates; 2023–2025 are exact disclosed points.</x:v>
      </x:c>
    </x:row>
    <x:row r="7" ht="34" customHeight="1">
      <x:c r="A7" s="88" t="str">
        <x:v>PORT_EXTERNAL_REVENUE</x:v>
      </x:c>
      <x:c r="B7" s="89" t="str">
        <x:v>Port external revenue</x:v>
      </x:c>
      <x:c r="C7" s="89" t="str">
        <x:v>VND bn</x:v>
      </x:c>
      <x:c r="D7" s="134" t="n">
        <x:v>2762.788218</x:v>
      </x:c>
      <x:c r="E7" s="134" t="n">
        <x:v>3086.178236</x:v>
      </x:c>
      <x:c r="F7" s="134" t="n">
        <x:v>2908.540764</x:v>
      </x:c>
      <x:c r="G7" s="134" t="n">
        <x:v>4190.786438</x:v>
      </x:c>
      <x:c r="H7" s="134" t="n">
        <x:v>5254.22761</x:v>
      </x:c>
      <x:c r="I7" s="89" t="str">
        <x:v>SRC-G10 / SRC-G08 / SRC-G01</x:v>
      </x:c>
      <x:c r="J7" s="89" t="str">
        <x:v>Issuer actual</x:v>
      </x:c>
      <x:c r="K7" s="90" t="str">
        <x:v>Audited external segment revenue.</x:v>
      </x:c>
    </x:row>
    <x:row r="8" ht="34" customHeight="1">
      <x:c r="A8" s="88" t="str">
        <x:v>LOGISTICS_EXTERNAL_REVENUE</x:v>
      </x:c>
      <x:c r="B8" s="89" t="str">
        <x:v>Logistics external revenue</x:v>
      </x:c>
      <x:c r="C8" s="89" t="str">
        <x:v>VND bn</x:v>
      </x:c>
      <x:c r="D8" s="134" t="n">
        <x:v>429.904936</x:v>
      </x:c>
      <x:c r="E8" s="134" t="n">
        <x:v>810.822008</x:v>
      </x:c>
      <x:c r="F8" s="134" t="n">
        <x:v>935.815647</x:v>
      </x:c>
      <x:c r="G8" s="134" t="n">
        <x:v>630.775427</x:v>
      </x:c>
      <x:c r="H8" s="134" t="n">
        <x:v>693.74057</x:v>
      </x:c>
      <x:c r="I8" s="89" t="str">
        <x:v>SRC-G10 / SRC-G08 / SRC-G01</x:v>
      </x:c>
      <x:c r="J8" s="89" t="str">
        <x:v>Issuer actual</x:v>
      </x:c>
      <x:c r="K8" s="90" t="str">
        <x:v>Audited external segment revenue.</x:v>
      </x:c>
    </x:row>
    <x:row r="9" ht="34" customHeight="1">
      <x:c r="A9" s="88" t="str">
        <x:v>OTHER_EXTERNAL_REVENUE</x:v>
      </x:c>
      <x:c r="B9" s="89" t="str">
        <x:v>Other external revenue</x:v>
      </x:c>
      <x:c r="C9" s="89" t="str">
        <x:v>VND bn</x:v>
      </x:c>
      <x:c r="D9" s="134" t="n">
        <x:v>13.597011</x:v>
      </x:c>
      <x:c r="E9" s="134" t="n">
        <x:v>1.243365</x:v>
      </x:c>
      <x:c r="F9" s="134" t="n">
        <x:v>1.469885</x:v>
      </x:c>
      <x:c r="G9" s="134" t="n">
        <x:v>10.462934</x:v>
      </x:c>
      <x:c r="H9" s="134" t="n">
        <x:v>8.057116</x:v>
      </x:c>
      <x:c r="I9" s="89" t="str">
        <x:v>SRC-G10 / SRC-G08 / SRC-G01</x:v>
      </x:c>
      <x:c r="J9" s="89" t="str">
        <x:v>Issuer actual</x:v>
      </x:c>
      <x:c r="K9" s="90" t="str">
        <x:v>Primarily real-estate trading in the segment appendix.</x:v>
      </x:c>
    </x:row>
    <x:row r="10" ht="34" customHeight="1">
      <x:c r="A10" s="88" t="str">
        <x:v>PORT_SEGMENT_PROFIT</x:v>
      </x:c>
      <x:c r="B10" s="89" t="str">
        <x:v>Port segment financial performance</x:v>
      </x:c>
      <x:c r="C10" s="89" t="str">
        <x:v>VND bn</x:v>
      </x:c>
      <x:c r="D10" s="134" t="n">
        <x:v>713.563688</x:v>
      </x:c>
      <x:c r="E10" s="134" t="n">
        <x:v>985.584222</x:v>
      </x:c>
      <x:c r="F10" s="134" t="n">
        <x:v>1083.302</x:v>
      </x:c>
      <x:c r="G10" s="134" t="n">
        <x:v>1556.966</x:v>
      </x:c>
      <x:c r="H10" s="134" t="n">
        <x:v>1880.805</x:v>
      </x:c>
      <x:c r="I10" s="89" t="str">
        <x:v>SRC-G10 / SRC-G08 / SRC-G01</x:v>
      </x:c>
      <x:c r="J10" s="89" t="str">
        <x:v>Issuer actual</x:v>
      </x:c>
      <x:c r="K10" s="90" t="str">
        <x:v>Segment performance before financial and associate items.</x:v>
      </x:c>
    </x:row>
    <x:row r="11" ht="34" customHeight="1">
      <x:c r="A11" s="88" t="str">
        <x:v>PORT_DA_PREPAY</x:v>
      </x:c>
      <x:c r="B11" s="89" t="str">
        <x:v>Port D&amp;A and long-term prepayment allocation</x:v>
      </x:c>
      <x:c r="C11" s="89" t="str">
        <x:v>VND bn</x:v>
      </x:c>
      <x:c r="D11" s="134" t="n">
        <x:v>295.204995</x:v>
      </x:c>
      <x:c r="E11" s="134" t="n">
        <x:v>316.538625</x:v>
      </x:c>
      <x:c r="F11" s="134" t="n">
        <x:v>313.885</x:v>
      </x:c>
      <x:c r="G11" s="134" t="n">
        <x:v>649.096</x:v>
      </x:c>
      <x:c r="H11" s="134" t="n">
        <x:v>411.297</x:v>
      </x:c>
      <x:c r="I11" s="89" t="str">
        <x:v>SRC-G10 / SRC-G08 / SRC-G01</x:v>
      </x:c>
      <x:c r="J11" s="89" t="str">
        <x:v>Issuer actual</x:v>
      </x:c>
      <x:c r="K11" s="90" t="str">
        <x:v>Segment appendix measure; 2024 spike limits comparability.</x:v>
      </x:c>
    </x:row>
    <x:row r="12" ht="34" customHeight="1">
      <x:c r="A12" s="88" t="str">
        <x:v>NATIONAL_SHARE</x:v>
      </x:c>
      <x:c r="B12" s="89" t="str">
        <x:v>Issuer-estimated national market share</x:v>
      </x:c>
      <x:c r="C12" s="89" t="str">
        <x:v>%</x:v>
      </x:c>
      <x:c r="D12" s="109"/>
      <x:c r="E12" s="109"/>
      <x:c r="F12" s="109" t="n">
        <x:v>0.12</x:v>
      </x:c>
      <x:c r="G12" s="109" t="n">
        <x:v>0.15</x:v>
      </x:c>
      <x:c r="H12" s="109" t="n">
        <x:v>0.15</x:v>
      </x:c>
      <x:c r="I12" s="89" t="str">
        <x:v>SRC-G09 / SRC-G08 / SRC-G01</x:v>
      </x:c>
      <x:c r="J12" s="89" t="str">
        <x:v>Issuer estimate</x:v>
      </x:c>
      <x:c r="K12" s="90" t="str">
        <x:v>2023 disclosed as more than 12%; 2024–2025 approximately 15%.</x:v>
      </x:c>
    </x:row>
    <x:row r="13" ht="34" customHeight="1">
      <x:c r="A13" s="88" t="str">
        <x:v>GEMALINK_PROFIT</x:v>
      </x:c>
      <x:c r="B13" s="89" t="str">
        <x:v>Gemalink associate contribution</x:v>
      </x:c>
      <x:c r="C13" s="89" t="str">
        <x:v>VND bn</x:v>
      </x:c>
      <x:c r="D13" s="134" t="n">
        <x:v>-36.756742</x:v>
      </x:c>
      <x:c r="E13" s="134" t="n">
        <x:v>81.859516</x:v>
      </x:c>
      <x:c r="F13" s="134" t="n">
        <x:v>17.141</x:v>
      </x:c>
      <x:c r="G13" s="134" t="n">
        <x:v>548.777</x:v>
      </x:c>
      <x:c r="H13" s="134" t="n">
        <x:v>826.81</x:v>
      </x:c>
      <x:c r="I13" s="89" t="str">
        <x:v>SRC-G11 / SRC-G10 / SRC-G08 / SRC-G01</x:v>
      </x:c>
      <x:c r="J13" s="89" t="str">
        <x:v>Issuer actual</x:v>
      </x:c>
      <x:c r="K13" s="90" t="str">
        <x:v>Gemadept-Terminal Link Cai Mep Terminal JSC.</x:v>
      </x:c>
    </x:row>
    <x:row r="14" ht="34" customHeight="1">
      <x:c r="A14" s="88" t="str">
        <x:v>SCS_PROFIT</x:v>
      </x:c>
      <x:c r="B14" s="89" t="str">
        <x:v>SCS associate contribution</x:v>
      </x:c>
      <x:c r="C14" s="89" t="str">
        <x:v>VND bn</x:v>
      </x:c>
      <x:c r="D14" s="134" t="n">
        <x:v>180.909405</x:v>
      </x:c>
      <x:c r="E14" s="134" t="n">
        <x:v>211.566909</x:v>
      </x:c>
      <x:c r="F14" s="134" t="n">
        <x:v>168.976</x:v>
      </x:c>
      <x:c r="G14" s="134" t="n">
        <x:v>236.26</x:v>
      </x:c>
      <x:c r="H14" s="134" t="n">
        <x:v>258.588</x:v>
      </x:c>
      <x:c r="I14" s="89" t="str">
        <x:v>SRC-G11 / SRC-G10 / SRC-G08 / SRC-G01</x:v>
      </x:c>
      <x:c r="J14" s="89" t="str">
        <x:v>Issuer actual</x:v>
      </x:c>
      <x:c r="K14" s="90" t="str">
        <x:v>Saigon Cargo Service Corporation.</x:v>
      </x:c>
    </x:row>
    <x:row r="15" ht="34" customHeight="1">
      <x:c r="A15" s="88" t="str">
        <x:v>CJ_LOG_PROFIT</x:v>
      </x:c>
      <x:c r="B15" s="89" t="str">
        <x:v>CJ Gemadept Logistics contribution</x:v>
      </x:c>
      <x:c r="C15" s="89" t="str">
        <x:v>VND bn</x:v>
      </x:c>
      <x:c r="D15" s="134" t="n">
        <x:v>44.635167</x:v>
      </x:c>
      <x:c r="E15" s="134" t="n">
        <x:v>51.081193</x:v>
      </x:c>
      <x:c r="F15" s="134" t="n">
        <x:v>54.838</x:v>
      </x:c>
      <x:c r="G15" s="134" t="n">
        <x:v>34.036</x:v>
      </x:c>
      <x:c r="H15" s="134" t="n">
        <x:v>46.182</x:v>
      </x:c>
      <x:c r="I15" s="89" t="str">
        <x:v>SRC-G11 / SRC-G10 / SRC-G08 / SRC-G01</x:v>
      </x:c>
      <x:c r="J15" s="89" t="str">
        <x:v>Issuer actual</x:v>
      </x:c>
      <x:c r="K15" s="90" t="str">
        <x:v>CJ Gemadept Logistics Holdings.</x:v>
      </x:c>
    </x:row>
    <x:row r="16" ht="34" customHeight="1">
      <x:c r="A16" s="88" t="str">
        <x:v>GEMALINK_CARRY</x:v>
      </x:c>
      <x:c r="B16" s="89" t="str">
        <x:v>Gemalink ending carrying value</x:v>
      </x:c>
      <x:c r="C16" s="89" t="str">
        <x:v>VND bn</x:v>
      </x:c>
      <x:c r="D16" s="134" t="n">
        <x:v>1479.375185</x:v>
      </x:c>
      <x:c r="E16" s="134" t="n">
        <x:v>1561.234701</x:v>
      </x:c>
      <x:c r="F16" s="134" t="n">
        <x:v>1578.376</x:v>
      </x:c>
      <x:c r="G16" s="134" t="n">
        <x:v>2127.153</x:v>
      </x:c>
      <x:c r="H16" s="134" t="n">
        <x:v>2953.963</x:v>
      </x:c>
      <x:c r="I16" s="89" t="str">
        <x:v>SRC-G11 / SRC-G10 / SRC-G08 / SRC-G01</x:v>
      </x:c>
      <x:c r="J16" s="89" t="str">
        <x:v>Issuer actual</x:v>
      </x:c>
      <x:c r="K16" s="90" t="str">
        <x:v>Equity-accounted ownership value.</x:v>
      </x:c>
    </x:row>
    <x:row r="17" ht="34" customHeight="1">
      <x:c r="A17" s="88" t="str">
        <x:v>SCS_CARRY</x:v>
      </x:c>
      <x:c r="B17" s="89" t="str">
        <x:v>SCS ending carrying value</x:v>
      </x:c>
      <x:c r="C17" s="89" t="str">
        <x:v>VND bn</x:v>
      </x:c>
      <x:c r="D17" s="134" t="n">
        <x:v>586.553348</x:v>
      </x:c>
      <x:c r="E17" s="134" t="n">
        <x:v>645.644165</x:v>
      </x:c>
      <x:c r="F17" s="134" t="n">
        <x:v>609.058</x:v>
      </x:c>
      <x:c r="G17" s="134" t="n">
        <x:v>625.168</x:v>
      </x:c>
      <x:c r="H17" s="134" t="n">
        <x:v>682.798</x:v>
      </x:c>
      <x:c r="I17" s="89" t="str">
        <x:v>SRC-G11 / SRC-G10 / SRC-G08 / SRC-G01</x:v>
      </x:c>
      <x:c r="J17" s="89" t="str">
        <x:v>Issuer actual</x:v>
      </x:c>
      <x:c r="K17" s="90" t="str">
        <x:v>Equity-accounted ownership value.</x:v>
      </x:c>
    </x:row>
    <x:row r="18" ht="34" customHeight="1">
      <x:c r="A18" s="88" t="str">
        <x:v>GEMALINK_THROUGHPUT</x:v>
      </x:c>
      <x:c r="B18" s="89" t="str">
        <x:v>Gemalink container throughput</x:v>
      </x:c>
      <x:c r="C18" s="89" t="str">
        <x:v>m TEU minimum</x:v>
      </x:c>
      <x:c r="D18" s="134"/>
      <x:c r="E18" s="134" t="n">
        <x:v>1.1</x:v>
      </x:c>
      <x:c r="F18" s="134" t="n">
        <x:v>1</x:v>
      </x:c>
      <x:c r="G18" s="134" t="n">
        <x:v>1.7</x:v>
      </x:c>
      <x:c r="H18" s="134" t="n">
        <x:v>1.9</x:v>
      </x:c>
      <x:c r="I18" s="89" t="str">
        <x:v>SRC-G10 / SRC-G09 / SRC-G08 / SRC-G01</x:v>
      </x:c>
      <x:c r="J18" s="89" t="str">
        <x:v>Issuer minimum disclosure</x:v>
      </x:c>
      <x:c r="K18" s="90" t="str">
        <x:v>Rounded or minimum disclosed points; not additive to system volume.</x:v>
      </x:c>
    </x:row>
    <x:row r="19" ht="34" customHeight="1">
      <x:c r="A19" s="88" t="str">
        <x:v>NAM_DINH_VU_THROUGHPUT</x:v>
      </x:c>
      <x:c r="B19" s="89" t="str">
        <x:v>Nam Dinh Vu throughput</x:v>
      </x:c>
      <x:c r="C19" s="89" t="str">
        <x:v>m TEU</x:v>
      </x:c>
      <x:c r="D19" s="134"/>
      <x:c r="E19" s="134"/>
      <x:c r="F19" s="134" t="n">
        <x:v>0.897719</x:v>
      </x:c>
      <x:c r="G19" s="134"/>
      <x:c r="H19" s="134"/>
      <x:c r="I19" s="89" t="str">
        <x:v>SRC-G09</x:v>
      </x:c>
      <x:c r="J19" s="89" t="str">
        <x:v>Issuer actual</x:v>
      </x:c>
      <x:c r="K19" s="90" t="str">
        <x:v>Only 2023 exact annual point loaded.</x:v>
      </x:c>
    </x:row>
    <x:row r="20" ht="34" customHeight="1">
      <x:c r="A20" s="88" t="str">
        <x:v>SOUTH_EX_GEMALINK</x:v>
      </x:c>
      <x:c r="B20" s="89" t="str">
        <x:v>Southern port division excluding Gemalink</x:v>
      </x:c>
      <x:c r="C20" s="89" t="str">
        <x:v>m TEU</x:v>
      </x:c>
      <x:c r="D20" s="134"/>
      <x:c r="E20" s="134"/>
      <x:c r="F20" s="134"/>
      <x:c r="G20" s="134"/>
      <x:c r="H20" s="134" t="n">
        <x:v>1.650408</x:v>
      </x:c>
      <x:c r="I20" s="89" t="str">
        <x:v>SRC-G01</x:v>
      </x:c>
      <x:c r="J20" s="89" t="str">
        <x:v>Issuer actual</x:v>
      </x:c>
      <x:c r="K20" s="90" t="str">
        <x:v>Division scope differs from total South.</x:v>
      </x:c>
    </x:row>
    <x:row r="21" ht="34" customHeight="1">
      <x:c r="A21" s="91" t="str">
        <x:v>PL_BD_THROUGHPUT</x:v>
      </x:c>
      <x:c r="B21" s="92" t="str">
        <x:v>Phuoc Long ICD / Binh Duong throughput</x:v>
      </x:c>
      <x:c r="C21" s="92" t="str">
        <x:v>m TEU</x:v>
      </x:c>
      <x:c r="D21" s="135"/>
      <x:c r="E21" s="135"/>
      <x:c r="F21" s="135"/>
      <x:c r="G21" s="135" t="n">
        <x:v>1.145</x:v>
      </x:c>
      <x:c r="H21" s="135" t="n">
        <x:v>1.260574</x:v>
      </x:c>
      <x:c r="I21" s="92" t="str">
        <x:v>SRC-G01</x:v>
      </x:c>
      <x:c r="J21" s="92" t="str">
        <x:v>Issuer actual</x:v>
      </x:c>
      <x:c r="K21" s="93" t="str">
        <x:v>Subset of the Southern division.</x:v>
      </x:c>
    </x:row>
  </x:sheetData>
  <x:mergeCells>
    <x:mergeCell ref="A1:K1"/>
    <x:mergeCell ref="A2:K2"/>
  </x:mergeCells>
  <x:pageMargins left="0.7" right="0.7" top="0.75" bottom="0.75" header="0.3" footer="0.3"/>
  <x:tableParts count="1">
    <x:tablePart xmlns:r="http://schemas.openxmlformats.org/officeDocument/2006/relationships" r:id="R9d9872d5509f489a"/>
  </x:tableParts>
</x:worksheet>
</file>

<file path=xl/worksheets/sheet20.xml><?xml version="1.0" encoding="utf-8"?>
<x:worksheet xmlns:x="http://schemas.openxmlformats.org/spreadsheetml/2006/main">
  <x:sheetViews>
    <x:sheetView showGridLines="0" workbookViewId="0"/>
  </x:sheetViews>
  <x:sheetFormatPr defaultRowHeight="15"/>
  <x:cols>
    <x:col min="1" max="1" width="31" hidden="0" customWidth="1"/>
    <x:col min="2" max="2" width="28" hidden="0" customWidth="1"/>
    <x:col min="3" max="3" width="31" hidden="0" customWidth="1"/>
    <x:col min="4" max="4" width="34" hidden="0" customWidth="1"/>
    <x:col min="5" max="5" width="29" hidden="0" customWidth="1"/>
    <x:col min="6" max="6" width="31" hidden="0" customWidth="1"/>
    <x:col min="7" max="7" width="18" hidden="0" customWidth="1"/>
    <x:col min="8" max="8" width="18" hidden="0" customWidth="1"/>
    <x:col min="9" max="9" width="18" hidden="0" customWidth="1"/>
    <x:col min="10" max="10" width="18" hidden="0" customWidth="1"/>
    <x:col min="11" max="11" width="18" hidden="0" customWidth="1"/>
    <x:col min="12" max="12" width="18" hidden="0" customWidth="1"/>
    <x:col min="13" max="13" width="18" hidden="0" customWidth="1"/>
    <x:col min="14" max="14" width="18" hidden="0" customWidth="1"/>
  </x:cols>
  <x:sheetData>
    <x:row r="1" ht="30" customHeight="1">
      <x:c r="A1" s="264" t="str">
        <x:v>Phase 3 — GMD Five-Year Historical Driver Dashboard</x:v>
      </x:c>
      <x:c r="B1" s="264" t="str">
        <x:v>Phase 3 — GMD Five-Year Historical Driver Dashboard</x:v>
      </x:c>
      <x:c r="C1" s="264" t="str">
        <x:v>Phase 3 — GMD Five-Year Historical Driver Dashboard</x:v>
      </x:c>
      <x:c r="D1" s="264" t="str">
        <x:v>Phase 3 — GMD Five-Year Historical Driver Dashboard</x:v>
      </x:c>
      <x:c r="E1" s="264" t="str">
        <x:v>Phase 3 — GMD Five-Year Historical Driver Dashboard</x:v>
      </x:c>
      <x:c r="F1" s="264" t="str">
        <x:v>Phase 3 — GMD Five-Year Historical Driver Dashboard</x:v>
      </x:c>
      <x:c r="G1" s="264" t="str">
        <x:v>Phase 3 — GMD Five-Year Historical Driver Dashboard</x:v>
      </x:c>
      <x:c r="H1" s="264" t="str">
        <x:v>Phase 3 — GMD Five-Year Historical Driver Dashboard</x:v>
      </x:c>
      <x:c r="I1" s="264" t="str">
        <x:v>Phase 3 — GMD Five-Year Historical Driver Dashboard</x:v>
      </x:c>
      <x:c r="J1" s="264" t="str">
        <x:v>Phase 3 — GMD Five-Year Historical Driver Dashboard</x:v>
      </x:c>
      <x:c r="K1" s="264" t="str">
        <x:v>Phase 3 — GMD Five-Year Historical Driver Dashboard</x:v>
      </x:c>
      <x:c r="L1" s="264" t="str">
        <x:v>Phase 3 — GMD Five-Year Historical Driver Dashboard</x:v>
      </x:c>
      <x:c r="M1" s="264" t="str">
        <x:v>Phase 3 — GMD Five-Year Historical Driver Dashboard</x:v>
      </x:c>
      <x:c r="N1" s="264" t="str">
        <x:v>Phase 3 — GMD Five-Year Historical Driver Dashboard</x:v>
      </x:c>
    </x:row>
    <x:row r="2" ht="34" customHeight="1">
      <x:c r="A2" s="268" t="str">
        <x:v>Recruiter view: 2021–2025 raw-linked financial history, explicit ownership scope and cash-flow reconciliation. No analyst forecast, valuation, rating or target price.</x:v>
      </x:c>
      <x:c r="B2" s="268" t="str">
        <x:v>Recruiter view: 2021–2025 raw-linked financial history, explicit ownership scope and cash-flow reconciliation. No analyst forecast, valuation, rating or target price.</x:v>
      </x:c>
      <x:c r="C2" s="268" t="str">
        <x:v>Recruiter view: 2021–2025 raw-linked financial history, explicit ownership scope and cash-flow reconciliation. No analyst forecast, valuation, rating or target price.</x:v>
      </x:c>
      <x:c r="D2" s="268" t="str">
        <x:v>Recruiter view: 2021–2025 raw-linked financial history, explicit ownership scope and cash-flow reconciliation. No analyst forecast, valuation, rating or target price.</x:v>
      </x:c>
      <x:c r="E2" s="268" t="str">
        <x:v>Recruiter view: 2021–2025 raw-linked financial history, explicit ownership scope and cash-flow reconciliation. No analyst forecast, valuation, rating or target price.</x:v>
      </x:c>
      <x:c r="F2" s="268" t="str">
        <x:v>Recruiter view: 2021–2025 raw-linked financial history, explicit ownership scope and cash-flow reconciliation. No analyst forecast, valuation, rating or target price.</x:v>
      </x:c>
      <x:c r="G2" s="268" t="str">
        <x:v>Recruiter view: 2021–2025 raw-linked financial history, explicit ownership scope and cash-flow reconciliation. No analyst forecast, valuation, rating or target price.</x:v>
      </x:c>
      <x:c r="H2" s="268" t="str">
        <x:v>Recruiter view: 2021–2025 raw-linked financial history, explicit ownership scope and cash-flow reconciliation. No analyst forecast, valuation, rating or target price.</x:v>
      </x:c>
      <x:c r="I2" s="268" t="str">
        <x:v>Recruiter view: 2021–2025 raw-linked financial history, explicit ownership scope and cash-flow reconciliation. No analyst forecast, valuation, rating or target price.</x:v>
      </x:c>
      <x:c r="J2" s="268" t="str">
        <x:v>Recruiter view: 2021–2025 raw-linked financial history, explicit ownership scope and cash-flow reconciliation. No analyst forecast, valuation, rating or target price.</x:v>
      </x:c>
      <x:c r="K2" s="268" t="str">
        <x:v>Recruiter view: 2021–2025 raw-linked financial history, explicit ownership scope and cash-flow reconciliation. No analyst forecast, valuation, rating or target price.</x:v>
      </x:c>
      <x:c r="L2" s="268" t="str">
        <x:v>Recruiter view: 2021–2025 raw-linked financial history, explicit ownership scope and cash-flow reconciliation. No analyst forecast, valuation, rating or target price.</x:v>
      </x:c>
      <x:c r="M2" s="268" t="str">
        <x:v>Recruiter view: 2021–2025 raw-linked financial history, explicit ownership scope and cash-flow reconciliation. No analyst forecast, valuation, rating or target price.</x:v>
      </x:c>
      <x:c r="N2" s="268" t="str">
        <x:v>Recruiter view: 2021–2025 raw-linked financial history, explicit ownership scope and cash-flow reconciliation. No analyst forecast, valuation, rating or target price.</x:v>
      </x:c>
    </x:row>
    <x:row r="4" ht="21" customHeight="1">
      <x:c r="A4" s="286" t="str">
        <x:v>Model status and 2025 operating outputs</x:v>
      </x:c>
      <x:c r="B4" s="286" t="str">
        <x:v>Model status and 2025 operating outputs</x:v>
      </x:c>
      <x:c r="C4" s="286" t="str">
        <x:v>Model status and 2025 operating outputs</x:v>
      </x:c>
      <x:c r="D4" s="286" t="str">
        <x:v>Model status and 2025 operating outputs</x:v>
      </x:c>
      <x:c r="E4" s="286" t="str">
        <x:v>Model status and 2025 operating outputs</x:v>
      </x:c>
      <x:c r="F4" s="286" t="str">
        <x:v>Model status and 2025 operating outputs</x:v>
      </x:c>
    </x:row>
    <x:row r="5" ht="28" customHeight="1">
      <x:c r="A5" s="377" t="str">
        <x:v>Selected company</x:v>
      </x:c>
      <x:c r="B5" s="321" t="str">
        <x:v>GMD</x:v>
      </x:c>
      <x:c r="D5" s="377" t="str">
        <x:v>2026 issuer benchmark</x:v>
      </x:c>
      <x:c r="E5" s="321" t="str">
        <x:v>Value</x:v>
      </x:c>
    </x:row>
    <x:row r="6" ht="28" customHeight="1">
      <x:c r="A6" s="378" t="str">
        <x:v>Model status</x:v>
      </x:c>
      <x:c r="B6" s="382" t="str">
        <x:f>'P3 Checks'!B58</x:f>
        <x:v>OK — five-year raw-linked history reconciled; ready for Phase 4</x:v>
      </x:c>
      <x:c r="D6" s="378" t="str">
        <x:v>Registered revenue plan</x:v>
      </x:c>
      <x:c r="E6" s="382" t="n">
        <x:f>'P3 Guidance'!C6</x:f>
        <x:v>6500</x:v>
      </x:c>
    </x:row>
    <x:row r="7" ht="28" customHeight="1">
      <x:c r="A7" s="378" t="str">
        <x:v>System throughput</x:v>
      </x:c>
      <x:c r="B7" s="384" t="n">
        <x:f>'P3 Port Drivers'!G6</x:f>
        <x:v>5.079</x:v>
      </x:c>
      <x:c r="D7" s="378" t="str">
        <x:v>Registered core PBT plan</x:v>
      </x:c>
      <x:c r="E7" s="382" t="n">
        <x:f>'P3 Guidance'!C7</x:f>
        <x:v>2800</x:v>
      </x:c>
    </x:row>
    <x:row r="8" ht="28" customHeight="1">
      <x:c r="A8" s="378" t="str">
        <x:v>Port external revenue</x:v>
      </x:c>
      <x:c r="B8" s="382" t="n">
        <x:f>'P3 Port Drivers'!G8</x:f>
        <x:v>5254.22761</x:v>
      </x:c>
      <x:c r="D8" s="378" t="str">
        <x:v>Q1 revenue / registered plan</x:v>
      </x:c>
      <x:c r="E8" s="385" t="n">
        <x:f>'P3 Guidance'!D11</x:f>
        <x:v>0.22338461538461538</x:v>
      </x:c>
    </x:row>
    <x:row r="9" ht="28" customHeight="1">
      <x:c r="A9" s="378" t="str">
        <x:v>Issuer core PBT</x:v>
      </x:c>
      <x:c r="B9" s="382" t="n">
        <x:f>'P3 Historical IS'!G25</x:f>
        <x:v>2520.827</x:v>
      </x:c>
      <x:c r="D9" s="378" t="str">
        <x:v>Q1 PBT / registered plan</x:v>
      </x:c>
      <x:c r="E9" s="385" t="n">
        <x:f>'P3 Guidance'!D12</x:f>
        <x:v>0.2557142857142857</x:v>
      </x:c>
    </x:row>
    <x:row r="10" ht="28" customHeight="1">
      <x:c r="A10" s="378" t="str">
        <x:v>Core EBITDA proxy</x:v>
      </x:c>
      <x:c r="B10" s="382" t="n">
        <x:f>'P3 Historical IS'!G33</x:f>
        <x:v>3048.626785069</x:v>
      </x:c>
      <x:c r="D10" s="378" t="str">
        <x:v>Gemalink Phase 2 timing</x:v>
      </x:c>
      <x:c r="E10" s="292" t="str">
        <x:v>Q4 2027</x:v>
      </x:c>
    </x:row>
    <x:row r="11" ht="28" customHeight="1">
      <x:c r="A11" s="378" t="str">
        <x:v>Associate earnings / core PBT</x:v>
      </x:c>
      <x:c r="B11" s="385" t="n">
        <x:f>'P3 Associates'!G12</x:f>
        <x:v>0.4592379318164237</x:v>
      </x:c>
      <x:c r="D11" s="378" t="str">
        <x:v>Model scope</x:v>
      </x:c>
      <x:c r="E11" s="292" t="str">
        <x:v>2021–2025 actuals</x:v>
      </x:c>
    </x:row>
    <x:row r="12" ht="28" customHeight="1">
      <x:c r="A12" s="379" t="str">
        <x:v>Historical FCF proxy</x:v>
      </x:c>
      <x:c r="B12" s="383" t="n">
        <x:f>'P3 Cash Flow'!G9</x:f>
        <x:v>465.8994484370003</x:v>
      </x:c>
      <x:c r="D12" s="379" t="str">
        <x:v>Next phase</x:v>
      </x:c>
      <x:c r="E12" s="308" t="str">
        <x:v>Forecast &amp; valuation</x:v>
      </x:c>
    </x:row>
    <x:row r="14" ht="21" customHeight="1">
      <x:c r="A14" s="286" t="str">
        <x:v>What five years of history actually say</x:v>
      </x:c>
      <x:c r="B14" s="286" t="str">
        <x:v>What five years of history actually say</x:v>
      </x:c>
      <x:c r="C14" s="286" t="str">
        <x:v>What five years of history actually say</x:v>
      </x:c>
      <x:c r="D14" s="286" t="str">
        <x:v>What five years of history actually say</x:v>
      </x:c>
      <x:c r="E14" s="286" t="str">
        <x:v>What five years of history actually say</x:v>
      </x:c>
      <x:c r="F14" s="286" t="str">
        <x:v>What five years of history actually say</x:v>
      </x:c>
    </x:row>
    <x:row r="15" ht="32" customHeight="1">
      <x:c r="A15" s="278" t="str">
        <x:v>Observation</x:v>
      </x:c>
      <x:c r="B15" s="278" t="str">
        <x:v>Evidence</x:v>
      </x:c>
      <x:c r="C15" s="278" t="str">
        <x:v>Mechanism</x:v>
      </x:c>
      <x:c r="D15" s="278" t="str">
        <x:v>Phase 4 implication</x:v>
      </x:c>
      <x:c r="E15" s="278" t="str">
        <x:v>Risk to thesis</x:v>
      </x:c>
      <x:c r="F15" s="278" t="str">
        <x:v>Source / model</x:v>
      </x:c>
    </x:row>
    <x:row r="16" ht="48" customHeight="1">
      <x:c r="A16" s="85" t="str">
        <x:v>System volume scaled materially across the cycle</x:v>
      </x:c>
      <x:c r="B16" s="86" t="str">
        <x:v>2.627m* → 5.079m TEU; *2021 chart-derived</x:v>
      </x:c>
      <x:c r="C16" s="86" t="str">
        <x:v>Trade recovery plus Gemalink and Northern capacity</x:v>
      </x:c>
      <x:c r="D16" s="86" t="str">
        <x:v>Forecast North and South separately</x:v>
      </x:c>
      <x:c r="E16" s="86" t="str">
        <x:v>Rounded early-year volume reduces precision</x:v>
      </x:c>
      <x:c r="F16" s="87" t="str">
        <x:v>P3 Port Drivers</x:v>
      </x:c>
    </x:row>
    <x:row r="17" ht="48" customHeight="1">
      <x:c r="A17" s="88" t="str">
        <x:v>2025 port revenue growth exceeded volume growth</x:v>
      </x:c>
      <x:c r="B17" s="89" t="str">
        <x:v>Port revenue +25.4%; throughput +14.5%</x:v>
      </x:c>
      <x:c r="C17" s="89" t="str">
        <x:v>Residual unit/mix/scope contribution</x:v>
      </x:c>
      <x:c r="D17" s="89" t="str">
        <x:v>Keep a visible unit proxy</x:v>
      </x:c>
      <x:c r="E17" s="89" t="str">
        <x:v>Proxy is not a clean tariff</x:v>
      </x:c>
      <x:c r="F17" s="90" t="str">
        <x:v>P3 Port Drivers</x:v>
      </x:c>
    </x:row>
    <x:row r="18" ht="48" customHeight="1">
      <x:c r="A18" s="88" t="str">
        <x:v>Associates became structurally material</x:v>
      </x:c>
      <x:c r="B18" s="89" t="str">
        <x:v>Associates were 45.9% of 2025 core PBT</x:v>
      </x:c>
      <x:c r="C18" s="89" t="str">
        <x:v>Gemalink earnings enter below consolidated revenue</x:v>
      </x:c>
      <x:c r="D18" s="89" t="str">
        <x:v>Model Gemalink separately</x:v>
      </x:c>
      <x:c r="E18" s="89" t="str">
        <x:v>Earnings concentration and dividend timing</x:v>
      </x:c>
      <x:c r="F18" s="90" t="str">
        <x:v>P3 Associates</x:v>
      </x:c>
    </x:row>
    <x:row r="19" ht="48" customHeight="1">
      <x:c r="A19" s="88" t="str">
        <x:v>Cash flow recovered but reinvestment stayed heavy</x:v>
      </x:c>
      <x:c r="B19" s="89" t="str">
        <x:v>2025 FCF proxy about VND 466bn</x:v>
      </x:c>
      <x:c r="C19" s="89" t="str">
        <x:v>CFO improved while cash capex was about VND 1.68tn</x:v>
      </x:c>
      <x:c r="D19" s="89" t="str">
        <x:v>Keep cash capex and conversion explicit</x:v>
      </x:c>
      <x:c r="E19" s="89" t="str">
        <x:v>Growth may not convert to near-term FCF</x:v>
      </x:c>
      <x:c r="F19" s="90" t="str">
        <x:v>P3 Cash Flow</x:v>
      </x:c>
    </x:row>
    <x:row r="20" ht="48" customHeight="1">
      <x:c r="A20" s="91" t="str">
        <x:v>Reported PBT is not comparable across all years</x:v>
      </x:c>
      <x:c r="B20" s="92" t="str">
        <x:v>2023 includes a major capital-transfer gain</x:v>
      </x:c>
      <x:c r="C20" s="92" t="str">
        <x:v>Non-core financial income distorted growth</x:v>
      </x:c>
      <x:c r="D20" s="92" t="str">
        <x:v>Anchor forecast to core PBT</x:v>
      </x:c>
      <x:c r="E20" s="92" t="str">
        <x:v>Incorrect normalization can inflate growth</x:v>
      </x:c>
      <x:c r="F20" s="93" t="str">
        <x:v>P3 Historical IS</x:v>
      </x:c>
    </x:row>
    <x:row r="22" ht="21" customHeight="1">
      <x:c r="A22" s="286" t="str">
        <x:v>Phase 4 handoff — driver tree</x:v>
      </x:c>
      <x:c r="B22" s="286" t="str">
        <x:v>Phase 4 handoff — driver tree</x:v>
      </x:c>
      <x:c r="C22" s="286" t="str">
        <x:v>Phase 4 handoff — driver tree</x:v>
      </x:c>
      <x:c r="D22" s="286" t="str">
        <x:v>Phase 4 handoff — driver tree</x:v>
      </x:c>
      <x:c r="E22" s="286" t="str">
        <x:v>Phase 4 handoff — driver tree</x:v>
      </x:c>
      <x:c r="F22" s="286" t="str">
        <x:v>Phase 4 handoff — driver tree</x:v>
      </x:c>
    </x:row>
    <x:row r="23" ht="32" customHeight="1">
      <x:c r="A23" s="278" t="str">
        <x:v>Step</x:v>
      </x:c>
      <x:c r="B23" s="278" t="str">
        <x:v>Driver</x:v>
      </x:c>
      <x:c r="C23" s="278" t="str">
        <x:v>Historical anchor</x:v>
      </x:c>
      <x:c r="D23" s="278" t="str">
        <x:v>Required Phase 4 input</x:v>
      </x:c>
      <x:c r="E23" s="278" t="str">
        <x:v>Output</x:v>
      </x:c>
      <x:c r="F23" s="278" t="str">
        <x:v>Control</x:v>
      </x:c>
    </x:row>
    <x:row r="24" ht="42" customHeight="1">
      <x:c r="A24" s="85" t="n">
        <x:v>1</x:v>
      </x:c>
      <x:c r="B24" s="86" t="str">
        <x:v>North / South throughput</x:v>
      </x:c>
      <x:c r="C24" s="86" t="str">
        <x:v>Five-year system and selected asset disclosures</x:v>
      </x:c>
      <x:c r="D24" s="86" t="str">
        <x:v>Base/Bull/Bear growth and capacity ramp</x:v>
      </x:c>
      <x:c r="E24" s="86" t="str">
        <x:v>System and asset volume</x:v>
      </x:c>
      <x:c r="F24" s="87" t="str">
        <x:v>Capacity and scope checks</x:v>
      </x:c>
    </x:row>
    <x:row r="25" ht="42" customHeight="1">
      <x:c r="A25" s="88" t="n">
        <x:v>2</x:v>
      </x:c>
      <x:c r="B25" s="89" t="str">
        <x:v>Port revenue per unit proxy</x:v>
      </x:c>
      <x:c r="C25" s="89" t="str">
        <x:v>Five-year VND '000 per system TEU</x:v>
      </x:c>
      <x:c r="D25" s="89" t="str">
        <x:v>Price/mix/service assumptions</x:v>
      </x:c>
      <x:c r="E25" s="89" t="str">
        <x:v>Consolidated port revenue</x:v>
      </x:c>
      <x:c r="F25" s="90" t="str">
        <x:v>Bridge to volume and proxy</x:v>
      </x:c>
    </x:row>
    <x:row r="26" ht="42" customHeight="1">
      <x:c r="A26" s="88" t="n">
        <x:v>3</x:v>
      </x:c>
      <x:c r="B26" s="89" t="str">
        <x:v>Port segment margin / D&amp;A</x:v>
      </x:c>
      <x:c r="C26" s="89" t="str">
        <x:v>Five-year segment performance and D&amp;A</x:v>
      </x:c>
      <x:c r="D26" s="89" t="str">
        <x:v>Operating leverage and depreciation schedule</x:v>
      </x:c>
      <x:c r="E26" s="89" t="str">
        <x:v>Port EBITDA/EBIT proxy</x:v>
      </x:c>
      <x:c r="F26" s="90" t="str">
        <x:v>Margin sanity checks</x:v>
      </x:c>
    </x:row>
    <x:row r="27" ht="42" customHeight="1">
      <x:c r="A27" s="91" t="n">
        <x:v>4</x:v>
      </x:c>
      <x:c r="B27" s="92" t="str">
        <x:v>Associates, NCI and capex</x:v>
      </x:c>
      <x:c r="C27" s="92" t="str">
        <x:v>Gemalink/SCS earnings and raw cash flow</x:v>
      </x:c>
      <x:c r="D27" s="92" t="str">
        <x:v>Associate earnings, distributions and project capex</x:v>
      </x:c>
      <x:c r="E27" s="92" t="str">
        <x:v>PBT, PAT and FCF</x:v>
      </x:c>
      <x:c r="F27" s="93" t="str">
        <x:v>Attribution and cash-flow checks</x:v>
      </x:c>
    </x:row>
    <x:row r="29" ht="21" customHeight="1">
      <x:c r="A29" s="286" t="str">
        <x:v>Color and evidence legend</x:v>
      </x:c>
      <x:c r="B29" s="286" t="str">
        <x:v>Color and evidence legend</x:v>
      </x:c>
      <x:c r="C29" s="286" t="str">
        <x:v>Color and evidence legend</x:v>
      </x:c>
      <x:c r="D29" s="286" t="str">
        <x:v>Color and evidence legend</x:v>
      </x:c>
      <x:c r="E29" s="286" t="str">
        <x:v>Color and evidence legend</x:v>
      </x:c>
      <x:c r="F29" s="286" t="str">
        <x:v>Color and evidence legend</x:v>
      </x:c>
    </x:row>
    <x:row r="30" ht="38" customHeight="1">
      <x:c r="A30" s="392" t="str">
        <x:v>Black text = filing-sourced values or formulas</x:v>
      </x:c>
      <x:c r="B30" s="395" t="str">
        <x:v>Green text = formula link to another workbook sheet</x:v>
      </x:c>
      <x:c r="C30" s="396" t="str">
        <x:v>Yellow fill = caveat / scope warning</x:v>
      </x:c>
      <x:c r="D30" s="393" t="str">
        <x:v>Management guidance is labelled separately</x:v>
      </x:c>
      <x:c r="E30" s="393" t="str">
        <x:v>No blue analyst assumptions in Phase 3</x:v>
      </x:c>
      <x:c r="F30" s="394" t="str">
        <x:v>All full URLs are in Source Audit / raw sheets</x:v>
      </x:c>
    </x:row>
    <x:row r="32" ht="32" customHeight="1">
      <x:c r="A32" s="278" t="str">
        <x:v>Year</x:v>
      </x:c>
      <x:c r="B32" s="278" t="str">
        <x:v>System throughput (m TEU)</x:v>
      </x:c>
      <x:c r="C32" s="278" t="str">
        <x:v>Port revenue (VND bn)</x:v>
      </x:c>
      <x:c r="D32" s="278" t="str">
        <x:v>Port segment profit (VND bn)</x:v>
      </x:c>
      <x:c r="F32" s="278" t="str">
        <x:v>Year</x:v>
      </x:c>
      <x:c r="G32" s="278" t="str">
        <x:v>Associate earnings</x:v>
      </x:c>
      <x:c r="H32" s="278" t="str">
        <x:v>Residual core PBT</x:v>
      </x:c>
    </x:row>
    <x:row r="33" ht="25" customHeight="1">
      <x:c r="A33" s="85" t="str">
        <x:v>2021A</x:v>
      </x:c>
      <x:c r="B33" s="317" t="n">
        <x:f>'P3 Port Drivers'!C6</x:f>
        <x:v>2.627</x:v>
      </x:c>
      <x:c r="C33" s="287" t="n">
        <x:f>'P3 Port Drivers'!C8</x:f>
        <x:v>2762.788218</x:v>
      </x:c>
      <x:c r="D33" s="400" t="n">
        <x:f>'P3 Port Drivers'!C12</x:f>
        <x:v>713.563688</x:v>
      </x:c>
      <x:c r="F33" s="85" t="str">
        <x:v>2021A</x:v>
      </x:c>
      <x:c r="G33" s="287" t="n">
        <x:f>'P3 Associates'!C6</x:f>
        <x:v>236.913674177</x:v>
      </x:c>
      <x:c r="H33" s="400" t="n">
        <x:f>'P3 Historical IS'!C25-'P3 Associates'!C6</x:f>
        <x:v>569.298325823</x:v>
      </x:c>
    </x:row>
    <x:row r="34" ht="25" customHeight="1">
      <x:c r="A34" s="88" t="str">
        <x:v>2022A</x:v>
      </x:c>
      <x:c r="B34" s="348" t="n">
        <x:f>'P3 Port Drivers'!D6</x:f>
        <x:v>3.1</x:v>
      </x:c>
      <x:c r="C34" s="288" t="n">
        <x:f>'P3 Port Drivers'!D8</x:f>
        <x:v>3086.178236</x:v>
      </x:c>
      <x:c r="D34" s="401" t="n">
        <x:f>'P3 Port Drivers'!D12</x:f>
        <x:v>985.584222</x:v>
      </x:c>
      <x:c r="F34" s="88" t="str">
        <x:v>2022A</x:v>
      </x:c>
      <x:c r="G34" s="288" t="n">
        <x:f>'P3 Associates'!D6</x:f>
        <x:v>399.148325174</x:v>
      </x:c>
      <x:c r="H34" s="401" t="n">
        <x:f>'P3 Historical IS'!D25-'P3 Associates'!D6</x:f>
        <x:v>909.3296748260001</x:v>
      </x:c>
    </x:row>
    <x:row r="35" ht="25" customHeight="1">
      <x:c r="A35" s="88" t="str">
        <x:v>2023A</x:v>
      </x:c>
      <x:c r="B35" s="348" t="n">
        <x:f>'P3 Port Drivers'!E6</x:f>
        <x:v>3.011</x:v>
      </x:c>
      <x:c r="C35" s="288" t="n">
        <x:f>'P3 Port Drivers'!E8</x:f>
        <x:v>2908.540764</x:v>
      </x:c>
      <x:c r="D35" s="401" t="n">
        <x:f>'P3 Port Drivers'!E12</x:f>
        <x:v>1083.302</x:v>
      </x:c>
      <x:c r="F35" s="88" t="str">
        <x:v>2023A</x:v>
      </x:c>
      <x:c r="G35" s="288" t="n">
        <x:f>'P3 Associates'!E6</x:f>
        <x:v>274.234816173</x:v>
      </x:c>
      <x:c r="H35" s="401" t="n">
        <x:f>'P3 Historical IS'!E25-'P3 Associates'!E6</x:f>
        <x:v>1032.7651838269999</x:v>
      </x:c>
    </x:row>
    <x:row r="36" ht="25" customHeight="1">
      <x:c r="A36" s="88" t="str">
        <x:v>2024A</x:v>
      </x:c>
      <x:c r="B36" s="348" t="n">
        <x:f>'P3 Port Drivers'!F6</x:f>
        <x:v>4.435</x:v>
      </x:c>
      <x:c r="C36" s="288" t="n">
        <x:f>'P3 Port Drivers'!F8</x:f>
        <x:v>4190.786438</x:v>
      </x:c>
      <x:c r="D36" s="401" t="n">
        <x:f>'P3 Port Drivers'!F12</x:f>
        <x:v>1556.966</x:v>
      </x:c>
      <x:c r="F36" s="88" t="str">
        <x:v>2024A</x:v>
      </x:c>
      <x:c r="G36" s="288" t="n">
        <x:f>'P3 Associates'!F6</x:f>
        <x:v>829.308422992</x:v>
      </x:c>
      <x:c r="H36" s="401" t="n">
        <x:f>'P3 Historical IS'!F25-'P3 Associates'!F6</x:f>
        <x:v>951.691577008</x:v>
      </x:c>
    </x:row>
    <x:row r="37" ht="25" customHeight="1">
      <x:c r="A37" s="91" t="str">
        <x:v>2025A</x:v>
      </x:c>
      <x:c r="B37" s="349" t="n">
        <x:f>'P3 Port Drivers'!G6</x:f>
        <x:v>5.079</x:v>
      </x:c>
      <x:c r="C37" s="360" t="n">
        <x:f>'P3 Port Drivers'!G8</x:f>
        <x:v>5254.22761</x:v>
      </x:c>
      <x:c r="D37" s="402" t="n">
        <x:f>'P3 Port Drivers'!G12</x:f>
        <x:v>1880.805</x:v>
      </x:c>
      <x:c r="F37" s="91" t="str">
        <x:v>2025A</x:v>
      </x:c>
      <x:c r="G37" s="360" t="n">
        <x:f>'P3 Associates'!G6</x:f>
        <x:v>1157.659377947</x:v>
      </x:c>
      <x:c r="H37" s="402" t="n">
        <x:f>'P3 Historical IS'!G25-'P3 Associates'!G6</x:f>
        <x:v>1363.1676220530003</x:v>
      </x:c>
    </x:row>
  </x:sheetData>
  <x:mergeCells>
    <x:mergeCell ref="A1:N1"/>
    <x:mergeCell ref="A2:N2"/>
    <x:mergeCell ref="A4:F4"/>
    <x:mergeCell ref="A14:F14"/>
    <x:mergeCell ref="A22:F22"/>
    <x:mergeCell ref="A29:F29"/>
  </x:mergeCells>
  <x:pageMargins left="0.7" right="0.7" top="0.75" bottom="0.75" header="0.3" footer="0.3"/>
  <x:drawing xmlns:r="http://schemas.openxmlformats.org/officeDocument/2006/relationships" r:id="R35dce5cd8fba4f6b"/>
</x:worksheet>
</file>

<file path=xl/worksheets/sheet21.xml><?xml version="1.0" encoding="utf-8"?>
<x:worksheet xmlns:x="http://schemas.openxmlformats.org/spreadsheetml/2006/main">
  <x:sheetViews>
    <x:sheetView showGridLines="0" workbookViewId="0"/>
  </x:sheetViews>
  <x:sheetFormatPr defaultRowHeight="15"/>
  <x:cols>
    <x:col min="1" max="1" width="48" hidden="0" customWidth="1"/>
    <x:col min="2" max="2" width="15" hidden="0" customWidth="1"/>
    <x:col min="3" max="3" width="16" hidden="0" customWidth="1"/>
    <x:col min="4" max="4" width="16" hidden="0" customWidth="1"/>
    <x:col min="5" max="5" width="16" hidden="0" customWidth="1"/>
    <x:col min="6" max="6" width="16" hidden="0" customWidth="1"/>
    <x:col min="7" max="7" width="16" hidden="0" customWidth="1"/>
    <x:col min="8" max="8" width="31" hidden="0" customWidth="1"/>
    <x:col min="9" max="9" width="28" hidden="0" customWidth="1"/>
    <x:col min="10" max="10" width="66" hidden="0" customWidth="1"/>
  </x:cols>
  <x:sheetData>
    <x:row r="1" ht="30" customHeight="1">
      <x:c r="A1" s="264" t="str">
        <x:v>Phase 3 — GMD Five-Year Historical Income Statement &amp; Earnings Bridge</x:v>
      </x:c>
      <x:c r="B1" s="264" t="str">
        <x:v>Phase 3 — GMD Five-Year Historical Income Statement &amp; Earnings Bridge</x:v>
      </x:c>
      <x:c r="C1" s="264" t="str">
        <x:v>Phase 3 — GMD Five-Year Historical Income Statement &amp; Earnings Bridge</x:v>
      </x:c>
      <x:c r="D1" s="264" t="str">
        <x:v>Phase 3 — GMD Five-Year Historical Income Statement &amp; Earnings Bridge</x:v>
      </x:c>
      <x:c r="E1" s="264" t="str">
        <x:v>Phase 3 — GMD Five-Year Historical Income Statement &amp; Earnings Bridge</x:v>
      </x:c>
      <x:c r="F1" s="264" t="str">
        <x:v>Phase 3 — GMD Five-Year Historical Income Statement &amp; Earnings Bridge</x:v>
      </x:c>
      <x:c r="G1" s="264" t="str">
        <x:v>Phase 3 — GMD Five-Year Historical Income Statement &amp; Earnings Bridge</x:v>
      </x:c>
      <x:c r="H1" s="264" t="str">
        <x:v>Phase 3 — GMD Five-Year Historical Income Statement &amp; Earnings Bridge</x:v>
      </x:c>
      <x:c r="I1" s="264" t="str">
        <x:v>Phase 3 — GMD Five-Year Historical Income Statement &amp; Earnings Bridge</x:v>
      </x:c>
      <x:c r="J1" s="264" t="str">
        <x:v>Phase 3 — GMD Five-Year Historical Income Statement &amp; Earnings Bridge</x:v>
      </x:c>
    </x:row>
    <x:row r="2" ht="34" customHeight="1">
      <x:c r="A2" s="268" t="str">
        <x:v>VND bn unless stated. FY2021–FY2025 financial-statement values link to Raw GMD VNStock; core PBT and segment data link to Raw GMD Disclosures.</x:v>
      </x:c>
      <x:c r="B2" s="268" t="str">
        <x:v>VND bn unless stated. FY2021–FY2025 financial-statement values link to Raw GMD VNStock; core PBT and segment data link to Raw GMD Disclosures.</x:v>
      </x:c>
      <x:c r="C2" s="268" t="str">
        <x:v>VND bn unless stated. FY2021–FY2025 financial-statement values link to Raw GMD VNStock; core PBT and segment data link to Raw GMD Disclosures.</x:v>
      </x:c>
      <x:c r="D2" s="268" t="str">
        <x:v>VND bn unless stated. FY2021–FY2025 financial-statement values link to Raw GMD VNStock; core PBT and segment data link to Raw GMD Disclosures.</x:v>
      </x:c>
      <x:c r="E2" s="268" t="str">
        <x:v>VND bn unless stated. FY2021–FY2025 financial-statement values link to Raw GMD VNStock; core PBT and segment data link to Raw GMD Disclosures.</x:v>
      </x:c>
      <x:c r="F2" s="268" t="str">
        <x:v>VND bn unless stated. FY2021–FY2025 financial-statement values link to Raw GMD VNStock; core PBT and segment data link to Raw GMD Disclosures.</x:v>
      </x:c>
      <x:c r="G2" s="268" t="str">
        <x:v>VND bn unless stated. FY2021–FY2025 financial-statement values link to Raw GMD VNStock; core PBT and segment data link to Raw GMD Disclosures.</x:v>
      </x:c>
      <x:c r="H2" s="268" t="str">
        <x:v>VND bn unless stated. FY2021–FY2025 financial-statement values link to Raw GMD VNStock; core PBT and segment data link to Raw GMD Disclosures.</x:v>
      </x:c>
      <x:c r="I2" s="268" t="str">
        <x:v>VND bn unless stated. FY2021–FY2025 financial-statement values link to Raw GMD VNStock; core PBT and segment data link to Raw GMD Disclosures.</x:v>
      </x:c>
      <x:c r="J2" s="268" t="str">
        <x:v>VND bn unless stated. FY2021–FY2025 financial-statement values link to Raw GMD VNStock; core PBT and segment data link to Raw GMD Disclosures.</x:v>
      </x:c>
    </x:row>
    <x:row r="4" ht="21" customHeight="1">
      <x:c r="A4" s="286" t="str">
        <x:v>Consolidated operations before financial, associate and other items</x:v>
      </x:c>
      <x:c r="B4" s="286" t="str">
        <x:v>Consolidated operations before financial, associate and other items</x:v>
      </x:c>
      <x:c r="C4" s="286" t="str">
        <x:v>Consolidated operations before financial, associate and other items</x:v>
      </x:c>
      <x:c r="D4" s="286" t="str">
        <x:v>Consolidated operations before financial, associate and other items</x:v>
      </x:c>
      <x:c r="E4" s="286" t="str">
        <x:v>Consolidated operations before financial, associate and other items</x:v>
      </x:c>
      <x:c r="F4" s="286" t="str">
        <x:v>Consolidated operations before financial, associate and other items</x:v>
      </x:c>
      <x:c r="G4" s="286" t="str">
        <x:v>Consolidated operations before financial, associate and other items</x:v>
      </x:c>
      <x:c r="H4" s="286" t="str">
        <x:v>Consolidated operations before financial, associate and other items</x:v>
      </x:c>
      <x:c r="I4" s="286" t="str">
        <x:v>Consolidated operations before financial, associate and other items</x:v>
      </x:c>
      <x:c r="J4" s="286" t="str">
        <x:v>Consolidated operations before financial, associate and other items</x:v>
      </x:c>
    </x:row>
    <x:row r="5" ht="32" customHeight="1">
      <x:c r="A5" s="278" t="str">
        <x:v>Metric</x:v>
      </x:c>
      <x:c r="B5" s="278" t="str">
        <x:v>Unit</x:v>
      </x:c>
      <x:c r="C5" s="280" t="n">
        <x:v>44561</x:v>
      </x:c>
      <x:c r="D5" s="280" t="n">
        <x:v>44926</x:v>
      </x:c>
      <x:c r="E5" s="280" t="n">
        <x:v>45291</x:v>
      </x:c>
      <x:c r="F5" s="280" t="n">
        <x:v>45657</x:v>
      </x:c>
      <x:c r="G5" s="280" t="n">
        <x:v>46022</x:v>
      </x:c>
      <x:c r="H5" s="278" t="str">
        <x:v>Source ID</x:v>
      </x:c>
      <x:c r="I5" s="278" t="str">
        <x:v>Data class</x:v>
      </x:c>
      <x:c r="J5" s="278" t="str">
        <x:v>Audit note</x:v>
      </x:c>
    </x:row>
    <x:row r="6" ht="31" customHeight="1">
      <x:c r="A6" s="85" t="str">
        <x:v>Net revenue</x:v>
      </x:c>
      <x:c r="B6" s="86" t="str">
        <x:v>VND bn</x:v>
      </x:c>
      <x:c r="C6" s="287" t="n">
        <x:f>'Raw GMD VNStock'!E8/'Raw GMD VNStock'!$B$3</x:f>
        <x:v>3206.290165333</x:v>
      </x:c>
      <x:c r="D6" s="287" t="n">
        <x:f>'Raw GMD VNStock'!F8/'Raw GMD VNStock'!$B$3</x:f>
        <x:v>3898.24360857</x:v>
      </x:c>
      <x:c r="E6" s="287" t="n">
        <x:f>'Raw GMD VNStock'!G8/'Raw GMD VNStock'!$B$3</x:f>
        <x:v>3845.826296568</x:v>
      </x:c>
      <x:c r="F6" s="287" t="n">
        <x:f>'Raw GMD VNStock'!H8/'Raw GMD VNStock'!$B$3</x:f>
        <x:v>4832.024798961</x:v>
      </x:c>
      <x:c r="G6" s="287" t="n">
        <x:f>'Raw GMD VNStock'!I8/'Raw GMD VNStock'!$B$3</x:f>
        <x:v>5956.025297015</x:v>
      </x:c>
      <x:c r="H6" s="86" t="str">
        <x:v>SRC-API01</x:v>
      </x:c>
      <x:c r="I6" s="86" t="str">
        <x:v>Linked API actual</x:v>
      </x:c>
      <x:c r="J6" s="87" t="str">
        <x:v>VNStock net_sales; reconciled to audited annual reports.</x:v>
      </x:c>
    </x:row>
    <x:row r="7" ht="31" customHeight="1">
      <x:c r="A7" s="88" t="str">
        <x:v>Cost of goods sold</x:v>
      </x:c>
      <x:c r="B7" s="89" t="str">
        <x:v>VND bn</x:v>
      </x:c>
      <x:c r="C7" s="288" t="n">
        <x:f>-'Raw GMD VNStock'!E9/'Raw GMD VNStock'!$B$3</x:f>
        <x:v>2064.489230639</x:v>
      </x:c>
      <x:c r="D7" s="288" t="n">
        <x:f>-'Raw GMD VNStock'!F9/'Raw GMD VNStock'!$B$3</x:f>
        <x:v>2180.183031483</x:v>
      </x:c>
      <x:c r="E7" s="288" t="n">
        <x:f>-'Raw GMD VNStock'!G9/'Raw GMD VNStock'!$B$3</x:f>
        <x:v>2067.811109265</x:v>
      </x:c>
      <x:c r="F7" s="288" t="n">
        <x:f>-'Raw GMD VNStock'!H9/'Raw GMD VNStock'!$B$3</x:f>
        <x:v>2696.544401941</x:v>
      </x:c>
      <x:c r="G7" s="288" t="n">
        <x:f>-'Raw GMD VNStock'!I9/'Raw GMD VNStock'!$B$3</x:f>
        <x:v>3216.552758085</x:v>
      </x:c>
      <x:c r="H7" s="89" t="str">
        <x:v>SRC-API01</x:v>
      </x:c>
      <x:c r="I7" s="89" t="str">
        <x:v>Linked API actual</x:v>
      </x:c>
      <x:c r="J7" s="90" t="str">
        <x:v>API expense sign is reversed for presentation.</x:v>
      </x:c>
    </x:row>
    <x:row r="8" ht="31" customHeight="1">
      <x:c r="A8" s="299" t="str">
        <x:v>Gross profit</x:v>
      </x:c>
      <x:c r="B8" s="300" t="str">
        <x:v>VND bn</x:v>
      </x:c>
      <x:c r="C8" s="301" t="n">
        <x:f>C6-C7</x:f>
        <x:v>1141.8009346939998</x:v>
      </x:c>
      <x:c r="D8" s="301" t="n">
        <x:f>D6-D7</x:f>
        <x:v>1718.0605770870002</x:v>
      </x:c>
      <x:c r="E8" s="301" t="n">
        <x:f>E6-E7</x:f>
        <x:v>1778.015187303</x:v>
      </x:c>
      <x:c r="F8" s="301" t="n">
        <x:f>F6-F7</x:f>
        <x:v>2135.4803970199996</x:v>
      </x:c>
      <x:c r="G8" s="301" t="n">
        <x:f>G6-G7</x:f>
        <x:v>2739.4725389300006</x:v>
      </x:c>
      <x:c r="H8" s="300" t="str">
        <x:v>Model formula</x:v>
      </x:c>
      <x:c r="I8" s="300" t="str">
        <x:v>Model output</x:v>
      </x:c>
      <x:c r="J8" s="300" t="str">
        <x:v>Net revenue less COGS.</x:v>
      </x:c>
    </x:row>
    <x:row r="9" ht="31" customHeight="1">
      <x:c r="A9" s="302" t="str">
        <x:v>Gross margin</x:v>
      </x:c>
      <x:c r="B9" s="303" t="str">
        <x:v>%</x:v>
      </x:c>
      <x:c r="C9" s="304" t="n">
        <x:f>C8/C6</x:f>
        <x:v>0.3561127894909082</x:v>
      </x:c>
      <x:c r="D9" s="304" t="n">
        <x:f>D8/D6</x:f>
        <x:v>0.4407268374172335</x:v>
      </x:c>
      <x:c r="E9" s="304" t="n">
        <x:f>E8/E6</x:f>
        <x:v>0.46232332149002503</x:v>
      </x:c>
      <x:c r="F9" s="304" t="n">
        <x:f>F8/F6</x:f>
        <x:v>0.4419431782467629</x:v>
      </x:c>
      <x:c r="G9" s="304" t="n">
        <x:f>G8/G6</x:f>
        <x:v>0.4599497823326826</x:v>
      </x:c>
      <x:c r="H9" s="303" t="str">
        <x:v>Model formula</x:v>
      </x:c>
      <x:c r="I9" s="303" t="str">
        <x:v>Model output</x:v>
      </x:c>
      <x:c r="J9" s="303" t="str">
        <x:v>Gross profit divided by revenue.</x:v>
      </x:c>
    </x:row>
    <x:row r="10" ht="31" customHeight="1">
      <x:c r="A10" s="88" t="str">
        <x:v>Selling expense</x:v>
      </x:c>
      <x:c r="B10" s="89" t="str">
        <x:v>VND bn</x:v>
      </x:c>
      <x:c r="C10" s="288" t="n">
        <x:f>-'Raw GMD VNStock'!E14/'Raw GMD VNStock'!$B$3</x:f>
        <x:v>154.146091638</x:v>
      </x:c>
      <x:c r="D10" s="288" t="n">
        <x:f>-'Raw GMD VNStock'!F14/'Raw GMD VNStock'!$B$3</x:f>
        <x:v>142.172449496</x:v>
      </x:c>
      <x:c r="E10" s="288" t="n">
        <x:f>-'Raw GMD VNStock'!G14/'Raw GMD VNStock'!$B$3</x:f>
        <x:v>109.543154417</x:v>
      </x:c>
      <x:c r="F10" s="288" t="n">
        <x:f>-'Raw GMD VNStock'!H14/'Raw GMD VNStock'!$B$3</x:f>
        <x:v>247.200313981</x:v>
      </x:c>
      <x:c r="G10" s="288" t="n">
        <x:f>-'Raw GMD VNStock'!I14/'Raw GMD VNStock'!$B$3</x:f>
        <x:v>481.965603944</x:v>
      </x:c>
      <x:c r="H10" s="89" t="str">
        <x:v>SRC-API01</x:v>
      </x:c>
      <x:c r="I10" s="89" t="str">
        <x:v>Linked API actual</x:v>
      </x:c>
      <x:c r="J10" s="90" t="str">
        <x:v>API expense sign is reversed for presentation.</x:v>
      </x:c>
    </x:row>
    <x:row r="11" ht="31" customHeight="1">
      <x:c r="A11" s="88" t="str">
        <x:v>G&amp;A expense</x:v>
      </x:c>
      <x:c r="B11" s="89" t="str">
        <x:v>VND bn</x:v>
      </x:c>
      <x:c r="C11" s="288" t="n">
        <x:f>-'Raw GMD VNStock'!E15/'Raw GMD VNStock'!$B$3</x:f>
        <x:v>294.784653891</x:v>
      </x:c>
      <x:c r="D11" s="288" t="n">
        <x:f>-'Raw GMD VNStock'!F15/'Raw GMD VNStock'!$B$3</x:f>
        <x:v>524.441250459</x:v>
      </x:c>
      <x:c r="E11" s="288" t="n">
        <x:f>-'Raw GMD VNStock'!G15/'Raw GMD VNStock'!$B$3</x:f>
        <x:v>551.943343263</x:v>
      </x:c>
      <x:c r="F11" s="288" t="n">
        <x:f>-'Raw GMD VNStock'!H15/'Raw GMD VNStock'!$B$3</x:f>
        <x:v>574.83848571</x:v>
      </x:c>
      <x:c r="G11" s="288" t="n">
        <x:f>-'Raw GMD VNStock'!I15/'Raw GMD VNStock'!$B$3</x:f>
        <x:v>610.544456639</x:v>
      </x:c>
      <x:c r="H11" s="89" t="str">
        <x:v>SRC-API01</x:v>
      </x:c>
      <x:c r="I11" s="89" t="str">
        <x:v>Linked API actual</x:v>
      </x:c>
      <x:c r="J11" s="90" t="str">
        <x:v>API expense sign is reversed for presentation.</x:v>
      </x:c>
    </x:row>
    <x:row r="12" ht="31" customHeight="1">
      <x:c r="A12" s="299" t="str">
        <x:v>Operating profit before financial/associate/other items</x:v>
      </x:c>
      <x:c r="B12" s="300" t="str">
        <x:v>VND bn</x:v>
      </x:c>
      <x:c r="C12" s="301" t="n">
        <x:f>C8-C10-C11</x:f>
        <x:v>692.8701891649998</x:v>
      </x:c>
      <x:c r="D12" s="301" t="n">
        <x:f>D8-D10-D11</x:f>
        <x:v>1051.4468771320003</x:v>
      </x:c>
      <x:c r="E12" s="301" t="n">
        <x:f>E8-E10-E11</x:f>
        <x:v>1116.528689623</x:v>
      </x:c>
      <x:c r="F12" s="301" t="n">
        <x:f>F8-F10-F11</x:f>
        <x:v>1313.4415973289997</x:v>
      </x:c>
      <x:c r="G12" s="301" t="n">
        <x:f>G8-G10-G11</x:f>
        <x:v>1646.9624783470003</x:v>
      </x:c>
      <x:c r="H12" s="300" t="str">
        <x:v>Model formula</x:v>
      </x:c>
      <x:c r="I12" s="300" t="str">
        <x:v>Model output</x:v>
      </x:c>
      <x:c r="J12" s="300" t="str">
        <x:v>Gross profit less selling and G&amp;A expenses.</x:v>
      </x:c>
    </x:row>
    <x:row r="13" ht="31" customHeight="1">
      <x:c r="A13" s="302" t="str">
        <x:v>Operating margin before financial/associate/other items</x:v>
      </x:c>
      <x:c r="B13" s="303" t="str">
        <x:v>%</x:v>
      </x:c>
      <x:c r="C13" s="304" t="n">
        <x:f>C12/C6</x:f>
        <x:v>0.2160971569748864</x:v>
      </x:c>
      <x:c r="D13" s="304" t="n">
        <x:f>D12/D6</x:f>
        <x:v>0.2697232350539797</x:v>
      </x:c>
      <x:c r="E13" s="304" t="n">
        <x:f>E12/E6</x:f>
        <x:v>0.2903221839788723</x:v>
      </x:c>
      <x:c r="F13" s="304" t="n">
        <x:f>F12/F6</x:f>
        <x:v>0.27182012758117896</x:v>
      </x:c>
      <x:c r="G13" s="304" t="n">
        <x:f>G12/G6</x:f>
        <x:v>0.27652039677743034</x:v>
      </x:c>
      <x:c r="H13" s="303" t="str">
        <x:v>Model formula</x:v>
      </x:c>
      <x:c r="I13" s="303" t="str">
        <x:v>Model output</x:v>
      </x:c>
      <x:c r="J13" s="303" t="str">
        <x:v>Operating profit divided by net revenue.</x:v>
      </x:c>
    </x:row>
    <x:row r="15" ht="21" customHeight="1">
      <x:c r="A15" s="286" t="str">
        <x:v>Reported PBT bridge and core normalization</x:v>
      </x:c>
      <x:c r="B15" s="286" t="str">
        <x:v>Reported PBT bridge and core normalization</x:v>
      </x:c>
      <x:c r="C15" s="286" t="str">
        <x:v>Reported PBT bridge and core normalization</x:v>
      </x:c>
      <x:c r="D15" s="286" t="str">
        <x:v>Reported PBT bridge and core normalization</x:v>
      </x:c>
      <x:c r="E15" s="286" t="str">
        <x:v>Reported PBT bridge and core normalization</x:v>
      </x:c>
      <x:c r="F15" s="286" t="str">
        <x:v>Reported PBT bridge and core normalization</x:v>
      </x:c>
      <x:c r="G15" s="286" t="str">
        <x:v>Reported PBT bridge and core normalization</x:v>
      </x:c>
      <x:c r="H15" s="286" t="str">
        <x:v>Reported PBT bridge and core normalization</x:v>
      </x:c>
      <x:c r="I15" s="286" t="str">
        <x:v>Reported PBT bridge and core normalization</x:v>
      </x:c>
      <x:c r="J15" s="286" t="str">
        <x:v>Reported PBT bridge and core normalization</x:v>
      </x:c>
    </x:row>
    <x:row r="16" ht="32" customHeight="1">
      <x:c r="A16" s="278" t="str">
        <x:v>Metric</x:v>
      </x:c>
      <x:c r="B16" s="278" t="str">
        <x:v>Unit</x:v>
      </x:c>
      <x:c r="C16" s="280" t="n">
        <x:v>44561</x:v>
      </x:c>
      <x:c r="D16" s="280" t="n">
        <x:v>44926</x:v>
      </x:c>
      <x:c r="E16" s="280" t="n">
        <x:v>45291</x:v>
      </x:c>
      <x:c r="F16" s="280" t="n">
        <x:v>45657</x:v>
      </x:c>
      <x:c r="G16" s="280" t="n">
        <x:v>46022</x:v>
      </x:c>
      <x:c r="H16" s="278" t="str">
        <x:v>Source ID</x:v>
      </x:c>
      <x:c r="I16" s="278" t="str">
        <x:v>Data class</x:v>
      </x:c>
      <x:c r="J16" s="278" t="str">
        <x:v>Audit note</x:v>
      </x:c>
    </x:row>
    <x:row r="17" ht="31" customHeight="1">
      <x:c r="A17" s="85" t="str">
        <x:v>Financial income</x:v>
      </x:c>
      <x:c r="B17" s="86" t="str">
        <x:v>VND bn</x:v>
      </x:c>
      <x:c r="C17" s="287" t="n">
        <x:f>'Raw GMD VNStock'!E11/'Raw GMD VNStock'!$B$3</x:f>
        <x:v>39.669204911</x:v>
      </x:c>
      <x:c r="D17" s="287" t="n">
        <x:f>'Raw GMD VNStock'!F11/'Raw GMD VNStock'!$B$3</x:f>
        <x:v>23.947233662</x:v>
      </x:c>
      <x:c r="E17" s="287" t="n">
        <x:f>'Raw GMD VNStock'!G11/'Raw GMD VNStock'!$B$3</x:f>
        <x:v>1940.961393455</x:v>
      </x:c>
      <x:c r="F17" s="287" t="n">
        <x:f>'Raw GMD VNStock'!H11/'Raw GMD VNStock'!$B$3</x:f>
        <x:v>426.126464636</x:v>
      </x:c>
      <x:c r="G17" s="287" t="n">
        <x:f>'Raw GMD VNStock'!I11/'Raw GMD VNStock'!$B$3</x:f>
        <x:v>228.485206429</x:v>
      </x:c>
      <x:c r="H17" s="86" t="str">
        <x:v>SRC-API01</x:v>
      </x:c>
      <x:c r="I17" s="86" t="str">
        <x:v>Linked API actual</x:v>
      </x:c>
      <x:c r="J17" s="87" t="str">
        <x:v>Audited financial income.</x:v>
      </x:c>
    </x:row>
    <x:row r="18" ht="31" customHeight="1">
      <x:c r="A18" s="88" t="str">
        <x:v>Financial expense</x:v>
      </x:c>
      <x:c r="B18" s="89" t="str">
        <x:v>VND bn</x:v>
      </x:c>
      <x:c r="C18" s="288" t="n">
        <x:f>-'Raw GMD VNStock'!E12/'Raw GMD VNStock'!$B$3</x:f>
        <x:v>107.985849517</x:v>
      </x:c>
      <x:c r="D18" s="288" t="n">
        <x:f>-'Raw GMD VNStock'!F12/'Raw GMD VNStock'!$B$3</x:f>
        <x:v>165.69083967</x:v>
      </x:c>
      <x:c r="E18" s="288" t="n">
        <x:f>-'Raw GMD VNStock'!G12/'Raw GMD VNStock'!$B$3</x:f>
        <x:v>154.695013336</x:v>
      </x:c>
      <x:c r="F18" s="288" t="n">
        <x:f>-'Raw GMD VNStock'!H12/'Raw GMD VNStock'!$B$3</x:f>
        <x:v>150.292456722</x:v>
      </x:c>
      <x:c r="G18" s="288" t="n">
        <x:f>-'Raw GMD VNStock'!I12/'Raw GMD VNStock'!$B$3</x:f>
        <x:v>118.711817693</x:v>
      </x:c>
      <x:c r="H18" s="89" t="str">
        <x:v>SRC-API01</x:v>
      </x:c>
      <x:c r="I18" s="89" t="str">
        <x:v>Linked API actual</x:v>
      </x:c>
      <x:c r="J18" s="90" t="str">
        <x:v>API expense sign is reversed for bridge subtraction.</x:v>
      </x:c>
    </x:row>
    <x:row r="19" ht="31" customHeight="1">
      <x:c r="A19" s="88" t="str">
        <x:v>Of which: interest expense</x:v>
      </x:c>
      <x:c r="B19" s="89" t="str">
        <x:v>VND bn</x:v>
      </x:c>
      <x:c r="C19" s="288" t="n">
        <x:f>-'Raw GMD VNStock'!E13/'Raw GMD VNStock'!$B$3</x:f>
        <x:v>119.252955378</x:v>
      </x:c>
      <x:c r="D19" s="288" t="n">
        <x:f>-'Raw GMD VNStock'!F13/'Raw GMD VNStock'!$B$3</x:f>
        <x:v>130.756997659</x:v>
      </x:c>
      <x:c r="E19" s="288" t="n">
        <x:f>-'Raw GMD VNStock'!G13/'Raw GMD VNStock'!$B$3</x:f>
        <x:v>134.993138662</x:v>
      </x:c>
      <x:c r="F19" s="288" t="n">
        <x:f>-'Raw GMD VNStock'!H13/'Raw GMD VNStock'!$B$3</x:f>
        <x:v>139.487501839</x:v>
      </x:c>
      <x:c r="G19" s="288" t="n">
        <x:f>-'Raw GMD VNStock'!I13/'Raw GMD VNStock'!$B$3</x:f>
        <x:v>112.580748513</x:v>
      </x:c>
      <x:c r="H19" s="89" t="str">
        <x:v>SRC-API01</x:v>
      </x:c>
      <x:c r="I19" s="89" t="str">
        <x:v>Linked API actual</x:v>
      </x:c>
      <x:c r="J19" s="90" t="str">
        <x:v>Used in the non-standard core EBIT proxy.</x:v>
      </x:c>
    </x:row>
    <x:row r="20" ht="31" customHeight="1">
      <x:c r="A20" s="88" t="str">
        <x:v>Share of profit from associates/JVs</x:v>
      </x:c>
      <x:c r="B20" s="89" t="str">
        <x:v>VND bn</x:v>
      </x:c>
      <x:c r="C20" s="288" t="n">
        <x:f>'Raw GMD VNStock'!E30/'Raw GMD VNStock'!$B$3</x:f>
        <x:v>236.913674177</x:v>
      </x:c>
      <x:c r="D20" s="288" t="n">
        <x:f>'Raw GMD VNStock'!F30/'Raw GMD VNStock'!$B$3</x:f>
        <x:v>399.148325174</x:v>
      </x:c>
      <x:c r="E20" s="288" t="n">
        <x:f>'Raw GMD VNStock'!G30/'Raw GMD VNStock'!$B$3</x:f>
        <x:v>274.234816173</x:v>
      </x:c>
      <x:c r="F20" s="288" t="n">
        <x:f>'Raw GMD VNStock'!H30/'Raw GMD VNStock'!$B$3</x:f>
        <x:v>829.308422992</x:v>
      </x:c>
      <x:c r="G20" s="288" t="n">
        <x:f>'Raw GMD VNStock'!I30/'Raw GMD VNStock'!$B$3</x:f>
        <x:v>1157.659377947</x:v>
      </x:c>
      <x:c r="H20" s="89" t="str">
        <x:v>SRC-API01</x:v>
      </x:c>
      <x:c r="I20" s="89" t="str">
        <x:v>Linked API actual</x:v>
      </x:c>
      <x:c r="J20" s="90" t="str">
        <x:v>Includes Gemalink, SCS, CJ-linked and other associates.</x:v>
      </x:c>
    </x:row>
    <x:row r="21" ht="31" customHeight="1">
      <x:c r="A21" s="88" t="str">
        <x:v>Other profit/(loss)</x:v>
      </x:c>
      <x:c r="B21" s="89" t="str">
        <x:v>VND bn</x:v>
      </x:c>
      <x:c r="C21" s="288" t="n">
        <x:f>'Raw GMD VNStock'!E19/'Raw GMD VNStock'!$B$3</x:f>
        <x:v>-55.25506372</x:v>
      </x:c>
      <x:c r="D21" s="288" t="n">
        <x:f>'Raw GMD VNStock'!F19/'Raw GMD VNStock'!$B$3</x:f>
        <x:v>-0.373646493</x:v>
      </x:c>
      <x:c r="E21" s="288" t="n">
        <x:f>'Raw GMD VNStock'!G19/'Raw GMD VNStock'!$B$3</x:f>
        <x:v>-29.542672972</x:v>
      </x:c>
      <x:c r="F21" s="288" t="n">
        <x:f>'Raw GMD VNStock'!H19/'Raw GMD VNStock'!$B$3</x:f>
        <x:v>-319.993718619</x:v>
      </x:c>
      <x:c r="G21" s="288" t="n">
        <x:f>'Raw GMD VNStock'!I19/'Raw GMD VNStock'!$B$3</x:f>
        <x:v>-393.56809844</x:v>
      </x:c>
      <x:c r="H21" s="89" t="str">
        <x:v>SRC-API01</x:v>
      </x:c>
      <x:c r="I21" s="89" t="str">
        <x:v>Linked API actual</x:v>
      </x:c>
      <x:c r="J21" s="90" t="str">
        <x:v>Net other income and expenses; negative values are losses.</x:v>
      </x:c>
    </x:row>
    <x:row r="22" ht="31" customHeight="1">
      <x:c r="A22" s="299" t="str">
        <x:v>Calculated reported PBT</x:v>
      </x:c>
      <x:c r="B22" s="300" t="str">
        <x:v>VND bn</x:v>
      </x:c>
      <x:c r="C22" s="301" t="n">
        <x:f>C12+C17-C18+C20+C21</x:f>
        <x:v>806.2121550159998</x:v>
      </x:c>
      <x:c r="D22" s="301" t="n">
        <x:f>D12+D17-D18+D20+D21</x:f>
        <x:v>1308.477949805</x:v>
      </x:c>
      <x:c r="E22" s="301" t="n">
        <x:f>E12+E17-E18+E20+E21</x:f>
        <x:v>3147.4872129429996</x:v>
      </x:c>
      <x:c r="F22" s="301" t="n">
        <x:f>F12+F17-F18+F20+F21</x:f>
        <x:v>2098.590309616</x:v>
      </x:c>
      <x:c r="G22" s="301" t="n">
        <x:f>G12+G17-G18+G20+G21</x:f>
        <x:v>2520.82714659</x:v>
      </x:c>
      <x:c r="H22" s="300" t="str">
        <x:v>Model formula</x:v>
      </x:c>
      <x:c r="I22" s="300" t="str">
        <x:v>Model output</x:v>
      </x:c>
      <x:c r="J22" s="300" t="str">
        <x:v>Operating profit + financial income - financial expense + associates + other profit/loss.</x:v>
      </x:c>
    </x:row>
    <x:row r="23" ht="31" customHeight="1">
      <x:c r="A23" s="294" t="str">
        <x:v>Disclosed reported PBT</x:v>
      </x:c>
      <x:c r="B23" s="295" t="str">
        <x:v>VND bn</x:v>
      </x:c>
      <x:c r="C23" s="296" t="n">
        <x:f>'Raw GMD VNStock'!E21/'Raw GMD VNStock'!$B$3</x:f>
        <x:v>806.212155016</x:v>
      </x:c>
      <x:c r="D23" s="296" t="n">
        <x:f>'Raw GMD VNStock'!F21/'Raw GMD VNStock'!$B$3</x:f>
        <x:v>1308.477949805</x:v>
      </x:c>
      <x:c r="E23" s="296" t="n">
        <x:f>'Raw GMD VNStock'!G21/'Raw GMD VNStock'!$B$3</x:f>
        <x:v>3147.487212943</x:v>
      </x:c>
      <x:c r="F23" s="296" t="n">
        <x:f>'Raw GMD VNStock'!H21/'Raw GMD VNStock'!$B$3</x:f>
        <x:v>2098.590309616</x:v>
      </x:c>
      <x:c r="G23" s="296" t="n">
        <x:f>'Raw GMD VNStock'!I21/'Raw GMD VNStock'!$B$3</x:f>
        <x:v>2520.82714659</x:v>
      </x:c>
      <x:c r="H23" s="295" t="str">
        <x:v>SRC-API01</x:v>
      </x:c>
      <x:c r="I23" s="295" t="str">
        <x:v>Linked API actual</x:v>
      </x:c>
      <x:c r="J23" s="295" t="str">
        <x:v>Audited net accounting PBT.</x:v>
      </x:c>
    </x:row>
    <x:row r="24" ht="31" customHeight="1">
      <x:c r="A24" s="294" t="str">
        <x:v>PBT bridge check</x:v>
      </x:c>
      <x:c r="B24" s="295" t="str">
        <x:v>VND bn</x:v>
      </x:c>
      <x:c r="C24" s="296" t="n">
        <x:f>C22-C23</x:f>
        <x:v>-2.2737367544323206e-13</x:v>
      </x:c>
      <x:c r="D24" s="296" t="n">
        <x:f>D22-D23</x:f>
        <x:v>0</x:v>
      </x:c>
      <x:c r="E24" s="296" t="n">
        <x:f>E22-E23</x:f>
        <x:v>-4.547473508864641e-13</x:v>
      </x:c>
      <x:c r="F24" s="296" t="n">
        <x:f>F22-F23</x:f>
        <x:v>0</x:v>
      </x:c>
      <x:c r="G24" s="296" t="n">
        <x:f>G22-G23</x:f>
        <x:v>0</x:v>
      </x:c>
      <x:c r="H24" s="295" t="str">
        <x:v>Model formula</x:v>
      </x:c>
      <x:c r="I24" s="295" t="str">
        <x:v>Check</x:v>
      </x:c>
      <x:c r="J24" s="295" t="str">
        <x:v>Calculated PBT less disclosed PBT.</x:v>
      </x:c>
    </x:row>
    <x:row r="25" ht="31" customHeight="1">
      <x:c r="A25" s="294" t="str">
        <x:v>Issuer core PBT</x:v>
      </x:c>
      <x:c r="B25" s="295" t="str">
        <x:v>VND bn</x:v>
      </x:c>
      <x:c r="C25" s="296" t="n">
        <x:f>'Raw GMD Disclosures'!D5</x:f>
        <x:v>806.212</x:v>
      </x:c>
      <x:c r="D25" s="296" t="n">
        <x:f>'Raw GMD Disclosures'!E5</x:f>
        <x:v>1308.478</x:v>
      </x:c>
      <x:c r="E25" s="296" t="n">
        <x:f>'Raw GMD Disclosures'!F5</x:f>
        <x:v>1307</x:v>
      </x:c>
      <x:c r="F25" s="296" t="n">
        <x:f>'Raw GMD Disclosures'!G5</x:f>
        <x:v>1781</x:v>
      </x:c>
      <x:c r="G25" s="296" t="n">
        <x:f>'Raw GMD Disclosures'!H5</x:f>
        <x:v>2520.827</x:v>
      </x:c>
      <x:c r="H25" s="295" t="str">
        <x:v>SRC-G01 / SRC-G10</x:v>
      </x:c>
      <x:c r="I25" s="295" t="str">
        <x:v>Linked issuer normalized actual</x:v>
      </x:c>
      <x:c r="J25" s="295" t="str">
        <x:v>2023–2024 exclude capital-transfer gains; other years equal reported PBT.</x:v>
      </x:c>
    </x:row>
    <x:row r="26" ht="31" customHeight="1">
      <x:c r="A26" s="294" t="str">
        <x:v>Non-core / capital-transfer adjustment</x:v>
      </x:c>
      <x:c r="B26" s="295" t="str">
        <x:v>VND bn</x:v>
      </x:c>
      <x:c r="C26" s="296" t="n">
        <x:f>C23-C25</x:f>
        <x:v>0.0001550160000078904</x:v>
      </x:c>
      <x:c r="D26" s="296" t="n">
        <x:f>D23-D25</x:f>
        <x:v>-0.00005019500008529576</x:v>
      </x:c>
      <x:c r="E26" s="296" t="n">
        <x:f>E23-E25</x:f>
        <x:v>1840.487212943</x:v>
      </x:c>
      <x:c r="F26" s="296" t="n">
        <x:f>F23-F25</x:f>
        <x:v>317.590309616</x:v>
      </x:c>
      <x:c r="G26" s="296" t="n">
        <x:f>G23-G25</x:f>
        <x:v>0.00014658999998573563</x:v>
      </x:c>
      <x:c r="H26" s="295" t="str">
        <x:v>Model formula</x:v>
      </x:c>
      <x:c r="I26" s="295" t="str">
        <x:v>Model output</x:v>
      </x:c>
      <x:c r="J26" s="295" t="str">
        <x:v>Reported PBT less issuer core PBT.</x:v>
      </x:c>
    </x:row>
    <x:row r="27" ht="31" customHeight="1">
      <x:c r="A27" s="302" t="str">
        <x:v>Core PBT margin</x:v>
      </x:c>
      <x:c r="B27" s="303" t="str">
        <x:v>%</x:v>
      </x:c>
      <x:c r="C27" s="304" t="n">
        <x:f>C25/C6</x:f>
        <x:v>0.25144698652570896</x:v>
      </x:c>
      <x:c r="D27" s="304" t="n">
        <x:f>D25/D6</x:f>
        <x:v>0.3356583454978052</x:v>
      </x:c>
      <x:c r="E27" s="304" t="n">
        <x:f>E25/E6</x:f>
        <x:v>0.3398489425188968</x:v>
      </x:c>
      <x:c r="F27" s="304" t="n">
        <x:f>F25/F6</x:f>
        <x:v>0.36858254543373975</x:v>
      </x:c>
      <x:c r="G27" s="304" t="n">
        <x:f>G25/G6</x:f>
        <x:v>0.42323980747082635</x:v>
      </x:c>
      <x:c r="H27" s="303" t="str">
        <x:v>Model formula</x:v>
      </x:c>
      <x:c r="I27" s="303" t="str">
        <x:v>Model output</x:v>
      </x:c>
      <x:c r="J27" s="303" t="str">
        <x:v>Issuer core PBT divided by consolidated net revenue.</x:v>
      </x:c>
    </x:row>
    <x:row r="29" ht="21" customHeight="1">
      <x:c r="A29" s="286" t="str">
        <x:v>Core EBITDA proxy — explicit and non-standard</x:v>
      </x:c>
      <x:c r="B29" s="286" t="str">
        <x:v>Core EBITDA proxy — explicit and non-standard</x:v>
      </x:c>
      <x:c r="C29" s="286" t="str">
        <x:v>Core EBITDA proxy — explicit and non-standard</x:v>
      </x:c>
      <x:c r="D29" s="286" t="str">
        <x:v>Core EBITDA proxy — explicit and non-standard</x:v>
      </x:c>
      <x:c r="E29" s="286" t="str">
        <x:v>Core EBITDA proxy — explicit and non-standard</x:v>
      </x:c>
      <x:c r="F29" s="286" t="str">
        <x:v>Core EBITDA proxy — explicit and non-standard</x:v>
      </x:c>
      <x:c r="G29" s="286" t="str">
        <x:v>Core EBITDA proxy — explicit and non-standard</x:v>
      </x:c>
      <x:c r="H29" s="286" t="str">
        <x:v>Core EBITDA proxy — explicit and non-standard</x:v>
      </x:c>
      <x:c r="I29" s="286" t="str">
        <x:v>Core EBITDA proxy — explicit and non-standard</x:v>
      </x:c>
      <x:c r="J29" s="286" t="str">
        <x:v>Core EBITDA proxy — explicit and non-standard</x:v>
      </x:c>
    </x:row>
    <x:row r="30" ht="32" customHeight="1">
      <x:c r="A30" s="278" t="str">
        <x:v>Metric</x:v>
      </x:c>
      <x:c r="B30" s="278" t="str">
        <x:v>Unit</x:v>
      </x:c>
      <x:c r="C30" s="280" t="n">
        <x:v>44561</x:v>
      </x:c>
      <x:c r="D30" s="280" t="n">
        <x:v>44926</x:v>
      </x:c>
      <x:c r="E30" s="280" t="n">
        <x:v>45291</x:v>
      </x:c>
      <x:c r="F30" s="280" t="n">
        <x:v>45657</x:v>
      </x:c>
      <x:c r="G30" s="280" t="n">
        <x:v>46022</x:v>
      </x:c>
      <x:c r="H30" s="278" t="str">
        <x:v>Source ID</x:v>
      </x:c>
      <x:c r="I30" s="278" t="str">
        <x:v>Data class</x:v>
      </x:c>
      <x:c r="J30" s="278" t="str">
        <x:v>Audit note</x:v>
      </x:c>
    </x:row>
    <x:row r="31" ht="31" customHeight="1">
      <x:c r="A31" s="85" t="str">
        <x:v>D&amp;A from cash flow statement</x:v>
      </x:c>
      <x:c r="B31" s="86" t="str">
        <x:v>VND bn</x:v>
      </x:c>
      <x:c r="C31" s="287" t="n">
        <x:f>'Raw GMD VNStock'!E154/'Raw GMD VNStock'!$B$3</x:f>
        <x:v>379.546125928</x:v>
      </x:c>
      <x:c r="D31" s="287" t="n">
        <x:f>'Raw GMD VNStock'!F154/'Raw GMD VNStock'!$B$3</x:f>
        <x:v>393.185025852</x:v>
      </x:c>
      <x:c r="E31" s="287" t="n">
        <x:f>'Raw GMD VNStock'!G154/'Raw GMD VNStock'!$B$3</x:f>
        <x:v>396.417877879</x:v>
      </x:c>
      <x:c r="F31" s="287" t="n">
        <x:f>'Raw GMD VNStock'!H154/'Raw GMD VNStock'!$B$3</x:f>
        <x:v>405.544194113</x:v>
      </x:c>
      <x:c r="G31" s="287" t="n">
        <x:f>'Raw GMD VNStock'!I154/'Raw GMD VNStock'!$B$3</x:f>
        <x:v>415.219036556</x:v>
      </x:c>
      <x:c r="H31" s="86" t="str">
        <x:v>SRC-API01</x:v>
      </x:c>
      <x:c r="I31" s="86" t="str">
        <x:v>Linked API actual</x:v>
      </x:c>
      <x:c r="J31" s="87" t="str">
        <x:v>Depreciation and amortization from the cash-flow statement.</x:v>
      </x:c>
    </x:row>
    <x:row r="32" ht="31" customHeight="1">
      <x:c r="A32" s="299" t="str">
        <x:v>Core EBIT proxy</x:v>
      </x:c>
      <x:c r="B32" s="300" t="str">
        <x:v>VND bn</x:v>
      </x:c>
      <x:c r="C32" s="301" t="n">
        <x:f>C25+C19</x:f>
        <x:v>925.464955378</x:v>
      </x:c>
      <x:c r="D32" s="301" t="n">
        <x:f>D25+D19</x:f>
        <x:v>1439.234997659</x:v>
      </x:c>
      <x:c r="E32" s="301" t="n">
        <x:f>E25+E19</x:f>
        <x:v>1441.993138662</x:v>
      </x:c>
      <x:c r="F32" s="301" t="n">
        <x:f>F25+F19</x:f>
        <x:v>1920.487501839</x:v>
      </x:c>
      <x:c r="G32" s="301" t="n">
        <x:f>G25+G19</x:f>
        <x:v>2633.407748513</x:v>
      </x:c>
      <x:c r="H32" s="300" t="str">
        <x:v>Model formula</x:v>
      </x:c>
      <x:c r="I32" s="300" t="str">
        <x:v>Model output</x:v>
      </x:c>
      <x:c r="J32" s="300" t="str">
        <x:v>Issuer core PBT plus interest expense.</x:v>
      </x:c>
    </x:row>
    <x:row r="33" ht="31" customHeight="1">
      <x:c r="A33" s="294" t="str">
        <x:v>Core EBITDA proxy</x:v>
      </x:c>
      <x:c r="B33" s="295" t="str">
        <x:v>VND bn</x:v>
      </x:c>
      <x:c r="C33" s="296" t="n">
        <x:f>C32+C31</x:f>
        <x:v>1305.011081306</x:v>
      </x:c>
      <x:c r="D33" s="296" t="n">
        <x:f>D32+D31</x:f>
        <x:v>1832.4200235110002</x:v>
      </x:c>
      <x:c r="E33" s="296" t="n">
        <x:f>E32+E31</x:f>
        <x:v>1838.4110165410002</x:v>
      </x:c>
      <x:c r="F33" s="296" t="n">
        <x:f>F32+F31</x:f>
        <x:v>2326.031695952</x:v>
      </x:c>
      <x:c r="G33" s="296" t="n">
        <x:f>G32+G31</x:f>
        <x:v>3048.626785069</x:v>
      </x:c>
      <x:c r="H33" s="295" t="str">
        <x:v>Model formula</x:v>
      </x:c>
      <x:c r="I33" s="295" t="str">
        <x:v>Model output</x:v>
      </x:c>
      <x:c r="J33" s="295" t="str">
        <x:v>Core EBIT proxy plus cash-flow D&amp;A; associate earnings remain embedded.</x:v>
      </x:c>
    </x:row>
    <x:row r="34" ht="31" customHeight="1">
      <x:c r="A34" s="302" t="str">
        <x:v>Core EBITDA proxy margin</x:v>
      </x:c>
      <x:c r="B34" s="303" t="str">
        <x:v>%</x:v>
      </x:c>
      <x:c r="C34" s="304" t="n">
        <x:f>C33/C6</x:f>
        <x:v>0.4070159012481217</x:v>
      </x:c>
      <x:c r="D34" s="304" t="n">
        <x:f>D33/D6</x:f>
        <x:v>0.47006298413022735</x:v>
      </x:c>
      <x:c r="E34" s="304" t="n">
        <x:f>E33/E6</x:f>
        <x:v>0.4780275745115142</x:v>
      </x:c>
      <x:c r="F34" s="304" t="n">
        <x:f>F33/F6</x:f>
        <x:v>0.48137826123163774</x:v>
      </x:c>
      <x:c r="G34" s="304" t="n">
        <x:f>G33/G6</x:f>
        <x:v>0.5118559161588668</x:v>
      </x:c>
      <x:c r="H34" s="303" t="str">
        <x:v>Model formula</x:v>
      </x:c>
      <x:c r="I34" s="303" t="str">
        <x:v>Model output</x:v>
      </x:c>
      <x:c r="J34" s="303" t="str">
        <x:v>Not a company-reported EBITDA margin.</x:v>
      </x:c>
    </x:row>
    <x:row r="36" ht="21" customHeight="1">
      <x:c r="A36" s="286" t="str">
        <x:v>Tax, PAT and attribution</x:v>
      </x:c>
      <x:c r="B36" s="286" t="str">
        <x:v>Tax, PAT and attribution</x:v>
      </x:c>
      <x:c r="C36" s="286" t="str">
        <x:v>Tax, PAT and attribution</x:v>
      </x:c>
      <x:c r="D36" s="286" t="str">
        <x:v>Tax, PAT and attribution</x:v>
      </x:c>
      <x:c r="E36" s="286" t="str">
        <x:v>Tax, PAT and attribution</x:v>
      </x:c>
      <x:c r="F36" s="286" t="str">
        <x:v>Tax, PAT and attribution</x:v>
      </x:c>
      <x:c r="G36" s="286" t="str">
        <x:v>Tax, PAT and attribution</x:v>
      </x:c>
      <x:c r="H36" s="286" t="str">
        <x:v>Tax, PAT and attribution</x:v>
      </x:c>
      <x:c r="I36" s="286" t="str">
        <x:v>Tax, PAT and attribution</x:v>
      </x:c>
      <x:c r="J36" s="286" t="str">
        <x:v>Tax, PAT and attribution</x:v>
      </x:c>
    </x:row>
    <x:row r="37" ht="32" customHeight="1">
      <x:c r="A37" s="278" t="str">
        <x:v>Metric</x:v>
      </x:c>
      <x:c r="B37" s="278" t="str">
        <x:v>Unit</x:v>
      </x:c>
      <x:c r="C37" s="280" t="n">
        <x:v>44561</x:v>
      </x:c>
      <x:c r="D37" s="280" t="n">
        <x:v>44926</x:v>
      </x:c>
      <x:c r="E37" s="280" t="n">
        <x:v>45291</x:v>
      </x:c>
      <x:c r="F37" s="280" t="n">
        <x:v>45657</x:v>
      </x:c>
      <x:c r="G37" s="280" t="n">
        <x:v>46022</x:v>
      </x:c>
      <x:c r="H37" s="278" t="str">
        <x:v>Source ID</x:v>
      </x:c>
      <x:c r="I37" s="278" t="str">
        <x:v>Data class</x:v>
      </x:c>
      <x:c r="J37" s="278" t="str">
        <x:v>Audit note</x:v>
      </x:c>
    </x:row>
    <x:row r="38" ht="31" customHeight="1">
      <x:c r="A38" s="85" t="str">
        <x:v>Current income tax expense</x:v>
      </x:c>
      <x:c r="B38" s="86" t="str">
        <x:v>VND bn</x:v>
      </x:c>
      <x:c r="C38" s="287" t="n">
        <x:f>-'Raw GMD VNStock'!E22/'Raw GMD VNStock'!$B$3</x:f>
        <x:v>107.478849502</x:v>
      </x:c>
      <x:c r="D38" s="287" t="n">
        <x:f>-'Raw GMD VNStock'!F22/'Raw GMD VNStock'!$B$3</x:f>
        <x:v>165.958294398</x:v>
      </x:c>
      <x:c r="E38" s="287" t="n">
        <x:f>-'Raw GMD VNStock'!G22/'Raw GMD VNStock'!$B$3</x:f>
        <x:v>651.638842548</x:v>
      </x:c>
      <x:c r="F38" s="287" t="n">
        <x:f>-'Raw GMD VNStock'!H22/'Raw GMD VNStock'!$B$3</x:f>
        <x:v>236.733263089</x:v>
      </x:c>
      <x:c r="G38" s="287" t="n">
        <x:f>-'Raw GMD VNStock'!I22/'Raw GMD VNStock'!$B$3</x:f>
        <x:v>329.165841663</x:v>
      </x:c>
      <x:c r="H38" s="86" t="str">
        <x:v>SRC-API01</x:v>
      </x:c>
      <x:c r="I38" s="86" t="str">
        <x:v>Linked API actual</x:v>
      </x:c>
      <x:c r="J38" s="87" t="str">
        <x:v>API expense sign is reversed for presentation.</x:v>
      </x:c>
    </x:row>
    <x:row r="39" ht="31" customHeight="1">
      <x:c r="A39" s="88" t="str">
        <x:v>Deferred income tax benefit/(expense)</x:v>
      </x:c>
      <x:c r="B39" s="89" t="str">
        <x:v>VND bn</x:v>
      </x:c>
      <x:c r="C39" s="288" t="n">
        <x:f>'Raw GMD VNStock'!E23/'Raw GMD VNStock'!$B$3</x:f>
        <x:v>21.828510661</x:v>
      </x:c>
      <x:c r="D39" s="288" t="n">
        <x:f>'Raw GMD VNStock'!F23/'Raw GMD VNStock'!$B$3</x:f>
        <x:v>18.774141617</x:v>
      </x:c>
      <x:c r="E39" s="288" t="n">
        <x:f>'Raw GMD VNStock'!G23/'Raw GMD VNStock'!$B$3</x:f>
        <x:v>38.085876028</x:v>
      </x:c>
      <x:c r="F39" s="288" t="n">
        <x:f>'Raw GMD VNStock'!H23/'Raw GMD VNStock'!$B$3</x:f>
        <x:v>61.726436884</x:v>
      </x:c>
      <x:c r="G39" s="288" t="n">
        <x:f>'Raw GMD VNStock'!I23/'Raw GMD VNStock'!$B$3</x:f>
        <x:v>110.861876425</x:v>
      </x:c>
      <x:c r="H39" s="89" t="str">
        <x:v>SRC-API01</x:v>
      </x:c>
      <x:c r="I39" s="89" t="str">
        <x:v>Linked API actual</x:v>
      </x:c>
      <x:c r="J39" s="90" t="str">
        <x:v>Signed API value; positive is a tax benefit.</x:v>
      </x:c>
    </x:row>
    <x:row r="40" ht="31" customHeight="1">
      <x:c r="A40" s="299" t="str">
        <x:v>Calculated PAT</x:v>
      </x:c>
      <x:c r="B40" s="300" t="str">
        <x:v>VND bn</x:v>
      </x:c>
      <x:c r="C40" s="301" t="n">
        <x:f>C23-C38+C39</x:f>
        <x:v>720.561816175</x:v>
      </x:c>
      <x:c r="D40" s="301" t="n">
        <x:f>D23-D38+D39</x:f>
        <x:v>1161.293797024</x:v>
      </x:c>
      <x:c r="E40" s="301" t="n">
        <x:f>E23-E38+E39</x:f>
        <x:v>2533.934246423</x:v>
      </x:c>
      <x:c r="F40" s="301" t="n">
        <x:f>F23-F38+F39</x:f>
        <x:v>1923.5834834109999</x:v>
      </x:c>
      <x:c r="G40" s="301" t="n">
        <x:f>G23-G38+G39</x:f>
        <x:v>2302.5231813520004</x:v>
      </x:c>
      <x:c r="H40" s="300" t="str">
        <x:v>Model formula</x:v>
      </x:c>
      <x:c r="I40" s="300" t="str">
        <x:v>Model output</x:v>
      </x:c>
      <x:c r="J40" s="300" t="str">
        <x:v>Reported PBT less current tax plus deferred tax benefit.</x:v>
      </x:c>
    </x:row>
    <x:row r="41" ht="31" customHeight="1">
      <x:c r="A41" s="294" t="str">
        <x:v>Disclosed PAT</x:v>
      </x:c>
      <x:c r="B41" s="295" t="str">
        <x:v>VND bn</x:v>
      </x:c>
      <x:c r="C41" s="296" t="n">
        <x:f>'Raw GMD VNStock'!E25/'Raw GMD VNStock'!$B$3</x:f>
        <x:v>720.561816175</x:v>
      </x:c>
      <x:c r="D41" s="296" t="n">
        <x:f>'Raw GMD VNStock'!F25/'Raw GMD VNStock'!$B$3</x:f>
        <x:v>1161.293797024</x:v>
      </x:c>
      <x:c r="E41" s="296" t="n">
        <x:f>'Raw GMD VNStock'!G25/'Raw GMD VNStock'!$B$3</x:f>
        <x:v>2533.934246423</x:v>
      </x:c>
      <x:c r="F41" s="296" t="n">
        <x:f>'Raw GMD VNStock'!H25/'Raw GMD VNStock'!$B$3</x:f>
        <x:v>1923.583483411</x:v>
      </x:c>
      <x:c r="G41" s="296" t="n">
        <x:f>'Raw GMD VNStock'!I25/'Raw GMD VNStock'!$B$3</x:f>
        <x:v>2302.523181352</x:v>
      </x:c>
      <x:c r="H41" s="295" t="str">
        <x:v>SRC-API01</x:v>
      </x:c>
      <x:c r="I41" s="295" t="str">
        <x:v>Linked API actual</x:v>
      </x:c>
      <x:c r="J41" s="295" t="str">
        <x:v>Audited consolidated PAT.</x:v>
      </x:c>
    </x:row>
    <x:row r="42" ht="31" customHeight="1">
      <x:c r="A42" s="294" t="str">
        <x:v>PAT bridge check</x:v>
      </x:c>
      <x:c r="B42" s="295" t="str">
        <x:v>VND bn</x:v>
      </x:c>
      <x:c r="C42" s="296" t="n">
        <x:f>C40-C41</x:f>
        <x:v>0</x:v>
      </x:c>
      <x:c r="D42" s="296" t="n">
        <x:f>D40-D41</x:f>
        <x:v>0</x:v>
      </x:c>
      <x:c r="E42" s="296" t="n">
        <x:f>E40-E41</x:f>
        <x:v>0</x:v>
      </x:c>
      <x:c r="F42" s="296" t="n">
        <x:f>F40-F41</x:f>
        <x:v>-2.2737367544323206e-13</x:v>
      </x:c>
      <x:c r="G42" s="296" t="n">
        <x:f>G40-G41</x:f>
        <x:v>4.547473508864641e-13</x:v>
      </x:c>
      <x:c r="H42" s="295" t="str">
        <x:v>Model formula</x:v>
      </x:c>
      <x:c r="I42" s="295" t="str">
        <x:v>Check</x:v>
      </x:c>
      <x:c r="J42" s="295" t="str">
        <x:v>Calculated PAT less disclosed PAT.</x:v>
      </x:c>
    </x:row>
    <x:row r="43" ht="31" customHeight="1">
      <x:c r="A43" s="294" t="str">
        <x:v>Parent PAT</x:v>
      </x:c>
      <x:c r="B43" s="295" t="str">
        <x:v>VND bn</x:v>
      </x:c>
      <x:c r="C43" s="296" t="n">
        <x:f>'Raw GMD VNStock'!E27/'Raw GMD VNStock'!$B$3</x:f>
        <x:v>612.182073397</x:v>
      </x:c>
      <x:c r="D43" s="296" t="n">
        <x:f>'Raw GMD VNStock'!F27/'Raw GMD VNStock'!$B$3</x:f>
        <x:v>993.915564733</x:v>
      </x:c>
      <x:c r="E43" s="296" t="n">
        <x:f>'Raw GMD VNStock'!G27/'Raw GMD VNStock'!$B$3</x:f>
        <x:v>2250.57733992</x:v>
      </x:c>
      <x:c r="F43" s="296" t="n">
        <x:f>'Raw GMD VNStock'!H27/'Raw GMD VNStock'!$B$3</x:f>
        <x:v>1455.479595602</x:v>
      </x:c>
      <x:c r="G43" s="296" t="n">
        <x:f>'Raw GMD VNStock'!I27/'Raw GMD VNStock'!$B$3</x:f>
        <x:v>1755.629825296</x:v>
      </x:c>
      <x:c r="H43" s="295" t="str">
        <x:v>SRC-API01</x:v>
      </x:c>
      <x:c r="I43" s="295" t="str">
        <x:v>Linked API actual</x:v>
      </x:c>
      <x:c r="J43" s="295" t="str">
        <x:v>PAT attributable to owners of the parent.</x:v>
      </x:c>
    </x:row>
    <x:row r="44" ht="31" customHeight="1">
      <x:c r="A44" s="294" t="str">
        <x:v>NCI PAT</x:v>
      </x:c>
      <x:c r="B44" s="295" t="str">
        <x:v>VND bn</x:v>
      </x:c>
      <x:c r="C44" s="296" t="n">
        <x:f>'Raw GMD VNStock'!E26/'Raw GMD VNStock'!$B$3</x:f>
        <x:v>108.379742778</x:v>
      </x:c>
      <x:c r="D44" s="296" t="n">
        <x:f>'Raw GMD VNStock'!F26/'Raw GMD VNStock'!$B$3</x:f>
        <x:v>167.378232291</x:v>
      </x:c>
      <x:c r="E44" s="296" t="n">
        <x:f>'Raw GMD VNStock'!G26/'Raw GMD VNStock'!$B$3</x:f>
        <x:v>283.356906503</x:v>
      </x:c>
      <x:c r="F44" s="296" t="n">
        <x:f>'Raw GMD VNStock'!H26/'Raw GMD VNStock'!$B$3</x:f>
        <x:v>468.103887809</x:v>
      </x:c>
      <x:c r="G44" s="296" t="n">
        <x:f>'Raw GMD VNStock'!I26/'Raw GMD VNStock'!$B$3</x:f>
        <x:v>546.893356056</x:v>
      </x:c>
      <x:c r="H44" s="295" t="str">
        <x:v>SRC-API01</x:v>
      </x:c>
      <x:c r="I44" s="295" t="str">
        <x:v>Linked API actual</x:v>
      </x:c>
      <x:c r="J44" s="295" t="str">
        <x:v>Profit attributable to non-controlling interests.</x:v>
      </x:c>
    </x:row>
    <x:row r="45" ht="31" customHeight="1">
      <x:c r="A45" s="302" t="str">
        <x:v>PAT attribution check</x:v>
      </x:c>
      <x:c r="B45" s="303" t="str">
        <x:v>VND bn</x:v>
      </x:c>
      <x:c r="C45" s="316" t="n">
        <x:f>C43+C44-C41</x:f>
        <x:v>0</x:v>
      </x:c>
      <x:c r="D45" s="316" t="n">
        <x:f>D43+D44-D41</x:f>
        <x:v>0</x:v>
      </x:c>
      <x:c r="E45" s="316" t="n">
        <x:f>E43+E44-E41</x:f>
        <x:v>4.547473508864641e-13</x:v>
      </x:c>
      <x:c r="F45" s="316" t="n">
        <x:f>F43+F44-F41</x:f>
        <x:v>0</x:v>
      </x:c>
      <x:c r="G45" s="316" t="n">
        <x:f>G43+G44-G41</x:f>
        <x:v>0</x:v>
      </x:c>
      <x:c r="H45" s="303" t="str">
        <x:v>Model formula</x:v>
      </x:c>
      <x:c r="I45" s="303" t="str">
        <x:v>Check</x:v>
      </x:c>
      <x:c r="J45" s="303" t="str">
        <x:v>Parent PAT + NCI PAT - consolidated PAT.</x:v>
      </x:c>
    </x:row>
    <x:row r="47" ht="21" customHeight="1">
      <x:c r="A47" s="286" t="str">
        <x:v>External revenue by business segment</x:v>
      </x:c>
      <x:c r="B47" s="286" t="str">
        <x:v>External revenue by business segment</x:v>
      </x:c>
      <x:c r="C47" s="286" t="str">
        <x:v>External revenue by business segment</x:v>
      </x:c>
      <x:c r="D47" s="286" t="str">
        <x:v>External revenue by business segment</x:v>
      </x:c>
      <x:c r="E47" s="286" t="str">
        <x:v>External revenue by business segment</x:v>
      </x:c>
      <x:c r="F47" s="286" t="str">
        <x:v>External revenue by business segment</x:v>
      </x:c>
      <x:c r="G47" s="286" t="str">
        <x:v>External revenue by business segment</x:v>
      </x:c>
      <x:c r="H47" s="286" t="str">
        <x:v>External revenue by business segment</x:v>
      </x:c>
      <x:c r="I47" s="286" t="str">
        <x:v>External revenue by business segment</x:v>
      </x:c>
      <x:c r="J47" s="286" t="str">
        <x:v>External revenue by business segment</x:v>
      </x:c>
    </x:row>
    <x:row r="48" ht="32" customHeight="1">
      <x:c r="A48" s="278" t="str">
        <x:v>Metric</x:v>
      </x:c>
      <x:c r="B48" s="278" t="str">
        <x:v>Unit</x:v>
      </x:c>
      <x:c r="C48" s="280" t="n">
        <x:v>44561</x:v>
      </x:c>
      <x:c r="D48" s="280" t="n">
        <x:v>44926</x:v>
      </x:c>
      <x:c r="E48" s="280" t="n">
        <x:v>45291</x:v>
      </x:c>
      <x:c r="F48" s="280" t="n">
        <x:v>45657</x:v>
      </x:c>
      <x:c r="G48" s="280" t="n">
        <x:v>46022</x:v>
      </x:c>
      <x:c r="H48" s="278" t="str">
        <x:v>Source ID</x:v>
      </x:c>
      <x:c r="I48" s="278" t="str">
        <x:v>Data class</x:v>
      </x:c>
      <x:c r="J48" s="278" t="str">
        <x:v>Audit note</x:v>
      </x:c>
    </x:row>
    <x:row r="49" ht="31" customHeight="1">
      <x:c r="A49" s="85" t="str">
        <x:v>Port external revenue</x:v>
      </x:c>
      <x:c r="B49" s="86" t="str">
        <x:v>VND bn</x:v>
      </x:c>
      <x:c r="C49" s="287" t="n">
        <x:f>'Raw GMD Disclosures'!D7</x:f>
        <x:v>2762.788218</x:v>
      </x:c>
      <x:c r="D49" s="287" t="n">
        <x:f>'Raw GMD Disclosures'!E7</x:f>
        <x:v>3086.178236</x:v>
      </x:c>
      <x:c r="E49" s="287" t="n">
        <x:f>'Raw GMD Disclosures'!F7</x:f>
        <x:v>2908.540764</x:v>
      </x:c>
      <x:c r="F49" s="287" t="n">
        <x:f>'Raw GMD Disclosures'!G7</x:f>
        <x:v>4190.786438</x:v>
      </x:c>
      <x:c r="G49" s="287" t="n">
        <x:f>'Raw GMD Disclosures'!H7</x:f>
        <x:v>5254.22761</x:v>
      </x:c>
      <x:c r="H49" s="86" t="str">
        <x:v>SRC-G10 / SRC-G08 / SRC-G01</x:v>
      </x:c>
      <x:c r="I49" s="86" t="str">
        <x:v>Linked issuer actual</x:v>
      </x:c>
      <x:c r="J49" s="87" t="str">
        <x:v>Audited external segment revenue.</x:v>
      </x:c>
    </x:row>
    <x:row r="50" ht="31" customHeight="1">
      <x:c r="A50" s="88" t="str">
        <x:v>Logistics external revenue</x:v>
      </x:c>
      <x:c r="B50" s="89" t="str">
        <x:v>VND bn</x:v>
      </x:c>
      <x:c r="C50" s="288" t="n">
        <x:f>'Raw GMD Disclosures'!D8</x:f>
        <x:v>429.904936</x:v>
      </x:c>
      <x:c r="D50" s="288" t="n">
        <x:f>'Raw GMD Disclosures'!E8</x:f>
        <x:v>810.822008</x:v>
      </x:c>
      <x:c r="E50" s="288" t="n">
        <x:f>'Raw GMD Disclosures'!F8</x:f>
        <x:v>935.815647</x:v>
      </x:c>
      <x:c r="F50" s="288" t="n">
        <x:f>'Raw GMD Disclosures'!G8</x:f>
        <x:v>630.775427</x:v>
      </x:c>
      <x:c r="G50" s="288" t="n">
        <x:f>'Raw GMD Disclosures'!H8</x:f>
        <x:v>693.74057</x:v>
      </x:c>
      <x:c r="H50" s="89" t="str">
        <x:v>SRC-G10 / SRC-G08 / SRC-G01</x:v>
      </x:c>
      <x:c r="I50" s="89" t="str">
        <x:v>Linked issuer actual</x:v>
      </x:c>
      <x:c r="J50" s="90" t="str">
        <x:v>Audited external segment revenue.</x:v>
      </x:c>
    </x:row>
    <x:row r="51" ht="31" customHeight="1">
      <x:c r="A51" s="88" t="str">
        <x:v>Other external revenue</x:v>
      </x:c>
      <x:c r="B51" s="89" t="str">
        <x:v>VND bn</x:v>
      </x:c>
      <x:c r="C51" s="288" t="n">
        <x:f>'Raw GMD Disclosures'!D9</x:f>
        <x:v>13.597011</x:v>
      </x:c>
      <x:c r="D51" s="288" t="n">
        <x:f>'Raw GMD Disclosures'!E9</x:f>
        <x:v>1.243365</x:v>
      </x:c>
      <x:c r="E51" s="288" t="n">
        <x:f>'Raw GMD Disclosures'!F9</x:f>
        <x:v>1.469885</x:v>
      </x:c>
      <x:c r="F51" s="288" t="n">
        <x:f>'Raw GMD Disclosures'!G9</x:f>
        <x:v>10.462934</x:v>
      </x:c>
      <x:c r="G51" s="288" t="n">
        <x:f>'Raw GMD Disclosures'!H9</x:f>
        <x:v>8.057116</x:v>
      </x:c>
      <x:c r="H51" s="89" t="str">
        <x:v>SRC-G10 / SRC-G08 / SRC-G01</x:v>
      </x:c>
      <x:c r="I51" s="89" t="str">
        <x:v>Linked issuer actual</x:v>
      </x:c>
      <x:c r="J51" s="90" t="str">
        <x:v>Audited external segment revenue.</x:v>
      </x:c>
    </x:row>
    <x:row r="52" ht="31" customHeight="1">
      <x:c r="A52" s="299" t="str">
        <x:v>Calculated consolidated revenue</x:v>
      </x:c>
      <x:c r="B52" s="300" t="str">
        <x:v>VND bn</x:v>
      </x:c>
      <x:c r="C52" s="301" t="n">
        <x:f>SUM(C49:C51)</x:f>
        <x:v>3206.290165</x:v>
      </x:c>
      <x:c r="D52" s="301" t="n">
        <x:f>SUM(D49:D51)</x:f>
        <x:v>3898.243609</x:v>
      </x:c>
      <x:c r="E52" s="301" t="n">
        <x:f>SUM(E49:E51)</x:f>
        <x:v>3845.8262959999997</x:v>
      </x:c>
      <x:c r="F52" s="301" t="n">
        <x:f>SUM(F49:F51)</x:f>
        <x:v>4832.024799</x:v>
      </x:c>
      <x:c r="G52" s="301" t="n">
        <x:f>SUM(G49:G51)</x:f>
        <x:v>5956.025296</x:v>
      </x:c>
      <x:c r="H52" s="300" t="str">
        <x:v>Model formula</x:v>
      </x:c>
      <x:c r="I52" s="300" t="str">
        <x:v>Model output</x:v>
      </x:c>
      <x:c r="J52" s="300" t="str">
        <x:v>Sum of external segment revenue.</x:v>
      </x:c>
    </x:row>
    <x:row r="53" ht="31" customHeight="1">
      <x:c r="A53" s="294" t="str">
        <x:v>Linked consolidated revenue</x:v>
      </x:c>
      <x:c r="B53" s="295" t="str">
        <x:v>VND bn</x:v>
      </x:c>
      <x:c r="C53" s="296" t="n">
        <x:f>C6</x:f>
        <x:v>3206.290165333</x:v>
      </x:c>
      <x:c r="D53" s="296" t="n">
        <x:f>D6</x:f>
        <x:v>3898.24360857</x:v>
      </x:c>
      <x:c r="E53" s="296" t="n">
        <x:f>E6</x:f>
        <x:v>3845.826296568</x:v>
      </x:c>
      <x:c r="F53" s="296" t="n">
        <x:f>F6</x:f>
        <x:v>4832.024798961</x:v>
      </x:c>
      <x:c r="G53" s="296" t="n">
        <x:f>G6</x:f>
        <x:v>5956.025297015</x:v>
      </x:c>
      <x:c r="H53" s="295" t="str">
        <x:v>Linked formula</x:v>
      </x:c>
      <x:c r="I53" s="295" t="str">
        <x:v>Linked API actual</x:v>
      </x:c>
      <x:c r="J53" s="295" t="str">
        <x:v>Links to the VNStock net-sales row above.</x:v>
      </x:c>
    </x:row>
    <x:row r="54" ht="31" customHeight="1">
      <x:c r="A54" s="302" t="str">
        <x:v>Segment revenue tie check</x:v>
      </x:c>
      <x:c r="B54" s="303" t="str">
        <x:v>VND bn</x:v>
      </x:c>
      <x:c r="C54" s="316" t="n">
        <x:f>C52-C53</x:f>
        <x:v>-3.330001163703855e-7</x:v>
      </x:c>
      <x:c r="D54" s="316" t="n">
        <x:f>D52-D53</x:f>
        <x:v>4.3000000005122274e-7</x:v>
      </x:c>
      <x:c r="E54" s="316" t="n">
        <x:f>E52-E53</x:f>
        <x:v>-5.680003596353345e-7</x:v>
      </x:c>
      <x:c r="F54" s="316" t="n">
        <x:f>F52-F53</x:f>
        <x:v>3.9000042306724936e-8</x:v>
      </x:c>
      <x:c r="G54" s="316" t="n">
        <x:f>G52-G53</x:f>
        <x:v>-0.0000010150006346520968</x:v>
      </x:c>
      <x:c r="H54" s="303" t="str">
        <x:v>Model formula</x:v>
      </x:c>
      <x:c r="I54" s="303" t="str">
        <x:v>Check</x:v>
      </x:c>
      <x:c r="J54" s="303" t="str">
        <x:v>Calculated segment revenue less linked consolidated revenue.</x:v>
      </x:c>
    </x:row>
  </x:sheetData>
  <x:mergeCells>
    <x:mergeCell ref="A1:J1"/>
    <x:mergeCell ref="A2:J2"/>
    <x:mergeCell ref="A4:J4"/>
    <x:mergeCell ref="A15:J15"/>
    <x:mergeCell ref="A29:J29"/>
    <x:mergeCell ref="A36:J36"/>
    <x:mergeCell ref="A47:J47"/>
  </x:mergeCells>
  <x:pageMargins left="0.7" right="0.7" top="0.75" bottom="0.75" header="0.3" footer="0.3"/>
  <x:legacyDrawing xmlns:r="http://schemas.openxmlformats.org/officeDocument/2006/relationships" r:id="R114f203603b34420"/>
</x:worksheet>
</file>

<file path=xl/worksheets/sheet22.xml><?xml version="1.0" encoding="utf-8"?>
<x:worksheet xmlns:x="http://schemas.openxmlformats.org/spreadsheetml/2006/main">
  <x:sheetViews>
    <x:sheetView showGridLines="0" workbookViewId="0"/>
  </x:sheetViews>
  <x:sheetFormatPr defaultRowHeight="15"/>
  <x:cols>
    <x:col min="1" max="1" width="43" hidden="0" customWidth="1"/>
    <x:col min="2" max="2" width="31" hidden="0" customWidth="1"/>
    <x:col min="3" max="3" width="16" hidden="0" customWidth="1"/>
    <x:col min="4" max="4" width="16" hidden="0" customWidth="1"/>
    <x:col min="5" max="5" width="16" hidden="0" customWidth="1"/>
    <x:col min="6" max="6" width="16" hidden="0" customWidth="1"/>
    <x:col min="7" max="7" width="16" hidden="0" customWidth="1"/>
    <x:col min="8" max="8" width="22" hidden="0" customWidth="1"/>
    <x:col min="9" max="9" width="34" hidden="0" customWidth="1"/>
    <x:col min="10" max="10" width="55" hidden="0" customWidth="1"/>
    <x:col min="11" max="11" width="31" hidden="0" customWidth="1"/>
    <x:col min="12" max="12" width="28" hidden="0" customWidth="1"/>
  </x:cols>
  <x:sheetData>
    <x:row r="1" ht="30" customHeight="1">
      <x:c r="A1" s="264" t="str">
        <x:v>Phase 3 — Five-Year Historical Port Drivers &amp; Revenue Bridge</x:v>
      </x:c>
      <x:c r="B1" s="264" t="str">
        <x:v>Phase 3 — Five-Year Historical Port Drivers &amp; Revenue Bridge</x:v>
      </x:c>
      <x:c r="C1" s="264" t="str">
        <x:v>Phase 3 — Five-Year Historical Port Drivers &amp; Revenue Bridge</x:v>
      </x:c>
      <x:c r="D1" s="264" t="str">
        <x:v>Phase 3 — Five-Year Historical Port Drivers &amp; Revenue Bridge</x:v>
      </x:c>
      <x:c r="E1" s="264" t="str">
        <x:v>Phase 3 — Five-Year Historical Port Drivers &amp; Revenue Bridge</x:v>
      </x:c>
      <x:c r="F1" s="264" t="str">
        <x:v>Phase 3 — Five-Year Historical Port Drivers &amp; Revenue Bridge</x:v>
      </x:c>
      <x:c r="G1" s="264" t="str">
        <x:v>Phase 3 — Five-Year Historical Port Drivers &amp; Revenue Bridge</x:v>
      </x:c>
      <x:c r="H1" s="264" t="str">
        <x:v>Phase 3 — Five-Year Historical Port Drivers &amp; Revenue Bridge</x:v>
      </x:c>
      <x:c r="I1" s="264" t="str">
        <x:v>Phase 3 — Five-Year Historical Port Drivers &amp; Revenue Bridge</x:v>
      </x:c>
      <x:c r="J1" s="264" t="str">
        <x:v>Phase 3 — Five-Year Historical Port Drivers &amp; Revenue Bridge</x:v>
      </x:c>
    </x:row>
    <x:row r="2" ht="34" customHeight="1">
      <x:c r="A2" s="268" t="str">
        <x:v>System throughput uses issuer scope. 2021–2022 are chart-derived from rounded growth labels; the implied revenue-per-TEU measure is a price/mix/scope proxy, not a clean tariff.</x:v>
      </x:c>
      <x:c r="B2" s="268" t="str">
        <x:v>System throughput uses issuer scope. 2021–2022 are chart-derived from rounded growth labels; the implied revenue-per-TEU measure is a price/mix/scope proxy, not a clean tariff.</x:v>
      </x:c>
      <x:c r="C2" s="268" t="str">
        <x:v>System throughput uses issuer scope. 2021–2022 are chart-derived from rounded growth labels; the implied revenue-per-TEU measure is a price/mix/scope proxy, not a clean tariff.</x:v>
      </x:c>
      <x:c r="D2" s="268" t="str">
        <x:v>System throughput uses issuer scope. 2021–2022 are chart-derived from rounded growth labels; the implied revenue-per-TEU measure is a price/mix/scope proxy, not a clean tariff.</x:v>
      </x:c>
      <x:c r="E2" s="268" t="str">
        <x:v>System throughput uses issuer scope. 2021–2022 are chart-derived from rounded growth labels; the implied revenue-per-TEU measure is a price/mix/scope proxy, not a clean tariff.</x:v>
      </x:c>
      <x:c r="F2" s="268" t="str">
        <x:v>System throughput uses issuer scope. 2021–2022 are chart-derived from rounded growth labels; the implied revenue-per-TEU measure is a price/mix/scope proxy, not a clean tariff.</x:v>
      </x:c>
      <x:c r="G2" s="268" t="str">
        <x:v>System throughput uses issuer scope. 2021–2022 are chart-derived from rounded growth labels; the implied revenue-per-TEU measure is a price/mix/scope proxy, not a clean tariff.</x:v>
      </x:c>
      <x:c r="H2" s="268" t="str">
        <x:v>System throughput uses issuer scope. 2021–2022 are chart-derived from rounded growth labels; the implied revenue-per-TEU measure is a price/mix/scope proxy, not a clean tariff.</x:v>
      </x:c>
      <x:c r="I2" s="268" t="str">
        <x:v>System throughput uses issuer scope. 2021–2022 are chart-derived from rounded growth labels; the implied revenue-per-TEU measure is a price/mix/scope proxy, not a clean tariff.</x:v>
      </x:c>
      <x:c r="J2" s="268" t="str">
        <x:v>System throughput uses issuer scope. 2021–2022 are chart-derived from rounded growth labels; the implied revenue-per-TEU measure is a price/mix/scope proxy, not a clean tariff.</x:v>
      </x:c>
    </x:row>
    <x:row r="4" ht="21" customHeight="1">
      <x:c r="A4" s="286" t="str">
        <x:v>System throughput → external port revenue → segment profit</x:v>
      </x:c>
      <x:c r="B4" s="286" t="str">
        <x:v>System throughput → external port revenue → segment profit</x:v>
      </x:c>
      <x:c r="C4" s="286" t="str">
        <x:v>System throughput → external port revenue → segment profit</x:v>
      </x:c>
      <x:c r="D4" s="286" t="str">
        <x:v>System throughput → external port revenue → segment profit</x:v>
      </x:c>
      <x:c r="E4" s="286" t="str">
        <x:v>System throughput → external port revenue → segment profit</x:v>
      </x:c>
      <x:c r="F4" s="286" t="str">
        <x:v>System throughput → external port revenue → segment profit</x:v>
      </x:c>
      <x:c r="G4" s="286" t="str">
        <x:v>System throughput → external port revenue → segment profit</x:v>
      </x:c>
      <x:c r="H4" s="286" t="str">
        <x:v>System throughput → external port revenue → segment profit</x:v>
      </x:c>
      <x:c r="I4" s="286" t="str">
        <x:v>System throughput → external port revenue → segment profit</x:v>
      </x:c>
      <x:c r="J4" s="286" t="str">
        <x:v>System throughput → external port revenue → segment profit</x:v>
      </x:c>
    </x:row>
    <x:row r="5" ht="32" customHeight="1">
      <x:c r="A5" s="278" t="str">
        <x:v>Metric</x:v>
      </x:c>
      <x:c r="B5" s="278" t="str">
        <x:v>Unit</x:v>
      </x:c>
      <x:c r="C5" s="280" t="n">
        <x:v>44561</x:v>
      </x:c>
      <x:c r="D5" s="280" t="n">
        <x:v>44926</x:v>
      </x:c>
      <x:c r="E5" s="280" t="n">
        <x:v>45291</x:v>
      </x:c>
      <x:c r="F5" s="280" t="n">
        <x:v>45657</x:v>
      </x:c>
      <x:c r="G5" s="280" t="n">
        <x:v>46022</x:v>
      </x:c>
      <x:c r="H5" s="278" t="str">
        <x:v>Source ID</x:v>
      </x:c>
      <x:c r="I5" s="278" t="str">
        <x:v>Data class</x:v>
      </x:c>
      <x:c r="J5" s="278" t="str">
        <x:v>Audit note</x:v>
      </x:c>
    </x:row>
    <x:row r="6" ht="32" customHeight="1">
      <x:c r="A6" s="85" t="str">
        <x:v>System container throughput</x:v>
      </x:c>
      <x:c r="B6" s="86" t="str">
        <x:v>m TEU</x:v>
      </x:c>
      <x:c r="C6" s="317" t="n">
        <x:f>'Raw GMD Disclosures'!D6</x:f>
        <x:v>2.627</x:v>
      </x:c>
      <x:c r="D6" s="317" t="n">
        <x:f>'Raw GMD Disclosures'!E6</x:f>
        <x:v>3.1</x:v>
      </x:c>
      <x:c r="E6" s="317" t="n">
        <x:f>'Raw GMD Disclosures'!F6</x:f>
        <x:v>3.011</x:v>
      </x:c>
      <x:c r="F6" s="317" t="n">
        <x:f>'Raw GMD Disclosures'!G6</x:f>
        <x:v>4.435</x:v>
      </x:c>
      <x:c r="G6" s="317" t="n">
        <x:f>'Raw GMD Disclosures'!H6</x:f>
        <x:v>5.079</x:v>
      </x:c>
      <x:c r="H6" s="86" t="str">
        <x:v>SRC-G01 / SRC-G09</x:v>
      </x:c>
      <x:c r="I6" s="86" t="str">
        <x:v>Linked issuer disclosure</x:v>
      </x:c>
      <x:c r="J6" s="87" t="str">
        <x:v>2021–2022 derived from rounded chart growth labels; 2023–2025 exact.</x:v>
      </x:c>
    </x:row>
    <x:row r="7" ht="32" customHeight="1">
      <x:c r="A7" s="88" t="str">
        <x:v>Throughput YoY</x:v>
      </x:c>
      <x:c r="B7" s="89" t="str">
        <x:v>%</x:v>
      </x:c>
      <x:c r="C7" s="89"/>
      <x:c r="D7" s="109" t="n">
        <x:f>D6/C6-1</x:f>
        <x:v>0.18005329272934922</x:v>
      </x:c>
      <x:c r="E7" s="109" t="n">
        <x:f>E6/D6-1</x:f>
        <x:v>-0.028709677419354818</x:v>
      </x:c>
      <x:c r="F7" s="109" t="n">
        <x:f>F6/E6-1</x:f>
        <x:v>0.4729325805380271</x:v>
      </x:c>
      <x:c r="G7" s="109" t="n">
        <x:f>G6/F6-1</x:f>
        <x:v>0.14520856820744088</x:v>
      </x:c>
      <x:c r="H7" s="89" t="str">
        <x:v>Model formula</x:v>
      </x:c>
      <x:c r="I7" s="89" t="str">
        <x:v>Model output</x:v>
      </x:c>
      <x:c r="J7" s="90" t="str">
        <x:v>Historical system growth.</x:v>
      </x:c>
    </x:row>
    <x:row r="8" ht="32" customHeight="1">
      <x:c r="A8" s="299" t="str">
        <x:v>Port external revenue</x:v>
      </x:c>
      <x:c r="B8" s="300" t="str">
        <x:v>VND bn</x:v>
      </x:c>
      <x:c r="C8" s="301" t="n">
        <x:f>'Raw GMD Disclosures'!D7</x:f>
        <x:v>2762.788218</x:v>
      </x:c>
      <x:c r="D8" s="301" t="n">
        <x:f>'Raw GMD Disclosures'!E7</x:f>
        <x:v>3086.178236</x:v>
      </x:c>
      <x:c r="E8" s="301" t="n">
        <x:f>'Raw GMD Disclosures'!F7</x:f>
        <x:v>2908.540764</x:v>
      </x:c>
      <x:c r="F8" s="301" t="n">
        <x:f>'Raw GMD Disclosures'!G7</x:f>
        <x:v>4190.786438</x:v>
      </x:c>
      <x:c r="G8" s="301" t="n">
        <x:f>'Raw GMD Disclosures'!H7</x:f>
        <x:v>5254.22761</x:v>
      </x:c>
      <x:c r="H8" s="300" t="str">
        <x:v>SRC-G10 / SRC-G08 / SRC-G01</x:v>
      </x:c>
      <x:c r="I8" s="300" t="str">
        <x:v>Linked issuer actual</x:v>
      </x:c>
      <x:c r="J8" s="300" t="str">
        <x:v>Consolidated external revenue from port operations.</x:v>
      </x:c>
    </x:row>
    <x:row r="9" ht="32" customHeight="1">
      <x:c r="A9" s="294" t="str">
        <x:v>Port revenue YoY</x:v>
      </x:c>
      <x:c r="B9" s="295" t="str">
        <x:v>%</x:v>
      </x:c>
      <x:c r="C9" s="295"/>
      <x:c r="D9" s="298" t="n">
        <x:f>D8/C8-1</x:f>
        <x:v>0.11705204759925603</x:v>
      </x:c>
      <x:c r="E9" s="298" t="n">
        <x:f>E8/D8-1</x:f>
        <x:v>-0.05755904501168296</x:v>
      </x:c>
      <x:c r="F9" s="298" t="n">
        <x:f>F8/E8-1</x:f>
        <x:v>0.4408553216344058</x:v>
      </x:c>
      <x:c r="G9" s="298" t="n">
        <x:f>G8/F8-1</x:f>
        <x:v>0.25375694699143714</x:v>
      </x:c>
      <x:c r="H9" s="295" t="str">
        <x:v>Model formula</x:v>
      </x:c>
      <x:c r="I9" s="295" t="str">
        <x:v>Model output</x:v>
      </x:c>
      <x:c r="J9" s="295" t="str">
        <x:v>Historical growth.</x:v>
      </x:c>
    </x:row>
    <x:row r="10" ht="32" customHeight="1">
      <x:c r="A10" s="294" t="str">
        <x:v>Implied port revenue / system TEU</x:v>
      </x:c>
      <x:c r="B10" s="295" t="str">
        <x:v>VND '000/TEU</x:v>
      </x:c>
      <x:c r="C10" s="296" t="n">
        <x:f>C8/C6</x:f>
        <x:v>1051.6894625047585</x:v>
      </x:c>
      <x:c r="D10" s="296" t="n">
        <x:f>D8/D6</x:f>
        <x:v>995.5413664516129</x:v>
      </x:c>
      <x:c r="E10" s="296" t="n">
        <x:f>E8/E6</x:f>
        <x:v>965.9716917967452</x:v>
      </x:c>
      <x:c r="F10" s="296" t="n">
        <x:f>F8/F6</x:f>
        <x:v>944.934935287486</x:v>
      </x:c>
      <x:c r="G10" s="296" t="n">
        <x:f>G8/G6</x:f>
        <x:v>1034.5004154361095</x:v>
      </x:c>
      <x:c r="H10" s="295" t="str">
        <x:v>Model formula</x:v>
      </x:c>
      <x:c r="I10" s="295" t="str">
        <x:v>Model proxy</x:v>
      </x:c>
      <x:c r="J10" s="295" t="str">
        <x:v>Captures price, cargo mix, service mix, ownership and recognition scope.</x:v>
      </x:c>
    </x:row>
    <x:row r="11" ht="32" customHeight="1">
      <x:c r="A11" s="294" t="str">
        <x:v>Implied unit proxy YoY</x:v>
      </x:c>
      <x:c r="B11" s="295" t="str">
        <x:v>%</x:v>
      </x:c>
      <x:c r="C11" s="295"/>
      <x:c r="D11" s="298" t="n">
        <x:f>D10/C10-1</x:f>
        <x:v>-0.05338847450217887</x:v>
      </x:c>
      <x:c r="E11" s="298" t="n">
        <x:f>E10/D10-1</x:f>
        <x:v>-0.02970210545872376</x:v>
      </x:c>
      <x:c r="F11" s="298" t="n">
        <x:f>F10/E10-1</x:f>
        <x:v>-0.02177781884076746</x:v>
      </x:c>
      <x:c r="G11" s="298" t="n">
        <x:f>G10/F10-1</x:f>
        <x:v>0.09478481195255428</x:v>
      </x:c>
      <x:c r="H11" s="295" t="str">
        <x:v>Model formula</x:v>
      </x:c>
      <x:c r="I11" s="295" t="str">
        <x:v>Model output</x:v>
      </x:c>
      <x:c r="J11" s="295" t="str">
        <x:v>Do not relabel as pure tariff growth.</x:v>
      </x:c>
    </x:row>
    <x:row r="12" ht="32" customHeight="1">
      <x:c r="A12" s="294" t="str">
        <x:v>Port segment financial performance</x:v>
      </x:c>
      <x:c r="B12" s="295" t="str">
        <x:v>VND bn</x:v>
      </x:c>
      <x:c r="C12" s="296" t="n">
        <x:f>'Raw GMD Disclosures'!D10</x:f>
        <x:v>713.563688</x:v>
      </x:c>
      <x:c r="D12" s="296" t="n">
        <x:f>'Raw GMD Disclosures'!E10</x:f>
        <x:v>985.584222</x:v>
      </x:c>
      <x:c r="E12" s="296" t="n">
        <x:f>'Raw GMD Disclosures'!F10</x:f>
        <x:v>1083.302</x:v>
      </x:c>
      <x:c r="F12" s="296" t="n">
        <x:f>'Raw GMD Disclosures'!G10</x:f>
        <x:v>1556.966</x:v>
      </x:c>
      <x:c r="G12" s="296" t="n">
        <x:f>'Raw GMD Disclosures'!H10</x:f>
        <x:v>1880.805</x:v>
      </x:c>
      <x:c r="H12" s="295" t="str">
        <x:v>SRC-G10 / SRC-G08 / SRC-G01</x:v>
      </x:c>
      <x:c r="I12" s="295" t="str">
        <x:v>Linked issuer actual</x:v>
      </x:c>
      <x:c r="J12" s="295" t="str">
        <x:v>Segment appendix measure before financial and associate items.</x:v>
      </x:c>
    </x:row>
    <x:row r="13" ht="32" customHeight="1">
      <x:c r="A13" s="294" t="str">
        <x:v>Port segment margin</x:v>
      </x:c>
      <x:c r="B13" s="295" t="str">
        <x:v>%</x:v>
      </x:c>
      <x:c r="C13" s="298" t="n">
        <x:f>C12/C8</x:f>
        <x:v>0.2582766508670553</x:v>
      </x:c>
      <x:c r="D13" s="298" t="n">
        <x:f>D12/D8</x:f>
        <x:v>0.3193542778907731</x:v>
      </x:c>
      <x:c r="E13" s="298" t="n">
        <x:f>E12/E8</x:f>
        <x:v>0.37245549844389253</x:v>
      </x:c>
      <x:c r="F13" s="298" t="n">
        <x:f>F12/F8</x:f>
        <x:v>0.37152119847534926</x:v>
      </x:c>
      <x:c r="G13" s="298" t="n">
        <x:f>G12/G8</x:f>
        <x:v>0.3579603206416861</x:v>
      </x:c>
      <x:c r="H13" s="295" t="str">
        <x:v>Model formula</x:v>
      </x:c>
      <x:c r="I13" s="295" t="str">
        <x:v>Model output</x:v>
      </x:c>
      <x:c r="J13" s="295" t="str">
        <x:v>Port segment performance divided by port external revenue.</x:v>
      </x:c>
    </x:row>
    <x:row r="14" ht="32" customHeight="1">
      <x:c r="A14" s="294" t="str">
        <x:v>Port D&amp;A + long-term prepayment allocation</x:v>
      </x:c>
      <x:c r="B14" s="295" t="str">
        <x:v>VND bn</x:v>
      </x:c>
      <x:c r="C14" s="296" t="n">
        <x:f>'Raw GMD Disclosures'!D11</x:f>
        <x:v>295.204995</x:v>
      </x:c>
      <x:c r="D14" s="296" t="n">
        <x:f>'Raw GMD Disclosures'!E11</x:f>
        <x:v>316.538625</x:v>
      </x:c>
      <x:c r="E14" s="296" t="n">
        <x:f>'Raw GMD Disclosures'!F11</x:f>
        <x:v>313.885</x:v>
      </x:c>
      <x:c r="F14" s="296" t="n">
        <x:f>'Raw GMD Disclosures'!G11</x:f>
        <x:v>649.096</x:v>
      </x:c>
      <x:c r="G14" s="296" t="n">
        <x:f>'Raw GMD Disclosures'!H11</x:f>
        <x:v>411.297</x:v>
      </x:c>
      <x:c r="H14" s="295" t="str">
        <x:v>SRC-G10 / SRC-G08 / SRC-G01</x:v>
      </x:c>
      <x:c r="I14" s="295" t="str">
        <x:v>Linked issuer actual</x:v>
      </x:c>
      <x:c r="J14" s="295" t="str">
        <x:v>Segment appendix measure; 2024 spike limits comparability.</x:v>
      </x:c>
    </x:row>
    <x:row r="15" ht="32" customHeight="1">
      <x:c r="A15" s="294" t="str">
        <x:v>Port EBITDA-like proxy</x:v>
      </x:c>
      <x:c r="B15" s="295" t="str">
        <x:v>VND bn</x:v>
      </x:c>
      <x:c r="C15" s="296" t="n">
        <x:f>C12+C14</x:f>
        <x:v>1008.768683</x:v>
      </x:c>
      <x:c r="D15" s="296" t="n">
        <x:f>D12+D14</x:f>
        <x:v>1302.122847</x:v>
      </x:c>
      <x:c r="E15" s="296" t="n">
        <x:f>E12+E14</x:f>
        <x:v>1397.187</x:v>
      </x:c>
      <x:c r="F15" s="296" t="n">
        <x:f>F12+F14</x:f>
        <x:v>2206.062</x:v>
      </x:c>
      <x:c r="G15" s="296" t="n">
        <x:f>G12+G14</x:f>
        <x:v>2292.102</x:v>
      </x:c>
      <x:c r="H15" s="295" t="str">
        <x:v>Model formula</x:v>
      </x:c>
      <x:c r="I15" s="295" t="str">
        <x:v>Model proxy</x:v>
      </x:c>
      <x:c r="J15" s="295" t="str">
        <x:v>Port segment performance plus segment D&amp;A/prepayment allocation.</x:v>
      </x:c>
    </x:row>
    <x:row r="16" ht="32" customHeight="1">
      <x:c r="A16" s="302" t="str">
        <x:v>Port EBITDA-like margin</x:v>
      </x:c>
      <x:c r="B16" s="303" t="str">
        <x:v>%</x:v>
      </x:c>
      <x:c r="C16" s="304" t="n">
        <x:f>C15/C8</x:f>
        <x:v>0.3651270395710077</x:v>
      </x:c>
      <x:c r="D16" s="304" t="n">
        <x:f>D15/D8</x:f>
        <x:v>0.42192081838010864</x:v>
      </x:c>
      <x:c r="E16" s="304" t="n">
        <x:f>E15/E8</x:f>
        <x:v>0.4803738758945584</x:v>
      </x:c>
      <x:c r="F16" s="304" t="n">
        <x:f>F15/F8</x:f>
        <x:v>0.5264076403408462</x:v>
      </x:c>
      <x:c r="G16" s="304" t="n">
        <x:f>G15/G8</x:f>
        <x:v>0.43623957128115354</x:v>
      </x:c>
      <x:c r="H16" s="303" t="str">
        <x:v>Model formula</x:v>
      </x:c>
      <x:c r="I16" s="303" t="str">
        <x:v>Model proxy</x:v>
      </x:c>
      <x:c r="J16" s="303" t="str">
        <x:v>Not company-reported EBITDA.</x:v>
      </x:c>
    </x:row>
    <x:row r="17" ht="32" customHeight="1">
      <x:c r="A17" s="91" t="str">
        <x:v>Issuer-estimated national market share</x:v>
      </x:c>
      <x:c r="B17" s="92" t="str">
        <x:v>%</x:v>
      </x:c>
      <x:c r="C17" s="126" t="n">
        <x:f>'Raw GMD Disclosures'!D12</x:f>
        <x:v>0</x:v>
      </x:c>
      <x:c r="D17" s="126" t="n">
        <x:f>'Raw GMD Disclosures'!E12</x:f>
        <x:v>0</x:v>
      </x:c>
      <x:c r="E17" s="126" t="n">
        <x:f>'Raw GMD Disclosures'!F12</x:f>
        <x:v>0.12</x:v>
      </x:c>
      <x:c r="F17" s="126" t="n">
        <x:f>'Raw GMD Disclosures'!G12</x:f>
        <x:v>0.15</x:v>
      </x:c>
      <x:c r="G17" s="126" t="n">
        <x:f>'Raw GMD Disclosures'!H12</x:f>
        <x:v>0.15</x:v>
      </x:c>
      <x:c r="H17" s="92" t="str">
        <x:v>SRC-G09 / SRC-G08 / SRC-G01</x:v>
      </x:c>
      <x:c r="I17" s="92" t="str">
        <x:v>Linked issuer estimate</x:v>
      </x:c>
      <x:c r="J17" s="93" t="str">
        <x:v>Missing years remain blank; 2023 was more than 12%, 2024–2025 around 15%.</x:v>
      </x:c>
    </x:row>
    <x:row r="19" ht="21" customHeight="1">
      <x:c r="A19" s="286" t="str">
        <x:v>Historical port-revenue bridge</x:v>
      </x:c>
      <x:c r="B19" s="286" t="str">
        <x:v>Historical port-revenue bridge</x:v>
      </x:c>
      <x:c r="C19" s="286" t="str">
        <x:v>Historical port-revenue bridge</x:v>
      </x:c>
      <x:c r="D19" s="286" t="str">
        <x:v>Historical port-revenue bridge</x:v>
      </x:c>
      <x:c r="E19" s="286" t="str">
        <x:v>Historical port-revenue bridge</x:v>
      </x:c>
      <x:c r="F19" s="286" t="str">
        <x:v>Historical port-revenue bridge</x:v>
      </x:c>
      <x:c r="G19" s="286" t="str">
        <x:v>Historical port-revenue bridge</x:v>
      </x:c>
      <x:c r="H19" s="286" t="str">
        <x:v>Historical port-revenue bridge</x:v>
      </x:c>
      <x:c r="I19" s="286" t="str">
        <x:v>Historical port-revenue bridge</x:v>
      </x:c>
      <x:c r="J19" s="286" t="str">
        <x:v>Historical port-revenue bridge</x:v>
      </x:c>
    </x:row>
    <x:row r="20" ht="32" customHeight="1">
      <x:c r="A20" s="278" t="str">
        <x:v>Metric</x:v>
      </x:c>
      <x:c r="B20" s="278" t="str">
        <x:v>Unit</x:v>
      </x:c>
      <x:c r="C20" s="280" t="n">
        <x:v>44561</x:v>
      </x:c>
      <x:c r="D20" s="280" t="n">
        <x:v>44926</x:v>
      </x:c>
      <x:c r="E20" s="280" t="n">
        <x:v>45291</x:v>
      </x:c>
      <x:c r="F20" s="280" t="n">
        <x:v>45657</x:v>
      </x:c>
      <x:c r="G20" s="280" t="n">
        <x:v>46022</x:v>
      </x:c>
      <x:c r="H20" s="278" t="str">
        <x:v>Source ID</x:v>
      </x:c>
      <x:c r="I20" s="278" t="str">
        <x:v>Data class</x:v>
      </x:c>
      <x:c r="J20" s="278" t="str">
        <x:v>Audit note</x:v>
      </x:c>
    </x:row>
    <x:row r="21" ht="31" customHeight="1">
      <x:c r="A21" s="299" t="str">
        <x:v>Port revenue change</x:v>
      </x:c>
      <x:c r="B21" s="300" t="str">
        <x:v>VND bn</x:v>
      </x:c>
      <x:c r="C21" s="300"/>
      <x:c r="D21" s="301" t="n">
        <x:f>D8-C8</x:f>
        <x:v>323.39001800000005</x:v>
      </x:c>
      <x:c r="E21" s="301" t="n">
        <x:f>E8-D8</x:f>
        <x:v>-177.63747200000034</x:v>
      </x:c>
      <x:c r="F21" s="301" t="n">
        <x:f>F8-E8</x:f>
        <x:v>1282.2456740000002</x:v>
      </x:c>
      <x:c r="G21" s="301" t="n">
        <x:f>G8-F8</x:f>
        <x:v>1063.4411719999998</x:v>
      </x:c>
      <x:c r="H21" s="300" t="str">
        <x:v>Model formula</x:v>
      </x:c>
      <x:c r="I21" s="300" t="str">
        <x:v>Model output</x:v>
      </x:c>
      <x:c r="J21" s="326" t="str">
        <x:v>Current-year port revenue less prior-year port revenue.</x:v>
      </x:c>
    </x:row>
    <x:row r="22" ht="31" customHeight="1">
      <x:c r="A22" s="294" t="str">
        <x:v>Volume contribution</x:v>
      </x:c>
      <x:c r="B22" s="295" t="str">
        <x:v>VND bn</x:v>
      </x:c>
      <x:c r="C22" s="295"/>
      <x:c r="D22" s="296" t="n">
        <x:f>(D6-C6)*C10</x:f>
        <x:v>497.44911576475107</x:v>
      </x:c>
      <x:c r="E22" s="296" t="n">
        <x:f>(E6-D6)*D10</x:f>
        <x:v>-88.60318161419352</x:v>
      </x:c>
      <x:c r="F22" s="296" t="n">
        <x:f>(F6-E6)*E10</x:f>
        <x:v>1375.5436891185645</x:v>
      </x:c>
      <x:c r="G22" s="296" t="n">
        <x:f>(G6-F6)*F10</x:f>
        <x:v>608.5380983251412</x:v>
      </x:c>
      <x:c r="H22" s="295" t="str">
        <x:v>Model formula</x:v>
      </x:c>
      <x:c r="I22" s="295" t="str">
        <x:v>Model output</x:v>
      </x:c>
      <x:c r="J22" s="297" t="str">
        <x:v>Change in system throughput × prior-year implied revenue/TEU proxy.</x:v>
      </x:c>
    </x:row>
    <x:row r="23" ht="31" customHeight="1">
      <x:c r="A23" s="294" t="str">
        <x:v>Unit/mix/scope contribution</x:v>
      </x:c>
      <x:c r="B23" s="295" t="str">
        <x:v>VND bn</x:v>
      </x:c>
      <x:c r="C23" s="295"/>
      <x:c r="D23" s="296" t="n">
        <x:f>(D10-C10)*D6</x:f>
        <x:v>-174.05909776475116</x:v>
      </x:c>
      <x:c r="E23" s="296" t="n">
        <x:f>(E10-D10)*E6</x:f>
        <x:v>-89.03429038580681</x:v>
      </x:c>
      <x:c r="F23" s="296" t="n">
        <x:f>(F10-E10)*F6</x:f>
        <x:v>-93.29801511856425</x:v>
      </x:c>
      <x:c r="G23" s="296" t="n">
        <x:f>(G10-F10)*G6</x:f>
        <x:v>454.90307367485855</x:v>
      </x:c>
      <x:c r="H23" s="295" t="str">
        <x:v>Model formula</x:v>
      </x:c>
      <x:c r="I23" s="295" t="str">
        <x:v>Model output</x:v>
      </x:c>
      <x:c r="J23" s="297" t="str">
        <x:v>Change in proxy unit revenue × current-year throughput.</x:v>
      </x:c>
    </x:row>
    <x:row r="24" ht="31" customHeight="1">
      <x:c r="A24" s="294" t="str">
        <x:v>Revenue bridge check</x:v>
      </x:c>
      <x:c r="B24" s="295" t="str">
        <x:v>VND bn</x:v>
      </x:c>
      <x:c r="C24" s="295"/>
      <x:c r="D24" s="296" t="n">
        <x:f>D22+D23-D21</x:f>
        <x:v>-1.1368683772161603e-13</x:v>
      </x:c>
      <x:c r="E24" s="296" t="n">
        <x:f>E22+E23-E21</x:f>
        <x:v>0</x:v>
      </x:c>
      <x:c r="F24" s="296" t="n">
        <x:f>F22+F23-F21</x:f>
        <x:v>0</x:v>
      </x:c>
      <x:c r="G24" s="296" t="n">
        <x:f>G22+G23-G21</x:f>
        <x:v>0</x:v>
      </x:c>
      <x:c r="H24" s="295" t="str">
        <x:v>Model formula</x:v>
      </x:c>
      <x:c r="I24" s="295" t="str">
        <x:v>Check</x:v>
      </x:c>
      <x:c r="J24" s="297" t="str">
        <x:v>Volume + unit/mix/scope contributions less revenue change.</x:v>
      </x:c>
    </x:row>
    <x:row r="25" ht="31" customHeight="1">
      <x:c r="A25" s="294" t="str">
        <x:v>Volume share of revenue change</x:v>
      </x:c>
      <x:c r="B25" s="295" t="str">
        <x:v>%</x:v>
      </x:c>
      <x:c r="C25" s="295"/>
      <x:c r="D25" s="298" t="n">
        <x:f>D22/D21</x:f>
        <x:v>1.5382327470749297</x:v>
      </x:c>
      <x:c r="E25" s="298" t="n">
        <x:f>E22/E21</x:f>
        <x:v>0.4987865488999604</x:v>
      </x:c>
      <x:c r="F25" s="298" t="n">
        <x:f>F22/F21</x:f>
        <x:v>1.072761419289892</x:v>
      </x:c>
      <x:c r="G25" s="298" t="n">
        <x:f>G22/G21</x:f>
        <x:v>0.5722348488545648</x:v>
      </x:c>
      <x:c r="H25" s="295" t="str">
        <x:v>Model formula</x:v>
      </x:c>
      <x:c r="I25" s="295" t="str">
        <x:v>Model output</x:v>
      </x:c>
      <x:c r="J25" s="297" t="str">
        <x:v>Directional attribution; not a pure price-volume decomposition.</x:v>
      </x:c>
    </x:row>
    <x:row r="26" ht="31" customHeight="1">
      <x:c r="A26" s="302" t="str">
        <x:v>Unit/mix/scope share of revenue change</x:v>
      </x:c>
      <x:c r="B26" s="303" t="str">
        <x:v>%</x:v>
      </x:c>
      <x:c r="C26" s="303"/>
      <x:c r="D26" s="304" t="n">
        <x:f>D23/D21</x:f>
        <x:v>-0.5382327470749302</x:v>
      </x:c>
      <x:c r="E26" s="304" t="n">
        <x:f>E23/E21</x:f>
        <x:v>0.5012134511000396</x:v>
      </x:c>
      <x:c r="F26" s="304" t="n">
        <x:f>F23/F21</x:f>
        <x:v>-0.07276141928989205</x:v>
      </x:c>
      <x:c r="G26" s="304" t="n">
        <x:f>G23/G21</x:f>
        <x:v>0.42776515114543506</x:v>
      </x:c>
      <x:c r="H26" s="303" t="str">
        <x:v>Model formula</x:v>
      </x:c>
      <x:c r="I26" s="303" t="str">
        <x:v>Model output</x:v>
      </x:c>
      <x:c r="J26" s="327" t="str">
        <x:v>Residual contribution.</x:v>
      </x:c>
    </x:row>
    <x:row r="28" ht="27" customHeight="1">
      <x:c r="A28" s="342" t="str">
        <x:v>Interpretation: the five-year bridge separates system volume from a residual unit/mix/scope proxy. The residual may include regulated price changes, service mix, general cargo, ownership scope and revenue recognition. It is deliberately not called tariff growth.</x:v>
      </x:c>
      <x:c r="B28" s="343" t="str">
        <x:v>Interpretation: the five-year bridge separates system volume from a residual unit/mix/scope proxy. The residual may include regulated price changes, service mix, general cargo, ownership scope and revenue recognition. It is deliberately not called tariff growth.</x:v>
      </x:c>
      <x:c r="C28" s="343" t="str">
        <x:v>Interpretation: the five-year bridge separates system volume from a residual unit/mix/scope proxy. The residual may include regulated price changes, service mix, general cargo, ownership scope and revenue recognition. It is deliberately not called tariff growth.</x:v>
      </x:c>
      <x:c r="D28" s="343" t="str">
        <x:v>Interpretation: the five-year bridge separates system volume from a residual unit/mix/scope proxy. The residual may include regulated price changes, service mix, general cargo, ownership scope and revenue recognition. It is deliberately not called tariff growth.</x:v>
      </x:c>
      <x:c r="E28" s="343" t="str">
        <x:v>Interpretation: the five-year bridge separates system volume from a residual unit/mix/scope proxy. The residual may include regulated price changes, service mix, general cargo, ownership scope and revenue recognition. It is deliberately not called tariff growth.</x:v>
      </x:c>
      <x:c r="F28" s="343" t="str">
        <x:v>Interpretation: the five-year bridge separates system volume from a residual unit/mix/scope proxy. The residual may include regulated price changes, service mix, general cargo, ownership scope and revenue recognition. It is deliberately not called tariff growth.</x:v>
      </x:c>
      <x:c r="G28" s="343" t="str">
        <x:v>Interpretation: the five-year bridge separates system volume from a residual unit/mix/scope proxy. The residual may include regulated price changes, service mix, general cargo, ownership scope and revenue recognition. It is deliberately not called tariff growth.</x:v>
      </x:c>
      <x:c r="H28" s="343" t="str">
        <x:v>Interpretation: the five-year bridge separates system volume from a residual unit/mix/scope proxy. The residual may include regulated price changes, service mix, general cargo, ownership scope and revenue recognition. It is deliberately not called tariff growth.</x:v>
      </x:c>
      <x:c r="I28" s="343" t="str">
        <x:v>Interpretation: the five-year bridge separates system volume from a residual unit/mix/scope proxy. The residual may include regulated price changes, service mix, general cargo, ownership scope and revenue recognition. It is deliberately not called tariff growth.</x:v>
      </x:c>
      <x:c r="J28" s="344" t="str">
        <x:v>Interpretation: the five-year bridge separates system volume from a residual unit/mix/scope proxy. The residual may include regulated price changes, service mix, general cargo, ownership scope and revenue recognition. It is deliberately not called tariff growth.</x:v>
      </x:c>
    </x:row>
    <x:row r="29" ht="27" customHeight="1">
      <x:c r="A29" s="345" t="str">
        <x:v>Interpretation: the five-year bridge separates system volume from a residual unit/mix/scope proxy. The residual may include regulated price changes, service mix, general cargo, ownership scope and revenue recognition. It is deliberately not called tariff growth.</x:v>
      </x:c>
      <x:c r="B29" s="346" t="str">
        <x:v>Interpretation: the five-year bridge separates system volume from a residual unit/mix/scope proxy. The residual may include regulated price changes, service mix, general cargo, ownership scope and revenue recognition. It is deliberately not called tariff growth.</x:v>
      </x:c>
      <x:c r="C29" s="346" t="str">
        <x:v>Interpretation: the five-year bridge separates system volume from a residual unit/mix/scope proxy. The residual may include regulated price changes, service mix, general cargo, ownership scope and revenue recognition. It is deliberately not called tariff growth.</x:v>
      </x:c>
      <x:c r="D29" s="346" t="str">
        <x:v>Interpretation: the five-year bridge separates system volume from a residual unit/mix/scope proxy. The residual may include regulated price changes, service mix, general cargo, ownership scope and revenue recognition. It is deliberately not called tariff growth.</x:v>
      </x:c>
      <x:c r="E29" s="346" t="str">
        <x:v>Interpretation: the five-year bridge separates system volume from a residual unit/mix/scope proxy. The residual may include regulated price changes, service mix, general cargo, ownership scope and revenue recognition. It is deliberately not called tariff growth.</x:v>
      </x:c>
      <x:c r="F29" s="346" t="str">
        <x:v>Interpretation: the five-year bridge separates system volume from a residual unit/mix/scope proxy. The residual may include regulated price changes, service mix, general cargo, ownership scope and revenue recognition. It is deliberately not called tariff growth.</x:v>
      </x:c>
      <x:c r="G29" s="346" t="str">
        <x:v>Interpretation: the five-year bridge separates system volume from a residual unit/mix/scope proxy. The residual may include regulated price changes, service mix, general cargo, ownership scope and revenue recognition. It is deliberately not called tariff growth.</x:v>
      </x:c>
      <x:c r="H29" s="346" t="str">
        <x:v>Interpretation: the five-year bridge separates system volume from a residual unit/mix/scope proxy. The residual may include regulated price changes, service mix, general cargo, ownership scope and revenue recognition. It is deliberately not called tariff growth.</x:v>
      </x:c>
      <x:c r="I29" s="346" t="str">
        <x:v>Interpretation: the five-year bridge separates system volume from a residual unit/mix/scope proxy. The residual may include regulated price changes, service mix, general cargo, ownership scope and revenue recognition. It is deliberately not called tariff growth.</x:v>
      </x:c>
      <x:c r="J29" s="347" t="str">
        <x:v>Interpretation: the five-year bridge separates system volume from a residual unit/mix/scope proxy. The residual may include regulated price changes, service mix, general cargo, ownership scope and revenue recognition. It is deliberately not called tariff growth.</x:v>
      </x:c>
    </x:row>
    <x:row r="31" ht="21" customHeight="1">
      <x:c r="A31" s="286" t="str">
        <x:v>Selected asset-level disclosures — never sum without scope checks</x:v>
      </x:c>
      <x:c r="B31" s="286" t="str">
        <x:v>Selected asset-level disclosures — never sum without scope checks</x:v>
      </x:c>
      <x:c r="C31" s="286" t="str">
        <x:v>Selected asset-level disclosures — never sum without scope checks</x:v>
      </x:c>
      <x:c r="D31" s="286" t="str">
        <x:v>Selected asset-level disclosures — never sum without scope checks</x:v>
      </x:c>
      <x:c r="E31" s="286" t="str">
        <x:v>Selected asset-level disclosures — never sum without scope checks</x:v>
      </x:c>
      <x:c r="F31" s="286" t="str">
        <x:v>Selected asset-level disclosures — never sum without scope checks</x:v>
      </x:c>
      <x:c r="G31" s="286" t="str">
        <x:v>Selected asset-level disclosures — never sum without scope checks</x:v>
      </x:c>
      <x:c r="H31" s="286" t="str">
        <x:v>Selected asset-level disclosures — never sum without scope checks</x:v>
      </x:c>
      <x:c r="I31" s="286" t="str">
        <x:v>Selected asset-level disclosures — never sum without scope checks</x:v>
      </x:c>
      <x:c r="J31" s="286" t="str">
        <x:v>Selected asset-level disclosures — never sum without scope checks</x:v>
      </x:c>
      <x:c r="K31" s="286" t="str">
        <x:v>Selected asset-level disclosures — never sum without scope checks</x:v>
      </x:c>
      <x:c r="L31" s="286" t="str">
        <x:v>Selected asset-level disclosures — never sum without scope checks</x:v>
      </x:c>
    </x:row>
    <x:row r="32" ht="32" customHeight="1">
      <x:c r="A32" s="278" t="str">
        <x:v>Asset / cluster</x:v>
      </x:c>
      <x:c r="B32" s="278" t="str">
        <x:v>Metric</x:v>
      </x:c>
      <x:c r="C32" s="280" t="n">
        <x:v>44561</x:v>
      </x:c>
      <x:c r="D32" s="280" t="n">
        <x:v>44926</x:v>
      </x:c>
      <x:c r="E32" s="280" t="n">
        <x:v>45291</x:v>
      </x:c>
      <x:c r="F32" s="280" t="n">
        <x:v>45657</x:v>
      </x:c>
      <x:c r="G32" s="280" t="n">
        <x:v>46022</x:v>
      </x:c>
      <x:c r="H32" s="278" t="str">
        <x:v>Unit</x:v>
      </x:c>
      <x:c r="I32" s="278" t="str">
        <x:v>Source ID</x:v>
      </x:c>
      <x:c r="J32" s="278" t="str">
        <x:v>Scope warning</x:v>
      </x:c>
      <x:c r="K32" s="278" t="str">
        <x:v>Use in model</x:v>
      </x:c>
      <x:c r="L32" s="278" t="str">
        <x:v>Data class</x:v>
      </x:c>
    </x:row>
    <x:row r="33" ht="40" customHeight="1">
      <x:c r="A33" s="85" t="str">
        <x:v>System</x:v>
      </x:c>
      <x:c r="B33" s="86" t="str">
        <x:v>Container throughput</x:v>
      </x:c>
      <x:c r="C33" s="317" t="n">
        <x:f>'Raw GMD Disclosures'!D6</x:f>
        <x:v>2.627</x:v>
      </x:c>
      <x:c r="D33" s="317" t="n">
        <x:f>'Raw GMD Disclosures'!E6</x:f>
        <x:v>3.1</x:v>
      </x:c>
      <x:c r="E33" s="317" t="n">
        <x:f>'Raw GMD Disclosures'!F6</x:f>
        <x:v>3.011</x:v>
      </x:c>
      <x:c r="F33" s="317" t="n">
        <x:f>'Raw GMD Disclosures'!G6</x:f>
        <x:v>4.435</x:v>
      </x:c>
      <x:c r="G33" s="317" t="n">
        <x:f>'Raw GMD Disclosures'!H6</x:f>
        <x:v>5.079</x:v>
      </x:c>
      <x:c r="H33" s="86" t="str">
        <x:v>m TEU</x:v>
      </x:c>
      <x:c r="I33" s="86" t="str">
        <x:v>SRC-G01 / SRC-G09</x:v>
      </x:c>
      <x:c r="J33" s="86" t="str">
        <x:v>System total includes equity-accounted assets.</x:v>
      </x:c>
      <x:c r="K33" s="86" t="str">
        <x:v>Core historical volume driver</x:v>
      </x:c>
      <x:c r="L33" s="87" t="str">
        <x:v>Mixed exact and derived</x:v>
      </x:c>
    </x:row>
    <x:row r="34" ht="40" customHeight="1">
      <x:c r="A34" s="88" t="str">
        <x:v>Gemalink</x:v>
      </x:c>
      <x:c r="B34" s="89" t="str">
        <x:v>Container throughput</x:v>
      </x:c>
      <x:c r="C34" s="348" t="n">
        <x:f>'Raw GMD Disclosures'!D18</x:f>
        <x:v>0</x:v>
      </x:c>
      <x:c r="D34" s="348" t="n">
        <x:f>'Raw GMD Disclosures'!E18</x:f>
        <x:v>1.1</x:v>
      </x:c>
      <x:c r="E34" s="348" t="n">
        <x:f>'Raw GMD Disclosures'!F18</x:f>
        <x:v>1</x:v>
      </x:c>
      <x:c r="F34" s="348" t="n">
        <x:f>'Raw GMD Disclosures'!G18</x:f>
        <x:v>1.7</x:v>
      </x:c>
      <x:c r="G34" s="348" t="n">
        <x:f>'Raw GMD Disclosures'!H18</x:f>
        <x:v>1.9</x:v>
      </x:c>
      <x:c r="H34" s="89" t="str">
        <x:v>m TEU, minimum</x:v>
      </x:c>
      <x:c r="I34" s="89" t="str">
        <x:v>SRC-G10 / SRC-G09 / SRC-G08 / SRC-G01</x:v>
      </x:c>
      <x:c r="J34" s="89" t="str">
        <x:v>Revenue is not consolidated line by line.</x:v>
      </x:c>
      <x:c r="K34" s="89" t="str">
        <x:v>Associate earnings cross-check</x:v>
      </x:c>
      <x:c r="L34" s="90" t="str">
        <x:v>Issuer minimum disclosure</x:v>
      </x:c>
    </x:row>
    <x:row r="35" ht="40" customHeight="1">
      <x:c r="A35" s="88" t="str">
        <x:v>Nam Dinh Vu</x:v>
      </x:c>
      <x:c r="B35" s="89" t="str">
        <x:v>Container throughput</x:v>
      </x:c>
      <x:c r="C35" s="348" t="n">
        <x:f>'Raw GMD Disclosures'!D19</x:f>
        <x:v>0</x:v>
      </x:c>
      <x:c r="D35" s="348" t="n">
        <x:f>'Raw GMD Disclosures'!E19</x:f>
        <x:v>0</x:v>
      </x:c>
      <x:c r="E35" s="348" t="n">
        <x:f>'Raw GMD Disclosures'!F19</x:f>
        <x:v>0.897719</x:v>
      </x:c>
      <x:c r="F35" s="348" t="n">
        <x:f>'Raw GMD Disclosures'!G19</x:f>
        <x:v>0</x:v>
      </x:c>
      <x:c r="G35" s="348" t="n">
        <x:f>'Raw GMD Disclosures'!H19</x:f>
        <x:v>0</x:v>
      </x:c>
      <x:c r="H35" s="89" t="str">
        <x:v>m TEU</x:v>
      </x:c>
      <x:c r="I35" s="89" t="str">
        <x:v>SRC-G09</x:v>
      </x:c>
      <x:c r="J35" s="89" t="str">
        <x:v>Only one exact annual point loaded.</x:v>
      </x:c>
      <x:c r="K35" s="89" t="str">
        <x:v>Northern asset evidence</x:v>
      </x:c>
      <x:c r="L35" s="90" t="str">
        <x:v>Issuer actual</x:v>
      </x:c>
    </x:row>
    <x:row r="36" ht="40" customHeight="1">
      <x:c r="A36" s="88" t="str">
        <x:v>Southern port division excluding Gemalink</x:v>
      </x:c>
      <x:c r="B36" s="89" t="str">
        <x:v>Container throughput</x:v>
      </x:c>
      <x:c r="C36" s="348" t="n">
        <x:f>'Raw GMD Disclosures'!D20</x:f>
        <x:v>0</x:v>
      </x:c>
      <x:c r="D36" s="348" t="n">
        <x:f>'Raw GMD Disclosures'!E20</x:f>
        <x:v>0</x:v>
      </x:c>
      <x:c r="E36" s="348" t="n">
        <x:f>'Raw GMD Disclosures'!F20</x:f>
        <x:v>0</x:v>
      </x:c>
      <x:c r="F36" s="348" t="n">
        <x:f>'Raw GMD Disclosures'!G20</x:f>
        <x:v>0</x:v>
      </x:c>
      <x:c r="G36" s="348" t="n">
        <x:f>'Raw GMD Disclosures'!H20</x:f>
        <x:v>1.650408</x:v>
      </x:c>
      <x:c r="H36" s="89" t="str">
        <x:v>m TEU</x:v>
      </x:c>
      <x:c r="I36" s="89" t="str">
        <x:v>SRC-G01</x:v>
      </x:c>
      <x:c r="J36" s="89" t="str">
        <x:v>Scope differs from total South and excludes Gemalink.</x:v>
      </x:c>
      <x:c r="K36" s="89" t="str">
        <x:v>Do not add to system total</x:v>
      </x:c>
      <x:c r="L36" s="90" t="str">
        <x:v>Issuer actual</x:v>
      </x:c>
    </x:row>
    <x:row r="37" ht="40" customHeight="1">
      <x:c r="A37" s="91" t="str">
        <x:v>Phuoc Long ICD / Binh Duong</x:v>
      </x:c>
      <x:c r="B37" s="92" t="str">
        <x:v>Container throughput</x:v>
      </x:c>
      <x:c r="C37" s="349" t="n">
        <x:f>'Raw GMD Disclosures'!D21</x:f>
        <x:v>0</x:v>
      </x:c>
      <x:c r="D37" s="349" t="n">
        <x:f>'Raw GMD Disclosures'!E21</x:f>
        <x:v>0</x:v>
      </x:c>
      <x:c r="E37" s="349" t="n">
        <x:f>'Raw GMD Disclosures'!F21</x:f>
        <x:v>0</x:v>
      </x:c>
      <x:c r="F37" s="349" t="n">
        <x:f>'Raw GMD Disclosures'!G21</x:f>
        <x:v>1.145</x:v>
      </x:c>
      <x:c r="G37" s="349" t="n">
        <x:f>'Raw GMD Disclosures'!H21</x:f>
        <x:v>1.260574</x:v>
      </x:c>
      <x:c r="H37" s="92" t="str">
        <x:v>m TEU</x:v>
      </x:c>
      <x:c r="I37" s="92" t="str">
        <x:v>SRC-G01</x:v>
      </x:c>
      <x:c r="J37" s="92" t="str">
        <x:v>Subset of the Southern division.</x:v>
      </x:c>
      <x:c r="K37" s="92" t="str">
        <x:v>Operational cross-check</x:v>
      </x:c>
      <x:c r="L37" s="93" t="str">
        <x:v>Issuer actual</x:v>
      </x:c>
    </x:row>
  </x:sheetData>
  <x:mergeCells>
    <x:mergeCell ref="A1:J1"/>
    <x:mergeCell ref="A2:J2"/>
    <x:mergeCell ref="A4:J4"/>
    <x:mergeCell ref="A19:J19"/>
    <x:mergeCell ref="A28:J29"/>
    <x:mergeCell ref="A31:L31"/>
  </x:mergeCells>
  <x:pageMargins left="0.7" right="0.7" top="0.75" bottom="0.75" header="0.3" footer="0.3"/>
  <x:legacyDrawing xmlns:r="http://schemas.openxmlformats.org/officeDocument/2006/relationships" r:id="R93678ce169e14ae4"/>
</x:worksheet>
</file>

<file path=xl/worksheets/sheet23.xml><?xml version="1.0" encoding="utf-8"?>
<x:worksheet xmlns:x="http://schemas.openxmlformats.org/spreadsheetml/2006/main">
  <x:sheetViews>
    <x:sheetView showGridLines="0" workbookViewId="0"/>
  </x:sheetViews>
  <x:sheetFormatPr defaultRowHeight="15"/>
  <x:cols>
    <x:col min="1" max="1" width="47" hidden="0" customWidth="1"/>
    <x:col min="2" max="2" width="15" hidden="0" customWidth="1"/>
    <x:col min="3" max="3" width="16" hidden="0" customWidth="1"/>
    <x:col min="4" max="4" width="16" hidden="0" customWidth="1"/>
    <x:col min="5" max="5" width="16" hidden="0" customWidth="1"/>
    <x:col min="6" max="6" width="16" hidden="0" customWidth="1"/>
    <x:col min="7" max="7" width="16" hidden="0" customWidth="1"/>
    <x:col min="8" max="8" width="34" hidden="0" customWidth="1"/>
    <x:col min="9" max="9" width="28" hidden="0" customWidth="1"/>
    <x:col min="10" max="10" width="66" hidden="0" customWidth="1"/>
  </x:cols>
  <x:sheetData>
    <x:row r="1" ht="30" customHeight="1">
      <x:c r="A1" s="264" t="str">
        <x:v>Phase 3 — Five-Year Associates &amp; Attributable-Earnings Bridge</x:v>
      </x:c>
      <x:c r="B1" s="264" t="str">
        <x:v>Phase 3 — Five-Year Associates &amp; Attributable-Earnings Bridge</x:v>
      </x:c>
      <x:c r="C1" s="264" t="str">
        <x:v>Phase 3 — Five-Year Associates &amp; Attributable-Earnings Bridge</x:v>
      </x:c>
      <x:c r="D1" s="264" t="str">
        <x:v>Phase 3 — Five-Year Associates &amp; Attributable-Earnings Bridge</x:v>
      </x:c>
      <x:c r="E1" s="264" t="str">
        <x:v>Phase 3 — Five-Year Associates &amp; Attributable-Earnings Bridge</x:v>
      </x:c>
      <x:c r="F1" s="264" t="str">
        <x:v>Phase 3 — Five-Year Associates &amp; Attributable-Earnings Bridge</x:v>
      </x:c>
      <x:c r="G1" s="264" t="str">
        <x:v>Phase 3 — Five-Year Associates &amp; Attributable-Earnings Bridge</x:v>
      </x:c>
      <x:c r="H1" s="264" t="str">
        <x:v>Phase 3 — Five-Year Associates &amp; Attributable-Earnings Bridge</x:v>
      </x:c>
      <x:c r="I1" s="264" t="str">
        <x:v>Phase 3 — Five-Year Associates &amp; Attributable-Earnings Bridge</x:v>
      </x:c>
      <x:c r="J1" s="264" t="str">
        <x:v>Phase 3 — Five-Year Associates &amp; Attributable-Earnings Bridge</x:v>
      </x:c>
    </x:row>
    <x:row r="2" ht="34" customHeight="1">
      <x:c r="A2" s="268" t="str">
        <x:v>Gemalink is equity-accounted. Its throughput is included in GMD system volume, while its profit enters through the associates/JV line rather than consolidated revenue.</x:v>
      </x:c>
      <x:c r="B2" s="268" t="str">
        <x:v>Gemalink is equity-accounted. Its throughput is included in GMD system volume, while its profit enters through the associates/JV line rather than consolidated revenue.</x:v>
      </x:c>
      <x:c r="C2" s="268" t="str">
        <x:v>Gemalink is equity-accounted. Its throughput is included in GMD system volume, while its profit enters through the associates/JV line rather than consolidated revenue.</x:v>
      </x:c>
      <x:c r="D2" s="268" t="str">
        <x:v>Gemalink is equity-accounted. Its throughput is included in GMD system volume, while its profit enters through the associates/JV line rather than consolidated revenue.</x:v>
      </x:c>
      <x:c r="E2" s="268" t="str">
        <x:v>Gemalink is equity-accounted. Its throughput is included in GMD system volume, while its profit enters through the associates/JV line rather than consolidated revenue.</x:v>
      </x:c>
      <x:c r="F2" s="268" t="str">
        <x:v>Gemalink is equity-accounted. Its throughput is included in GMD system volume, while its profit enters through the associates/JV line rather than consolidated revenue.</x:v>
      </x:c>
      <x:c r="G2" s="268" t="str">
        <x:v>Gemalink is equity-accounted. Its throughput is included in GMD system volume, while its profit enters through the associates/JV line rather than consolidated revenue.</x:v>
      </x:c>
      <x:c r="H2" s="268" t="str">
        <x:v>Gemalink is equity-accounted. Its throughput is included in GMD system volume, while its profit enters through the associates/JV line rather than consolidated revenue.</x:v>
      </x:c>
      <x:c r="I2" s="268" t="str">
        <x:v>Gemalink is equity-accounted. Its throughput is included in GMD system volume, while its profit enters through the associates/JV line rather than consolidated revenue.</x:v>
      </x:c>
      <x:c r="J2" s="268" t="str">
        <x:v>Gemalink is equity-accounted. Its throughput is included in GMD system volume, while its profit enters through the associates/JV line rather than consolidated revenue.</x:v>
      </x:c>
    </x:row>
    <x:row r="4" ht="21" customHeight="1">
      <x:c r="A4" s="286" t="str">
        <x:v>Share of profit from associates/JVs</x:v>
      </x:c>
      <x:c r="B4" s="286" t="str">
        <x:v>Share of profit from associates/JVs</x:v>
      </x:c>
      <x:c r="C4" s="286" t="str">
        <x:v>Share of profit from associates/JVs</x:v>
      </x:c>
      <x:c r="D4" s="286" t="str">
        <x:v>Share of profit from associates/JVs</x:v>
      </x:c>
      <x:c r="E4" s="286" t="str">
        <x:v>Share of profit from associates/JVs</x:v>
      </x:c>
      <x:c r="F4" s="286" t="str">
        <x:v>Share of profit from associates/JVs</x:v>
      </x:c>
      <x:c r="G4" s="286" t="str">
        <x:v>Share of profit from associates/JVs</x:v>
      </x:c>
      <x:c r="H4" s="286" t="str">
        <x:v>Share of profit from associates/JVs</x:v>
      </x:c>
      <x:c r="I4" s="286" t="str">
        <x:v>Share of profit from associates/JVs</x:v>
      </x:c>
      <x:c r="J4" s="286" t="str">
        <x:v>Share of profit from associates/JVs</x:v>
      </x:c>
    </x:row>
    <x:row r="5" ht="32" customHeight="1">
      <x:c r="A5" s="278" t="str">
        <x:v>Metric</x:v>
      </x:c>
      <x:c r="B5" s="278" t="str">
        <x:v>Unit</x:v>
      </x:c>
      <x:c r="C5" s="280" t="n">
        <x:v>44561</x:v>
      </x:c>
      <x:c r="D5" s="280" t="n">
        <x:v>44926</x:v>
      </x:c>
      <x:c r="E5" s="280" t="n">
        <x:v>45291</x:v>
      </x:c>
      <x:c r="F5" s="280" t="n">
        <x:v>45657</x:v>
      </x:c>
      <x:c r="G5" s="280" t="n">
        <x:v>46022</x:v>
      </x:c>
      <x:c r="H5" s="278" t="str">
        <x:v>Source ID</x:v>
      </x:c>
      <x:c r="I5" s="278" t="str">
        <x:v>Data class</x:v>
      </x:c>
      <x:c r="J5" s="278" t="str">
        <x:v>Audit note</x:v>
      </x:c>
    </x:row>
    <x:row r="6" ht="32" customHeight="1">
      <x:c r="A6" s="299" t="str">
        <x:v>Total associates/JV profit</x:v>
      </x:c>
      <x:c r="B6" s="300" t="str">
        <x:v>VND bn</x:v>
      </x:c>
      <x:c r="C6" s="301" t="n">
        <x:f>'Raw GMD VNStock'!E30/'Raw GMD VNStock'!$B$3</x:f>
        <x:v>236.913674177</x:v>
      </x:c>
      <x:c r="D6" s="301" t="n">
        <x:f>'Raw GMD VNStock'!F30/'Raw GMD VNStock'!$B$3</x:f>
        <x:v>399.148325174</x:v>
      </x:c>
      <x:c r="E6" s="301" t="n">
        <x:f>'Raw GMD VNStock'!G30/'Raw GMD VNStock'!$B$3</x:f>
        <x:v>274.234816173</x:v>
      </x:c>
      <x:c r="F6" s="301" t="n">
        <x:f>'Raw GMD VNStock'!H30/'Raw GMD VNStock'!$B$3</x:f>
        <x:v>829.308422992</x:v>
      </x:c>
      <x:c r="G6" s="301" t="n">
        <x:f>'Raw GMD VNStock'!I30/'Raw GMD VNStock'!$B$3</x:f>
        <x:v>1157.659377947</x:v>
      </x:c>
      <x:c r="H6" s="300" t="str">
        <x:v>SRC-API01</x:v>
      </x:c>
      <x:c r="I6" s="300" t="str">
        <x:v>Linked API actual</x:v>
      </x:c>
      <x:c r="J6" s="326" t="str">
        <x:v>Audited gain/loss from joint ventures and associates.</x:v>
      </x:c>
    </x:row>
    <x:row r="7" ht="32" customHeight="1">
      <x:c r="A7" s="294" t="str">
        <x:v>Gemalink contribution</x:v>
      </x:c>
      <x:c r="B7" s="295" t="str">
        <x:v>VND bn</x:v>
      </x:c>
      <x:c r="C7" s="296" t="n">
        <x:f>'Raw GMD Disclosures'!D13</x:f>
        <x:v>-36.756742</x:v>
      </x:c>
      <x:c r="D7" s="296" t="n">
        <x:f>'Raw GMD Disclosures'!E13</x:f>
        <x:v>81.859516</x:v>
      </x:c>
      <x:c r="E7" s="296" t="n">
        <x:f>'Raw GMD Disclosures'!F13</x:f>
        <x:v>17.141</x:v>
      </x:c>
      <x:c r="F7" s="296" t="n">
        <x:f>'Raw GMD Disclosures'!G13</x:f>
        <x:v>548.777</x:v>
      </x:c>
      <x:c r="G7" s="296" t="n">
        <x:f>'Raw GMD Disclosures'!H13</x:f>
        <x:v>826.81</x:v>
      </x:c>
      <x:c r="H7" s="295" t="str">
        <x:v>SRC-G11 / SRC-G10 / SRC-G08 / SRC-G01</x:v>
      </x:c>
      <x:c r="I7" s="295" t="str">
        <x:v>Linked issuer actual</x:v>
      </x:c>
      <x:c r="J7" s="297" t="str">
        <x:v>Gemadept-Terminal Link Cai Mep Terminal JSC.</x:v>
      </x:c>
    </x:row>
    <x:row r="8" ht="32" customHeight="1">
      <x:c r="A8" s="294" t="str">
        <x:v>SCS contribution</x:v>
      </x:c>
      <x:c r="B8" s="295" t="str">
        <x:v>VND bn</x:v>
      </x:c>
      <x:c r="C8" s="296" t="n">
        <x:f>'Raw GMD Disclosures'!D14</x:f>
        <x:v>180.909405</x:v>
      </x:c>
      <x:c r="D8" s="296" t="n">
        <x:f>'Raw GMD Disclosures'!E14</x:f>
        <x:v>211.566909</x:v>
      </x:c>
      <x:c r="E8" s="296" t="n">
        <x:f>'Raw GMD Disclosures'!F14</x:f>
        <x:v>168.976</x:v>
      </x:c>
      <x:c r="F8" s="296" t="n">
        <x:f>'Raw GMD Disclosures'!G14</x:f>
        <x:v>236.26</x:v>
      </x:c>
      <x:c r="G8" s="296" t="n">
        <x:f>'Raw GMD Disclosures'!H14</x:f>
        <x:v>258.588</x:v>
      </x:c>
      <x:c r="H8" s="295" t="str">
        <x:v>SRC-G11 / SRC-G10 / SRC-G08 / SRC-G01</x:v>
      </x:c>
      <x:c r="I8" s="295" t="str">
        <x:v>Linked issuer actual</x:v>
      </x:c>
      <x:c r="J8" s="297" t="str">
        <x:v>Saigon Cargo Service Corporation.</x:v>
      </x:c>
    </x:row>
    <x:row r="9" ht="32" customHeight="1">
      <x:c r="A9" s="294" t="str">
        <x:v>CJ Gemadept Logistics contribution</x:v>
      </x:c>
      <x:c r="B9" s="295" t="str">
        <x:v>VND bn</x:v>
      </x:c>
      <x:c r="C9" s="296" t="n">
        <x:f>'Raw GMD Disclosures'!D15</x:f>
        <x:v>44.635167</x:v>
      </x:c>
      <x:c r="D9" s="296" t="n">
        <x:f>'Raw GMD Disclosures'!E15</x:f>
        <x:v>51.081193</x:v>
      </x:c>
      <x:c r="E9" s="296" t="n">
        <x:f>'Raw GMD Disclosures'!F15</x:f>
        <x:v>54.838</x:v>
      </x:c>
      <x:c r="F9" s="296" t="n">
        <x:f>'Raw GMD Disclosures'!G15</x:f>
        <x:v>34.036</x:v>
      </x:c>
      <x:c r="G9" s="296" t="n">
        <x:f>'Raw GMD Disclosures'!H15</x:f>
        <x:v>46.182</x:v>
      </x:c>
      <x:c r="H9" s="295" t="str">
        <x:v>SRC-G11 / SRC-G10 / SRC-G08 / SRC-G01</x:v>
      </x:c>
      <x:c r="I9" s="295" t="str">
        <x:v>Linked issuer actual</x:v>
      </x:c>
      <x:c r="J9" s="297" t="str">
        <x:v>CJ Gemadept Logistics Holdings.</x:v>
      </x:c>
    </x:row>
    <x:row r="10" ht="32" customHeight="1">
      <x:c r="A10" s="294" t="str">
        <x:v>Other associates/JVs</x:v>
      </x:c>
      <x:c r="B10" s="295" t="str">
        <x:v>VND bn</x:v>
      </x:c>
      <x:c r="C10" s="296" t="n">
        <x:f>C6-SUM(C7:C9)</x:f>
        <x:v>48.125844177000005</x:v>
      </x:c>
      <x:c r="D10" s="296" t="n">
        <x:f>D6-SUM(D7:D9)</x:f>
        <x:v>54.640707174</x:v>
      </x:c>
      <x:c r="E10" s="296" t="n">
        <x:f>E6-SUM(E7:E9)</x:f>
        <x:v>33.27981617300003</x:v>
      </x:c>
      <x:c r="F10" s="296" t="n">
        <x:f>F6-SUM(F7:F9)</x:f>
        <x:v>10.23542299199994</x:v>
      </x:c>
      <x:c r="G10" s="296" t="n">
        <x:f>G6-SUM(G7:G9)</x:f>
        <x:v>26.07937794700001</x:v>
      </x:c>
      <x:c r="H10" s="295" t="str">
        <x:v>Model formula</x:v>
      </x:c>
      <x:c r="I10" s="295" t="str">
        <x:v>Model output</x:v>
      </x:c>
      <x:c r="J10" s="297" t="str">
        <x:v>Residual to the audited/API total.</x:v>
      </x:c>
    </x:row>
    <x:row r="11" ht="32" customHeight="1">
      <x:c r="A11" s="294" t="str">
        <x:v>Gemalink share of associate earnings</x:v>
      </x:c>
      <x:c r="B11" s="295" t="str">
        <x:v>%</x:v>
      </x:c>
      <x:c r="C11" s="298" t="n">
        <x:f>C7/C6</x:f>
        <x:v>-0.15514825021260176</x:v>
      </x:c>
      <x:c r="D11" s="298" t="n">
        <x:f>D7/D6</x:f>
        <x:v>0.2050854552986415</x:v>
      </x:c>
      <x:c r="E11" s="298" t="n">
        <x:f>E7/E6</x:f>
        <x:v>0.0625048279398144</x:v>
      </x:c>
      <x:c r="F11" s="298" t="n">
        <x:f>F7/F6</x:f>
        <x:v>0.6617284773499688</x:v>
      </x:c>
      <x:c r="G11" s="298" t="n">
        <x:f>G7/G6</x:f>
        <x:v>0.7142083550225885</x:v>
      </x:c>
      <x:c r="H11" s="295" t="str">
        <x:v>Model formula</x:v>
      </x:c>
      <x:c r="I11" s="295" t="str">
        <x:v>Model output</x:v>
      </x:c>
      <x:c r="J11" s="297" t="str">
        <x:v>Concentration metric; negative in 2021 because Gemalink contributed a loss.</x:v>
      </x:c>
    </x:row>
    <x:row r="12" ht="32" customHeight="1">
      <x:c r="A12" s="294" t="str">
        <x:v>Associates / issuer core PBT</x:v>
      </x:c>
      <x:c r="B12" s="295" t="str">
        <x:v>%</x:v>
      </x:c>
      <x:c r="C12" s="298" t="n">
        <x:f>C6/'P3 Historical IS'!C25</x:f>
        <x:v>0.29386026774223156</x:v>
      </x:c>
      <x:c r="D12" s="298" t="n">
        <x:f>D6/'P3 Historical IS'!D25</x:f>
        <x:v>0.30504779230067297</x:v>
      </x:c>
      <x:c r="E12" s="298" t="n">
        <x:f>E6/'P3 Historical IS'!E25</x:f>
        <x:v>0.20982005828079572</x:v>
      </x:c>
      <x:c r="F12" s="298" t="n">
        <x:f>F6/'P3 Historical IS'!F25</x:f>
        <x:v>0.4656420117866367</x:v>
      </x:c>
      <x:c r="G12" s="298" t="n">
        <x:f>G6/'P3 Historical IS'!G25</x:f>
        <x:v>0.4592379318164237</x:v>
      </x:c>
      <x:c r="H12" s="295" t="str">
        <x:v>Model formula</x:v>
      </x:c>
      <x:c r="I12" s="295" t="str">
        <x:v>Model output</x:v>
      </x:c>
      <x:c r="J12" s="297" t="str">
        <x:v>Economic exposure outside consolidated revenue.</x:v>
      </x:c>
    </x:row>
    <x:row r="13" ht="32" customHeight="1">
      <x:c r="A13" s="302" t="str">
        <x:v>Associates / reported PBT</x:v>
      </x:c>
      <x:c r="B13" s="303" t="str">
        <x:v>%</x:v>
      </x:c>
      <x:c r="C13" s="304" t="n">
        <x:f>C6/'P3 Historical IS'!C23</x:f>
        <x:v>0.29386021123968076</x:v>
      </x:c>
      <x:c r="D13" s="304" t="n">
        <x:f>D6/'P3 Historical IS'!D23</x:f>
        <x:v>0.30504780400272263</x:v>
      </x:c>
      <x:c r="E13" s="304" t="n">
        <x:f>E6/'P3 Historical IS'!E23</x:f>
        <x:v>0.08712817483270466</x:v>
      </x:c>
      <x:c r="F13" s="304" t="n">
        <x:f>F6/'P3 Historical IS'!F23</x:f>
        <x:v>0.39517404573537124</x:v>
      </x:c>
      <x:c r="G13" s="304" t="n">
        <x:f>G6/'P3 Historical IS'!G23</x:f>
        <x:v>0.4592379051110272</x:v>
      </x:c>
      <x:c r="H13" s="303" t="str">
        <x:v>Model formula</x:v>
      </x:c>
      <x:c r="I13" s="303" t="str">
        <x:v>Model output</x:v>
      </x:c>
      <x:c r="J13" s="327" t="str">
        <x:v>2023 denominator includes the capital-transfer gain.</x:v>
      </x:c>
    </x:row>
    <x:row r="15" ht="21" customHeight="1">
      <x:c r="A15" s="286" t="str">
        <x:v>Carrying value and cash-realization context</x:v>
      </x:c>
      <x:c r="B15" s="286" t="str">
        <x:v>Carrying value and cash-realization context</x:v>
      </x:c>
      <x:c r="C15" s="286" t="str">
        <x:v>Carrying value and cash-realization context</x:v>
      </x:c>
      <x:c r="D15" s="286" t="str">
        <x:v>Carrying value and cash-realization context</x:v>
      </x:c>
      <x:c r="E15" s="286" t="str">
        <x:v>Carrying value and cash-realization context</x:v>
      </x:c>
      <x:c r="F15" s="286" t="str">
        <x:v>Carrying value and cash-realization context</x:v>
      </x:c>
      <x:c r="G15" s="286" t="str">
        <x:v>Carrying value and cash-realization context</x:v>
      </x:c>
      <x:c r="H15" s="286" t="str">
        <x:v>Carrying value and cash-realization context</x:v>
      </x:c>
      <x:c r="I15" s="286" t="str">
        <x:v>Carrying value and cash-realization context</x:v>
      </x:c>
      <x:c r="J15" s="286" t="str">
        <x:v>Carrying value and cash-realization context</x:v>
      </x:c>
    </x:row>
    <x:row r="16" ht="32" customHeight="1">
      <x:c r="A16" s="278" t="str">
        <x:v>Metric</x:v>
      </x:c>
      <x:c r="B16" s="278" t="str">
        <x:v>Unit</x:v>
      </x:c>
      <x:c r="C16" s="280" t="n">
        <x:v>44561</x:v>
      </x:c>
      <x:c r="D16" s="280" t="n">
        <x:v>44926</x:v>
      </x:c>
      <x:c r="E16" s="280" t="n">
        <x:v>45291</x:v>
      </x:c>
      <x:c r="F16" s="280" t="n">
        <x:v>45657</x:v>
      </x:c>
      <x:c r="G16" s="280" t="n">
        <x:v>46022</x:v>
      </x:c>
      <x:c r="H16" s="278" t="str">
        <x:v>Source ID</x:v>
      </x:c>
      <x:c r="I16" s="278" t="str">
        <x:v>Data class</x:v>
      </x:c>
      <x:c r="J16" s="278" t="str">
        <x:v>Audit note</x:v>
      </x:c>
    </x:row>
    <x:row r="17" ht="33" customHeight="1">
      <x:c r="A17" s="85" t="str">
        <x:v>Gemalink ending carrying value</x:v>
      </x:c>
      <x:c r="B17" s="86" t="str">
        <x:v>VND bn</x:v>
      </x:c>
      <x:c r="C17" s="287" t="n">
        <x:f>'Raw GMD Disclosures'!D16</x:f>
        <x:v>1479.375185</x:v>
      </x:c>
      <x:c r="D17" s="287" t="n">
        <x:f>'Raw GMD Disclosures'!E16</x:f>
        <x:v>1561.234701</x:v>
      </x:c>
      <x:c r="E17" s="287" t="n">
        <x:f>'Raw GMD Disclosures'!F16</x:f>
        <x:v>1578.376</x:v>
      </x:c>
      <x:c r="F17" s="287" t="n">
        <x:f>'Raw GMD Disclosures'!G16</x:f>
        <x:v>2127.153</x:v>
      </x:c>
      <x:c r="G17" s="287" t="n">
        <x:f>'Raw GMD Disclosures'!H16</x:f>
        <x:v>2953.963</x:v>
      </x:c>
      <x:c r="H17" s="86" t="str">
        <x:v>SRC-G11 / SRC-G10 / SRC-G08 / SRC-G01</x:v>
      </x:c>
      <x:c r="I17" s="86" t="str">
        <x:v>Linked issuer actual</x:v>
      </x:c>
      <x:c r="J17" s="87" t="str">
        <x:v>Equity-accounted ownership value.</x:v>
      </x:c>
    </x:row>
    <x:row r="18" ht="33" customHeight="1">
      <x:c r="A18" s="88" t="str">
        <x:v>SCS ending carrying value</x:v>
      </x:c>
      <x:c r="B18" s="89" t="str">
        <x:v>VND bn</x:v>
      </x:c>
      <x:c r="C18" s="288" t="n">
        <x:f>'Raw GMD Disclosures'!D17</x:f>
        <x:v>586.553348</x:v>
      </x:c>
      <x:c r="D18" s="288" t="n">
        <x:f>'Raw GMD Disclosures'!E17</x:f>
        <x:v>645.644165</x:v>
      </x:c>
      <x:c r="E18" s="288" t="n">
        <x:f>'Raw GMD Disclosures'!F17</x:f>
        <x:v>609.058</x:v>
      </x:c>
      <x:c r="F18" s="288" t="n">
        <x:f>'Raw GMD Disclosures'!G17</x:f>
        <x:v>625.168</x:v>
      </x:c>
      <x:c r="G18" s="288" t="n">
        <x:f>'Raw GMD Disclosures'!H17</x:f>
        <x:v>682.798</x:v>
      </x:c>
      <x:c r="H18" s="89" t="str">
        <x:v>SRC-G11 / SRC-G10 / SRC-G08 / SRC-G01</x:v>
      </x:c>
      <x:c r="I18" s="89" t="str">
        <x:v>Linked issuer actual</x:v>
      </x:c>
      <x:c r="J18" s="90" t="str">
        <x:v>Equity-accounted ownership value.</x:v>
      </x:c>
    </x:row>
    <x:row r="19" ht="33" customHeight="1">
      <x:c r="A19" s="88" t="str">
        <x:v>Interest, dividends and profits received</x:v>
      </x:c>
      <x:c r="B19" s="89" t="str">
        <x:v>VND bn</x:v>
      </x:c>
      <x:c r="C19" s="288" t="n">
        <x:f>'Raw GMD VNStock'!E177/'Raw GMD VNStock'!$B$3</x:f>
        <x:v>123.137777361</x:v>
      </x:c>
      <x:c r="D19" s="288" t="n">
        <x:f>'Raw GMD VNStock'!F177/'Raw GMD VNStock'!$B$3</x:f>
        <x:v>173.845190285</x:v>
      </x:c>
      <x:c r="E19" s="288" t="n">
        <x:f>'Raw GMD VNStock'!G177/'Raw GMD VNStock'!$B$3</x:f>
        <x:v>201.732982296</x:v>
      </x:c>
      <x:c r="F19" s="288" t="n">
        <x:f>'Raw GMD VNStock'!H177/'Raw GMD VNStock'!$B$3</x:f>
        <x:v>289.331414995</x:v>
      </x:c>
      <x:c r="G19" s="288" t="n">
        <x:f>'Raw GMD VNStock'!I177/'Raw GMD VNStock'!$B$3</x:f>
        <x:v>420.596164185</x:v>
      </x:c>
      <x:c r="H19" s="89" t="str">
        <x:v>SRC-API01</x:v>
      </x:c>
      <x:c r="I19" s="89" t="str">
        <x:v>Linked API cash flow</x:v>
      </x:c>
      <x:c r="J19" s="90" t="str">
        <x:v>Broader investing-cash-flow line; not equal to associate dividends alone.</x:v>
      </x:c>
    </x:row>
    <x:row r="20" ht="33" customHeight="1">
      <x:c r="A20" s="91" t="str">
        <x:v>Cash receipt / associate earnings</x:v>
      </x:c>
      <x:c r="B20" s="92" t="str">
        <x:v>%</x:v>
      </x:c>
      <x:c r="C20" s="110" t="n">
        <x:f>C19/C6</x:f>
        <x:v>0.5197579995699313</x:v>
      </x:c>
      <x:c r="D20" s="110" t="n">
        <x:f>D19/D6</x:f>
        <x:v>0.4355403225335243</x:v>
      </x:c>
      <x:c r="E20" s="110" t="n">
        <x:f>E19/E6</x:f>
        <x:v>0.7356213376230737</x:v>
      </x:c>
      <x:c r="F20" s="110" t="n">
        <x:f>F19/F6</x:f>
        <x:v>0.3488827642086918</x:v>
      </x:c>
      <x:c r="G20" s="110" t="n">
        <x:f>G19/G6</x:f>
        <x:v>0.3633159910395127</x:v>
      </x:c>
      <x:c r="H20" s="92" t="str">
        <x:v>Model formula</x:v>
      </x:c>
      <x:c r="I20" s="92" t="str">
        <x:v>Model proxy</x:v>
      </x:c>
      <x:c r="J20" s="93" t="str">
        <x:v>Directional only because numerator includes interest.</x:v>
      </x:c>
    </x:row>
    <x:row r="22" ht="25" customHeight="1">
      <x:c r="A22" s="342" t="str">
        <x:v>Why this matters for Phase 4: consolidated revenue alone misses Gemalink's economic contribution. Forecast consolidated ports, equity-accounted Gemalink/SCS earnings, NCI and cash distributions as separate analytical layers.</x:v>
      </x:c>
      <x:c r="B22" s="343" t="str">
        <x:v>Why this matters for Phase 4: consolidated revenue alone misses Gemalink's economic contribution. Forecast consolidated ports, equity-accounted Gemalink/SCS earnings, NCI and cash distributions as separate analytical layers.</x:v>
      </x:c>
      <x:c r="C22" s="343" t="str">
        <x:v>Why this matters for Phase 4: consolidated revenue alone misses Gemalink's economic contribution. Forecast consolidated ports, equity-accounted Gemalink/SCS earnings, NCI and cash distributions as separate analytical layers.</x:v>
      </x:c>
      <x:c r="D22" s="343" t="str">
        <x:v>Why this matters for Phase 4: consolidated revenue alone misses Gemalink's economic contribution. Forecast consolidated ports, equity-accounted Gemalink/SCS earnings, NCI and cash distributions as separate analytical layers.</x:v>
      </x:c>
      <x:c r="E22" s="343" t="str">
        <x:v>Why this matters for Phase 4: consolidated revenue alone misses Gemalink's economic contribution. Forecast consolidated ports, equity-accounted Gemalink/SCS earnings, NCI and cash distributions as separate analytical layers.</x:v>
      </x:c>
      <x:c r="F22" s="343" t="str">
        <x:v>Why this matters for Phase 4: consolidated revenue alone misses Gemalink's economic contribution. Forecast consolidated ports, equity-accounted Gemalink/SCS earnings, NCI and cash distributions as separate analytical layers.</x:v>
      </x:c>
      <x:c r="G22" s="343" t="str">
        <x:v>Why this matters for Phase 4: consolidated revenue alone misses Gemalink's economic contribution. Forecast consolidated ports, equity-accounted Gemalink/SCS earnings, NCI and cash distributions as separate analytical layers.</x:v>
      </x:c>
      <x:c r="H22" s="343" t="str">
        <x:v>Why this matters for Phase 4: consolidated revenue alone misses Gemalink's economic contribution. Forecast consolidated ports, equity-accounted Gemalink/SCS earnings, NCI and cash distributions as separate analytical layers.</x:v>
      </x:c>
      <x:c r="I22" s="343" t="str">
        <x:v>Why this matters for Phase 4: consolidated revenue alone misses Gemalink's economic contribution. Forecast consolidated ports, equity-accounted Gemalink/SCS earnings, NCI and cash distributions as separate analytical layers.</x:v>
      </x:c>
      <x:c r="J22" s="344" t="str">
        <x:v>Why this matters for Phase 4: consolidated revenue alone misses Gemalink's economic contribution. Forecast consolidated ports, equity-accounted Gemalink/SCS earnings, NCI and cash distributions as separate analytical layers.</x:v>
      </x:c>
    </x:row>
    <x:row r="23" ht="25" customHeight="1">
      <x:c r="A23" s="357" t="str">
        <x:v>Why this matters for Phase 4: consolidated revenue alone misses Gemalink's economic contribution. Forecast consolidated ports, equity-accounted Gemalink/SCS earnings, NCI and cash distributions as separate analytical layers.</x:v>
      </x:c>
      <x:c r="B23" s="358" t="str">
        <x:v>Why this matters for Phase 4: consolidated revenue alone misses Gemalink's economic contribution. Forecast consolidated ports, equity-accounted Gemalink/SCS earnings, NCI and cash distributions as separate analytical layers.</x:v>
      </x:c>
      <x:c r="C23" s="358" t="str">
        <x:v>Why this matters for Phase 4: consolidated revenue alone misses Gemalink's economic contribution. Forecast consolidated ports, equity-accounted Gemalink/SCS earnings, NCI and cash distributions as separate analytical layers.</x:v>
      </x:c>
      <x:c r="D23" s="358" t="str">
        <x:v>Why this matters for Phase 4: consolidated revenue alone misses Gemalink's economic contribution. Forecast consolidated ports, equity-accounted Gemalink/SCS earnings, NCI and cash distributions as separate analytical layers.</x:v>
      </x:c>
      <x:c r="E23" s="358" t="str">
        <x:v>Why this matters for Phase 4: consolidated revenue alone misses Gemalink's economic contribution. Forecast consolidated ports, equity-accounted Gemalink/SCS earnings, NCI and cash distributions as separate analytical layers.</x:v>
      </x:c>
      <x:c r="F23" s="358" t="str">
        <x:v>Why this matters for Phase 4: consolidated revenue alone misses Gemalink's economic contribution. Forecast consolidated ports, equity-accounted Gemalink/SCS earnings, NCI and cash distributions as separate analytical layers.</x:v>
      </x:c>
      <x:c r="G23" s="358" t="str">
        <x:v>Why this matters for Phase 4: consolidated revenue alone misses Gemalink's economic contribution. Forecast consolidated ports, equity-accounted Gemalink/SCS earnings, NCI and cash distributions as separate analytical layers.</x:v>
      </x:c>
      <x:c r="H23" s="358" t="str">
        <x:v>Why this matters for Phase 4: consolidated revenue alone misses Gemalink's economic contribution. Forecast consolidated ports, equity-accounted Gemalink/SCS earnings, NCI and cash distributions as separate analytical layers.</x:v>
      </x:c>
      <x:c r="I23" s="358" t="str">
        <x:v>Why this matters for Phase 4: consolidated revenue alone misses Gemalink's economic contribution. Forecast consolidated ports, equity-accounted Gemalink/SCS earnings, NCI and cash distributions as separate analytical layers.</x:v>
      </x:c>
      <x:c r="J23" s="359" t="str">
        <x:v>Why this matters for Phase 4: consolidated revenue alone misses Gemalink's economic contribution. Forecast consolidated ports, equity-accounted Gemalink/SCS earnings, NCI and cash distributions as separate analytical layers.</x:v>
      </x:c>
    </x:row>
    <x:row r="24" ht="25" customHeight="1">
      <x:c r="A24" s="345" t="str">
        <x:v>Why this matters for Phase 4: consolidated revenue alone misses Gemalink's economic contribution. Forecast consolidated ports, equity-accounted Gemalink/SCS earnings, NCI and cash distributions as separate analytical layers.</x:v>
      </x:c>
      <x:c r="B24" s="346" t="str">
        <x:v>Why this matters for Phase 4: consolidated revenue alone misses Gemalink's economic contribution. Forecast consolidated ports, equity-accounted Gemalink/SCS earnings, NCI and cash distributions as separate analytical layers.</x:v>
      </x:c>
      <x:c r="C24" s="346" t="str">
        <x:v>Why this matters for Phase 4: consolidated revenue alone misses Gemalink's economic contribution. Forecast consolidated ports, equity-accounted Gemalink/SCS earnings, NCI and cash distributions as separate analytical layers.</x:v>
      </x:c>
      <x:c r="D24" s="346" t="str">
        <x:v>Why this matters for Phase 4: consolidated revenue alone misses Gemalink's economic contribution. Forecast consolidated ports, equity-accounted Gemalink/SCS earnings, NCI and cash distributions as separate analytical layers.</x:v>
      </x:c>
      <x:c r="E24" s="346" t="str">
        <x:v>Why this matters for Phase 4: consolidated revenue alone misses Gemalink's economic contribution. Forecast consolidated ports, equity-accounted Gemalink/SCS earnings, NCI and cash distributions as separate analytical layers.</x:v>
      </x:c>
      <x:c r="F24" s="346" t="str">
        <x:v>Why this matters for Phase 4: consolidated revenue alone misses Gemalink's economic contribution. Forecast consolidated ports, equity-accounted Gemalink/SCS earnings, NCI and cash distributions as separate analytical layers.</x:v>
      </x:c>
      <x:c r="G24" s="346" t="str">
        <x:v>Why this matters for Phase 4: consolidated revenue alone misses Gemalink's economic contribution. Forecast consolidated ports, equity-accounted Gemalink/SCS earnings, NCI and cash distributions as separate analytical layers.</x:v>
      </x:c>
      <x:c r="H24" s="346" t="str">
        <x:v>Why this matters for Phase 4: consolidated revenue alone misses Gemalink's economic contribution. Forecast consolidated ports, equity-accounted Gemalink/SCS earnings, NCI and cash distributions as separate analytical layers.</x:v>
      </x:c>
      <x:c r="I24" s="346" t="str">
        <x:v>Why this matters for Phase 4: consolidated revenue alone misses Gemalink's economic contribution. Forecast consolidated ports, equity-accounted Gemalink/SCS earnings, NCI and cash distributions as separate analytical layers.</x:v>
      </x:c>
      <x:c r="J24" s="347" t="str">
        <x:v>Why this matters for Phase 4: consolidated revenue alone misses Gemalink's economic contribution. Forecast consolidated ports, equity-accounted Gemalink/SCS earnings, NCI and cash distributions as separate analytical layers.</x:v>
      </x:c>
    </x:row>
  </x:sheetData>
  <x:mergeCells>
    <x:mergeCell ref="A1:J1"/>
    <x:mergeCell ref="A2:J2"/>
    <x:mergeCell ref="A4:J4"/>
    <x:mergeCell ref="A15:J15"/>
    <x:mergeCell ref="A22:J24"/>
  </x:mergeCells>
  <x:pageMargins left="0.7" right="0.7" top="0.75" bottom="0.75" header="0.3" footer="0.3"/>
  <x:legacyDrawing xmlns:r="http://schemas.openxmlformats.org/officeDocument/2006/relationships" r:id="R7968753fc13f4035"/>
</x:worksheet>
</file>

<file path=xl/worksheets/sheet24.xml><?xml version="1.0" encoding="utf-8"?>
<x:worksheet xmlns:x="http://schemas.openxmlformats.org/spreadsheetml/2006/main">
  <x:sheetViews>
    <x:sheetView showGridLines="0" workbookViewId="0"/>
  </x:sheetViews>
  <x:sheetFormatPr defaultRowHeight="15"/>
  <x:cols>
    <x:col min="1" max="1" width="53" hidden="0" customWidth="1"/>
    <x:col min="2" max="2" width="15" hidden="0" customWidth="1"/>
    <x:col min="3" max="3" width="16" hidden="0" customWidth="1"/>
    <x:col min="4" max="4" width="16" hidden="0" customWidth="1"/>
    <x:col min="5" max="5" width="16" hidden="0" customWidth="1"/>
    <x:col min="6" max="6" width="16" hidden="0" customWidth="1"/>
    <x:col min="7" max="7" width="16" hidden="0" customWidth="1"/>
    <x:col min="8" max="8" width="34" hidden="0" customWidth="1"/>
    <x:col min="9" max="9" width="28" hidden="0" customWidth="1"/>
    <x:col min="10" max="10" width="70" hidden="0" customWidth="1"/>
  </x:cols>
  <x:sheetData>
    <x:row r="1" ht="30" customHeight="1">
      <x:c r="A1" s="264" t="str">
        <x:v>Phase 3 — Five-Year Cash Flow &amp; Reinvestment Bridge</x:v>
      </x:c>
      <x:c r="B1" s="264" t="str">
        <x:v>Phase 3 — Five-Year Cash Flow &amp; Reinvestment Bridge</x:v>
      </x:c>
      <x:c r="C1" s="264" t="str">
        <x:v>Phase 3 — Five-Year Cash Flow &amp; Reinvestment Bridge</x:v>
      </x:c>
      <x:c r="D1" s="264" t="str">
        <x:v>Phase 3 — Five-Year Cash Flow &amp; Reinvestment Bridge</x:v>
      </x:c>
      <x:c r="E1" s="264" t="str">
        <x:v>Phase 3 — Five-Year Cash Flow &amp; Reinvestment Bridge</x:v>
      </x:c>
      <x:c r="F1" s="264" t="str">
        <x:v>Phase 3 — Five-Year Cash Flow &amp; Reinvestment Bridge</x:v>
      </x:c>
      <x:c r="G1" s="264" t="str">
        <x:v>Phase 3 — Five-Year Cash Flow &amp; Reinvestment Bridge</x:v>
      </x:c>
      <x:c r="H1" s="264" t="str">
        <x:v>Phase 3 — Five-Year Cash Flow &amp; Reinvestment Bridge</x:v>
      </x:c>
      <x:c r="I1" s="264" t="str">
        <x:v>Phase 3 — Five-Year Cash Flow &amp; Reinvestment Bridge</x:v>
      </x:c>
      <x:c r="J1" s="264" t="str">
        <x:v>Phase 3 — Five-Year Cash Flow &amp; Reinvestment Bridge</x:v>
      </x:c>
    </x:row>
    <x:row r="2" ht="34" customHeight="1">
      <x:c r="A2" s="268" t="str">
        <x:v>VND bn. Historical FCF proxy is CFO less cash purchases of fixed assets and other long-term assets from the VNStock cash-flow statement. It is not valuation FCF.</x:v>
      </x:c>
      <x:c r="B2" s="268" t="str">
        <x:v>VND bn. Historical FCF proxy is CFO less cash purchases of fixed assets and other long-term assets from the VNStock cash-flow statement. It is not valuation FCF.</x:v>
      </x:c>
      <x:c r="C2" s="268" t="str">
        <x:v>VND bn. Historical FCF proxy is CFO less cash purchases of fixed assets and other long-term assets from the VNStock cash-flow statement. It is not valuation FCF.</x:v>
      </x:c>
      <x:c r="D2" s="268" t="str">
        <x:v>VND bn. Historical FCF proxy is CFO less cash purchases of fixed assets and other long-term assets from the VNStock cash-flow statement. It is not valuation FCF.</x:v>
      </x:c>
      <x:c r="E2" s="268" t="str">
        <x:v>VND bn. Historical FCF proxy is CFO less cash purchases of fixed assets and other long-term assets from the VNStock cash-flow statement. It is not valuation FCF.</x:v>
      </x:c>
      <x:c r="F2" s="268" t="str">
        <x:v>VND bn. Historical FCF proxy is CFO less cash purchases of fixed assets and other long-term assets from the VNStock cash-flow statement. It is not valuation FCF.</x:v>
      </x:c>
      <x:c r="G2" s="268" t="str">
        <x:v>VND bn. Historical FCF proxy is CFO less cash purchases of fixed assets and other long-term assets from the VNStock cash-flow statement. It is not valuation FCF.</x:v>
      </x:c>
      <x:c r="H2" s="268" t="str">
        <x:v>VND bn. Historical FCF proxy is CFO less cash purchases of fixed assets and other long-term assets from the VNStock cash-flow statement. It is not valuation FCF.</x:v>
      </x:c>
      <x:c r="I2" s="268" t="str">
        <x:v>VND bn. Historical FCF proxy is CFO less cash purchases of fixed assets and other long-term assets from the VNStock cash-flow statement. It is not valuation FCF.</x:v>
      </x:c>
      <x:c r="J2" s="268" t="str">
        <x:v>VND bn. Historical FCF proxy is CFO less cash purchases of fixed assets and other long-term assets from the VNStock cash-flow statement. It is not valuation FCF.</x:v>
      </x:c>
    </x:row>
    <x:row r="4" ht="21" customHeight="1">
      <x:c r="A4" s="286" t="str">
        <x:v>Cash generation and cash reinvestment</x:v>
      </x:c>
      <x:c r="B4" s="286" t="str">
        <x:v>Cash generation and cash reinvestment</x:v>
      </x:c>
      <x:c r="C4" s="286" t="str">
        <x:v>Cash generation and cash reinvestment</x:v>
      </x:c>
      <x:c r="D4" s="286" t="str">
        <x:v>Cash generation and cash reinvestment</x:v>
      </x:c>
      <x:c r="E4" s="286" t="str">
        <x:v>Cash generation and cash reinvestment</x:v>
      </x:c>
      <x:c r="F4" s="286" t="str">
        <x:v>Cash generation and cash reinvestment</x:v>
      </x:c>
      <x:c r="G4" s="286" t="str">
        <x:v>Cash generation and cash reinvestment</x:v>
      </x:c>
      <x:c r="H4" s="286" t="str">
        <x:v>Cash generation and cash reinvestment</x:v>
      </x:c>
      <x:c r="I4" s="286" t="str">
        <x:v>Cash generation and cash reinvestment</x:v>
      </x:c>
      <x:c r="J4" s="286" t="str">
        <x:v>Cash generation and cash reinvestment</x:v>
      </x:c>
    </x:row>
    <x:row r="5" ht="32" customHeight="1">
      <x:c r="A5" s="278" t="str">
        <x:v>Metric</x:v>
      </x:c>
      <x:c r="B5" s="278" t="str">
        <x:v>Unit</x:v>
      </x:c>
      <x:c r="C5" s="280" t="n">
        <x:v>44561</x:v>
      </x:c>
      <x:c r="D5" s="280" t="n">
        <x:v>44926</x:v>
      </x:c>
      <x:c r="E5" s="280" t="n">
        <x:v>45291</x:v>
      </x:c>
      <x:c r="F5" s="280" t="n">
        <x:v>45657</x:v>
      </x:c>
      <x:c r="G5" s="280" t="n">
        <x:v>46022</x:v>
      </x:c>
      <x:c r="H5" s="278" t="str">
        <x:v>Source ID</x:v>
      </x:c>
      <x:c r="I5" s="278" t="str">
        <x:v>Data class</x:v>
      </x:c>
      <x:c r="J5" s="278" t="str">
        <x:v>Audit note</x:v>
      </x:c>
    </x:row>
    <x:row r="6" ht="32" customHeight="1">
      <x:c r="A6" s="85" t="str">
        <x:v>Net cash flow from operating activities</x:v>
      </x:c>
      <x:c r="B6" s="86" t="str">
        <x:v>VND bn</x:v>
      </x:c>
      <x:c r="C6" s="287" t="n">
        <x:f>'Raw GMD VNStock'!E170/'Raw GMD VNStock'!$B$3</x:f>
        <x:v>964.817116119</x:v>
      </x:c>
      <x:c r="D6" s="287" t="n">
        <x:f>'Raw GMD VNStock'!F170/'Raw GMD VNStock'!$B$3</x:f>
        <x:v>2299.239828019</x:v>
      </x:c>
      <x:c r="E6" s="287" t="n">
        <x:f>'Raw GMD VNStock'!G170/'Raw GMD VNStock'!$B$3</x:f>
        <x:v>-2.870318244</x:v>
      </x:c>
      <x:c r="F6" s="287" t="n">
        <x:f>'Raw GMD VNStock'!H170/'Raw GMD VNStock'!$B$3</x:f>
        <x:v>1526.822551805</x:v>
      </x:c>
      <x:c r="G6" s="287" t="n">
        <x:f>'Raw GMD VNStock'!I170/'Raw GMD VNStock'!$B$3</x:f>
        <x:v>2142.022560788</x:v>
      </x:c>
      <x:c r="H6" s="86" t="str">
        <x:v>SRC-API01</x:v>
      </x:c>
      <x:c r="I6" s="86" t="str">
        <x:v>Linked API actual</x:v>
      </x:c>
      <x:c r="J6" s="87" t="str">
        <x:v>Audited net operating cash flow.</x:v>
      </x:c>
    </x:row>
    <x:row r="7" ht="32" customHeight="1">
      <x:c r="A7" s="88" t="str">
        <x:v>D&amp;A from cash flow statement</x:v>
      </x:c>
      <x:c r="B7" s="89" t="str">
        <x:v>VND bn</x:v>
      </x:c>
      <x:c r="C7" s="288" t="n">
        <x:f>'Raw GMD VNStock'!E154/'Raw GMD VNStock'!$B$3</x:f>
        <x:v>379.546125928</x:v>
      </x:c>
      <x:c r="D7" s="288" t="n">
        <x:f>'Raw GMD VNStock'!F154/'Raw GMD VNStock'!$B$3</x:f>
        <x:v>393.185025852</x:v>
      </x:c>
      <x:c r="E7" s="288" t="n">
        <x:f>'Raw GMD VNStock'!G154/'Raw GMD VNStock'!$B$3</x:f>
        <x:v>396.417877879</x:v>
      </x:c>
      <x:c r="F7" s="288" t="n">
        <x:f>'Raw GMD VNStock'!H154/'Raw GMD VNStock'!$B$3</x:f>
        <x:v>405.544194113</x:v>
      </x:c>
      <x:c r="G7" s="288" t="n">
        <x:f>'Raw GMD VNStock'!I154/'Raw GMD VNStock'!$B$3</x:f>
        <x:v>415.219036556</x:v>
      </x:c>
      <x:c r="H7" s="89" t="str">
        <x:v>SRC-API01</x:v>
      </x:c>
      <x:c r="I7" s="89" t="str">
        <x:v>Linked API actual</x:v>
      </x:c>
      <x:c r="J7" s="90" t="str">
        <x:v>Depreciation and amortization.</x:v>
      </x:c>
    </x:row>
    <x:row r="8" ht="32" customHeight="1">
      <x:c r="A8" s="88" t="str">
        <x:v>Cash purchases of fixed assets and other long-term assets</x:v>
      </x:c>
      <x:c r="B8" s="89" t="str">
        <x:v>VND bn</x:v>
      </x:c>
      <x:c r="C8" s="288" t="n">
        <x:f>-'Raw GMD VNStock'!E171/'Raw GMD VNStock'!$B$3</x:f>
        <x:v>586.166126553</x:v>
      </x:c>
      <x:c r="D8" s="288" t="n">
        <x:f>-'Raw GMD VNStock'!F171/'Raw GMD VNStock'!$B$3</x:f>
        <x:v>1365.689144155</x:v>
      </x:c>
      <x:c r="E8" s="288" t="n">
        <x:f>-'Raw GMD VNStock'!G171/'Raw GMD VNStock'!$B$3</x:f>
        <x:v>1177.219493538</x:v>
      </x:c>
      <x:c r="F8" s="288" t="n">
        <x:f>-'Raw GMD VNStock'!H171/'Raw GMD VNStock'!$B$3</x:f>
        <x:v>1479.931826076</x:v>
      </x:c>
      <x:c r="G8" s="288" t="n">
        <x:f>-'Raw GMD VNStock'!I171/'Raw GMD VNStock'!$B$3</x:f>
        <x:v>1676.123112351</x:v>
      </x:c>
      <x:c r="H8" s="89" t="str">
        <x:v>SRC-API01</x:v>
      </x:c>
      <x:c r="I8" s="89" t="str">
        <x:v>Linked API actual</x:v>
      </x:c>
      <x:c r="J8" s="90" t="str">
        <x:v>API cash-outflow sign is reversed for presentation.</x:v>
      </x:c>
    </x:row>
    <x:row r="9" ht="32" customHeight="1">
      <x:c r="A9" s="299" t="str">
        <x:v>Historical FCF proxy</x:v>
      </x:c>
      <x:c r="B9" s="300" t="str">
        <x:v>VND bn</x:v>
      </x:c>
      <x:c r="C9" s="301" t="n">
        <x:f>C6-C8</x:f>
        <x:v>378.650989566</x:v>
      </x:c>
      <x:c r="D9" s="301" t="n">
        <x:f>D6-D8</x:f>
        <x:v>933.5506838640001</x:v>
      </x:c>
      <x:c r="E9" s="301" t="n">
        <x:f>E6-E8</x:f>
        <x:v>-1180.089811782</x:v>
      </x:c>
      <x:c r="F9" s="301" t="n">
        <x:f>F6-F8</x:f>
        <x:v>46.890725728999996</x:v>
      </x:c>
      <x:c r="G9" s="301" t="n">
        <x:f>G6-G8</x:f>
        <x:v>465.8994484370003</x:v>
      </x:c>
      <x:c r="H9" s="300" t="str">
        <x:v>Model formula</x:v>
      </x:c>
      <x:c r="I9" s="300" t="str">
        <x:v>Model output</x:v>
      </x:c>
      <x:c r="J9" s="300" t="str">
        <x:v>CFO less cash purchases of fixed and other long-term assets.</x:v>
      </x:c>
    </x:row>
    <x:row r="10" ht="32" customHeight="1">
      <x:c r="A10" s="294" t="str">
        <x:v>CFO / PAT</x:v>
      </x:c>
      <x:c r="B10" s="295" t="str">
        <x:v>%</x:v>
      </x:c>
      <x:c r="C10" s="298" t="n">
        <x:f>C6/'P3 Historical IS'!C41</x:f>
        <x:v>1.3389789667742797</x:v>
      </x:c>
      <x:c r="D10" s="298" t="n">
        <x:f>D6/'P3 Historical IS'!D41</x:f>
        <x:v>1.9798950394044708</x:v>
      </x:c>
      <x:c r="E10" s="298" t="n">
        <x:f>E6/'P3 Historical IS'!E41</x:f>
        <x:v>-0.0011327516679060844</x:v>
      </x:c>
      <x:c r="F10" s="298" t="n">
        <x:f>F6/'P3 Historical IS'!F41</x:f>
        <x:v>0.7937386471511793</x:v>
      </x:c>
      <x:c r="G10" s="298" t="n">
        <x:f>G6/'P3 Historical IS'!G41</x:f>
        <x:v>0.9302935918891567</x:v>
      </x:c>
      <x:c r="H10" s="295" t="str">
        <x:v>Model formula</x:v>
      </x:c>
      <x:c r="I10" s="295" t="str">
        <x:v>Model output</x:v>
      </x:c>
      <x:c r="J10" s="295" t="str">
        <x:v>Cash-conversion metric.</x:v>
      </x:c>
    </x:row>
    <x:row r="11" ht="32" customHeight="1">
      <x:c r="A11" s="294" t="str">
        <x:v>Cash reinvestment / revenue</x:v>
      </x:c>
      <x:c r="B11" s="295" t="str">
        <x:v>%</x:v>
      </x:c>
      <x:c r="C11" s="298" t="n">
        <x:f>C8/'P3 Historical IS'!C6</x:f>
        <x:v>0.1828175543469946</x:v>
      </x:c>
      <x:c r="D11" s="298" t="n">
        <x:f>D8/'P3 Historical IS'!D6</x:f>
        <x:v>0.350334479136356</x:v>
      </x:c>
      <x:c r="E11" s="298" t="n">
        <x:f>E8/'P3 Historical IS'!E6</x:f>
        <x:v>0.30610313694837077</x:v>
      </x:c>
      <x:c r="F11" s="298" t="n">
        <x:f>F8/'P3 Historical IS'!F6</x:f>
        <x:v>0.3062757100075771</x:v>
      </x:c>
      <x:c r="G11" s="298" t="n">
        <x:f>G8/'P3 Historical IS'!G6</x:f>
        <x:v>0.2814163857213682</x:v>
      </x:c>
      <x:c r="H11" s="295" t="str">
        <x:v>Model formula</x:v>
      </x:c>
      <x:c r="I11" s="295" t="str">
        <x:v>Model output</x:v>
      </x:c>
      <x:c r="J11" s="295" t="str">
        <x:v>Cash purchases divided by consolidated revenue.</x:v>
      </x:c>
    </x:row>
    <x:row r="12" ht="32" customHeight="1">
      <x:c r="A12" s="302" t="str">
        <x:v>FCF proxy / core EBITDA proxy</x:v>
      </x:c>
      <x:c r="B12" s="303" t="str">
        <x:v>%</x:v>
      </x:c>
      <x:c r="C12" s="304" t="n">
        <x:f>C9/'P3 Historical IS'!C33</x:f>
        <x:v>0.29015155119377384</x:v>
      </x:c>
      <x:c r="D12" s="304" t="n">
        <x:f>D9/'P3 Historical IS'!D33</x:f>
        <x:v>0.5094632627268908</x:v>
      </x:c>
      <x:c r="E12" s="304" t="n">
        <x:f>E9/'P3 Historical IS'!E33</x:f>
        <x:v>-0.6419074957472556</x:v>
      </x:c>
      <x:c r="F12" s="304" t="n">
        <x:f>F9/'P3 Historical IS'!F33</x:f>
        <x:v>0.02015910867018883</x:v>
      </x:c>
      <x:c r="G12" s="304" t="n">
        <x:f>G9/'P3 Historical IS'!G33</x:f>
        <x:v>0.15282272356813117</x:v>
      </x:c>
      <x:c r="H12" s="303" t="str">
        <x:v>Model formula</x:v>
      </x:c>
      <x:c r="I12" s="303" t="str">
        <x:v>Model output</x:v>
      </x:c>
      <x:c r="J12" s="303" t="str">
        <x:v>Cash retained after investment.</x:v>
      </x:c>
    </x:row>
    <x:row r="14" ht="21" customHeight="1">
      <x:c r="A14" s="286" t="str">
        <x:v>CFO reconstruction from raw cash-flow components</x:v>
      </x:c>
      <x:c r="B14" s="286" t="str">
        <x:v>CFO reconstruction from raw cash-flow components</x:v>
      </x:c>
      <x:c r="C14" s="286" t="str">
        <x:v>CFO reconstruction from raw cash-flow components</x:v>
      </x:c>
      <x:c r="D14" s="286" t="str">
        <x:v>CFO reconstruction from raw cash-flow components</x:v>
      </x:c>
      <x:c r="E14" s="286" t="str">
        <x:v>CFO reconstruction from raw cash-flow components</x:v>
      </x:c>
      <x:c r="F14" s="286" t="str">
        <x:v>CFO reconstruction from raw cash-flow components</x:v>
      </x:c>
      <x:c r="G14" s="286" t="str">
        <x:v>CFO reconstruction from raw cash-flow components</x:v>
      </x:c>
      <x:c r="H14" s="286" t="str">
        <x:v>CFO reconstruction from raw cash-flow components</x:v>
      </x:c>
      <x:c r="I14" s="286" t="str">
        <x:v>CFO reconstruction from raw cash-flow components</x:v>
      </x:c>
      <x:c r="J14" s="286" t="str">
        <x:v>CFO reconstruction from raw cash-flow components</x:v>
      </x:c>
    </x:row>
    <x:row r="15" ht="32" customHeight="1">
      <x:c r="A15" s="278" t="str">
        <x:v>Metric</x:v>
      </x:c>
      <x:c r="B15" s="278" t="str">
        <x:v>Unit</x:v>
      </x:c>
      <x:c r="C15" s="280" t="n">
        <x:v>44561</x:v>
      </x:c>
      <x:c r="D15" s="280" t="n">
        <x:v>44926</x:v>
      </x:c>
      <x:c r="E15" s="280" t="n">
        <x:v>45291</x:v>
      </x:c>
      <x:c r="F15" s="280" t="n">
        <x:v>45657</x:v>
      </x:c>
      <x:c r="G15" s="280" t="n">
        <x:v>46022</x:v>
      </x:c>
      <x:c r="H15" s="278" t="str">
        <x:v>Source ID</x:v>
      </x:c>
      <x:c r="I15" s="278" t="str">
        <x:v>Data class</x:v>
      </x:c>
      <x:c r="J15" s="278" t="str">
        <x:v>Audit note</x:v>
      </x:c>
    </x:row>
    <x:row r="16" ht="29" customHeight="1">
      <x:c r="A16" s="85" t="str">
        <x:v>Reported PBT</x:v>
      </x:c>
      <x:c r="B16" s="86" t="str">
        <x:v>VND bn</x:v>
      </x:c>
      <x:c r="C16" s="287" t="n">
        <x:f>'Raw GMD VNStock'!E153/'Raw GMD VNStock'!$B$3</x:f>
        <x:v>806.212155016</x:v>
      </x:c>
      <x:c r="D16" s="287" t="n">
        <x:f>'Raw GMD VNStock'!F153/'Raw GMD VNStock'!$B$3</x:f>
        <x:v>1308.477949805</x:v>
      </x:c>
      <x:c r="E16" s="287" t="n">
        <x:f>'Raw GMD VNStock'!G153/'Raw GMD VNStock'!$B$3</x:f>
        <x:v>3147.487212943</x:v>
      </x:c>
      <x:c r="F16" s="287" t="n">
        <x:f>'Raw GMD VNStock'!H153/'Raw GMD VNStock'!$B$3</x:f>
        <x:v>2098.590309616</x:v>
      </x:c>
      <x:c r="G16" s="287" t="n">
        <x:f>'Raw GMD VNStock'!I153/'Raw GMD VNStock'!$B$3</x:f>
        <x:v>2520.82714659</x:v>
      </x:c>
      <x:c r="H16" s="86" t="str">
        <x:v>SRC-API01</x:v>
      </x:c>
      <x:c r="I16" s="86" t="str">
        <x:v>Linked API actual</x:v>
      </x:c>
      <x:c r="J16" s="87" t="str">
        <x:v>Cash-flow statement starting point.</x:v>
      </x:c>
    </x:row>
    <x:row r="17" ht="29" customHeight="1">
      <x:c r="A17" s="88" t="str">
        <x:v>D&amp;A adjustment</x:v>
      </x:c>
      <x:c r="B17" s="89" t="str">
        <x:v>VND bn</x:v>
      </x:c>
      <x:c r="C17" s="288" t="n">
        <x:f>'Raw GMD VNStock'!E154/'Raw GMD VNStock'!$B$3</x:f>
        <x:v>379.546125928</x:v>
      </x:c>
      <x:c r="D17" s="288" t="n">
        <x:f>'Raw GMD VNStock'!F154/'Raw GMD VNStock'!$B$3</x:f>
        <x:v>393.185025852</x:v>
      </x:c>
      <x:c r="E17" s="288" t="n">
        <x:f>'Raw GMD VNStock'!G154/'Raw GMD VNStock'!$B$3</x:f>
        <x:v>396.417877879</x:v>
      </x:c>
      <x:c r="F17" s="288" t="n">
        <x:f>'Raw GMD VNStock'!H154/'Raw GMD VNStock'!$B$3</x:f>
        <x:v>405.544194113</x:v>
      </x:c>
      <x:c r="G17" s="288" t="n">
        <x:f>'Raw GMD VNStock'!I154/'Raw GMD VNStock'!$B$3</x:f>
        <x:v>415.219036556</x:v>
      </x:c>
      <x:c r="H17" s="89" t="str">
        <x:v>SRC-API01</x:v>
      </x:c>
      <x:c r="I17" s="89" t="str">
        <x:v>Linked API actual</x:v>
      </x:c>
      <x:c r="J17" s="90" t="str">
        <x:v>Non-cash add-back.</x:v>
      </x:c>
    </x:row>
    <x:row r="18" ht="29" customHeight="1">
      <x:c r="A18" s="88" t="str">
        <x:v>Provisions and allowances</x:v>
      </x:c>
      <x:c r="B18" s="89" t="str">
        <x:v>VND bn</x:v>
      </x:c>
      <x:c r="C18" s="288" t="n">
        <x:f>'Raw GMD VNStock'!E155/'Raw GMD VNStock'!$B$3</x:f>
        <x:v>101.005425598</x:v>
      </x:c>
      <x:c r="D18" s="288" t="n">
        <x:f>'Raw GMD VNStock'!F155/'Raw GMD VNStock'!$B$3</x:f>
        <x:v>-26.270725784</x:v>
      </x:c>
      <x:c r="E18" s="288" t="n">
        <x:f>'Raw GMD VNStock'!G155/'Raw GMD VNStock'!$B$3</x:f>
        <x:v>-22.060823541</x:v>
      </x:c>
      <x:c r="F18" s="288" t="n">
        <x:f>'Raw GMD VNStock'!H155/'Raw GMD VNStock'!$B$3</x:f>
        <x:v>102.796790751</x:v>
      </x:c>
      <x:c r="G18" s="288" t="n">
        <x:f>'Raw GMD VNStock'!I155/'Raw GMD VNStock'!$B$3</x:f>
        <x:v>-14.128589765</x:v>
      </x:c>
      <x:c r="H18" s="89" t="str">
        <x:v>SRC-API01</x:v>
      </x:c>
      <x:c r="I18" s="89" t="str">
        <x:v>Linked API actual</x:v>
      </x:c>
      <x:c r="J18" s="90" t="str">
        <x:v>Signed cash-flow statement adjustment.</x:v>
      </x:c>
    </x:row>
    <x:row r="19" ht="29" customHeight="1">
      <x:c r="A19" s="88" t="str">
        <x:v>FX revaluation</x:v>
      </x:c>
      <x:c r="B19" s="89" t="str">
        <x:v>VND bn</x:v>
      </x:c>
      <x:c r="C19" s="288" t="n">
        <x:f>'Raw GMD VNStock'!E156/'Raw GMD VNStock'!$B$3</x:f>
        <x:v>-1.291611011</x:v>
      </x:c>
      <x:c r="D19" s="288" t="n">
        <x:f>'Raw GMD VNStock'!F156/'Raw GMD VNStock'!$B$3</x:f>
        <x:v>6.99639376</x:v>
      </x:c>
      <x:c r="E19" s="288" t="n">
        <x:f>'Raw GMD VNStock'!G156/'Raw GMD VNStock'!$B$3</x:f>
        <x:v>-2.630513181</x:v>
      </x:c>
      <x:c r="F19" s="288" t="n">
        <x:f>'Raw GMD VNStock'!H156/'Raw GMD VNStock'!$B$3</x:f>
        <x:v>-4.65838601</x:v>
      </x:c>
      <x:c r="G19" s="288" t="n">
        <x:f>'Raw GMD VNStock'!I156/'Raw GMD VNStock'!$B$3</x:f>
        <x:v>-10.877884553</x:v>
      </x:c>
      <x:c r="H19" s="89" t="str">
        <x:v>SRC-API01</x:v>
      </x:c>
      <x:c r="I19" s="89" t="str">
        <x:v>Linked API actual</x:v>
      </x:c>
      <x:c r="J19" s="90" t="str">
        <x:v>Signed cash-flow statement adjustment.</x:v>
      </x:c>
    </x:row>
    <x:row r="20" ht="29" customHeight="1">
      <x:c r="A20" s="88" t="str">
        <x:v>Profit/loss from liquidating fixed assets</x:v>
      </x:c>
      <x:c r="B20" s="89" t="str">
        <x:v>VND bn</x:v>
      </x:c>
      <x:c r="C20" s="288" t="n">
        <x:f>'Raw GMD VNStock'!E157/'Raw GMD VNStock'!$B$3</x:f>
        <x:v>0</x:v>
      </x:c>
      <x:c r="D20" s="288" t="n">
        <x:f>'Raw GMD VNStock'!F157/'Raw GMD VNStock'!$B$3</x:f>
        <x:v>0</x:v>
      </x:c>
      <x:c r="E20" s="288" t="n">
        <x:f>'Raw GMD VNStock'!G157/'Raw GMD VNStock'!$B$3</x:f>
        <x:v>0</x:v>
      </x:c>
      <x:c r="F20" s="288" t="n">
        <x:f>'Raw GMD VNStock'!H157/'Raw GMD VNStock'!$B$3</x:f>
        <x:v>0</x:v>
      </x:c>
      <x:c r="G20" s="288" t="n">
        <x:f>'Raw GMD VNStock'!I157/'Raw GMD VNStock'!$B$3</x:f>
        <x:v>0</x:v>
      </x:c>
      <x:c r="H20" s="89" t="str">
        <x:v>SRC-API01</x:v>
      </x:c>
      <x:c r="I20" s="89" t="str">
        <x:v>Linked API actual</x:v>
      </x:c>
      <x:c r="J20" s="90" t="str">
        <x:v>Signed cash-flow statement adjustment.</x:v>
      </x:c>
    </x:row>
    <x:row r="21" ht="29" customHeight="1">
      <x:c r="A21" s="88" t="str">
        <x:v>Profit/loss from investing activities</x:v>
      </x:c>
      <x:c r="B21" s="89" t="str">
        <x:v>VND bn</x:v>
      </x:c>
      <x:c r="C21" s="288" t="n">
        <x:f>'Raw GMD VNStock'!E158/'Raw GMD VNStock'!$B$3</x:f>
        <x:v>-193.556811497</x:v>
      </x:c>
      <x:c r="D21" s="288" t="n">
        <x:f>'Raw GMD VNStock'!F158/'Raw GMD VNStock'!$B$3</x:f>
        <x:v>-412.441183177</x:v>
      </x:c>
      <x:c r="E21" s="288" t="n">
        <x:f>'Raw GMD VNStock'!G158/'Raw GMD VNStock'!$B$3</x:f>
        <x:v>-2213.005870827</x:v>
      </x:c>
      <x:c r="F21" s="288" t="n">
        <x:f>'Raw GMD VNStock'!H158/'Raw GMD VNStock'!$B$3</x:f>
        <x:v>-823.434453484</x:v>
      </x:c>
      <x:c r="G21" s="288" t="n">
        <x:f>'Raw GMD VNStock'!I158/'Raw GMD VNStock'!$B$3</x:f>
        <x:v>-945.387787283</x:v>
      </x:c>
      <x:c r="H21" s="89" t="str">
        <x:v>SRC-API01</x:v>
      </x:c>
      <x:c r="I21" s="89" t="str">
        <x:v>Linked API actual</x:v>
      </x:c>
      <x:c r="J21" s="90" t="str">
        <x:v>Removes non-operating investing gains from CFO.</x:v>
      </x:c>
    </x:row>
    <x:row r="22" ht="29" customHeight="1">
      <x:c r="A22" s="88" t="str">
        <x:v>Interest expense adjustment</x:v>
      </x:c>
      <x:c r="B22" s="89" t="str">
        <x:v>VND bn</x:v>
      </x:c>
      <x:c r="C22" s="288" t="n">
        <x:f>'Raw GMD VNStock'!E159/'Raw GMD VNStock'!$B$3</x:f>
        <x:v>119.252955378</x:v>
      </x:c>
      <x:c r="D22" s="288" t="n">
        <x:f>'Raw GMD VNStock'!F159/'Raw GMD VNStock'!$B$3</x:f>
        <x:v>130.756997659</x:v>
      </x:c>
      <x:c r="E22" s="288" t="n">
        <x:f>'Raw GMD VNStock'!G159/'Raw GMD VNStock'!$B$3</x:f>
        <x:v>134.993138662</x:v>
      </x:c>
      <x:c r="F22" s="288" t="n">
        <x:f>'Raw GMD VNStock'!H159/'Raw GMD VNStock'!$B$3</x:f>
        <x:v>139.487501839</x:v>
      </x:c>
      <x:c r="G22" s="288" t="n">
        <x:f>'Raw GMD VNStock'!I159/'Raw GMD VNStock'!$B$3</x:f>
        <x:v>112.580748513</x:v>
      </x:c>
      <x:c r="H22" s="89" t="str">
        <x:v>SRC-API01</x:v>
      </x:c>
      <x:c r="I22" s="89" t="str">
        <x:v>Linked API actual</x:v>
      </x:c>
      <x:c r="J22" s="90" t="str">
        <x:v>Cash-flow statement adjustment.</x:v>
      </x:c>
    </x:row>
    <x:row r="23" ht="29" customHeight="1">
      <x:c r="A23" s="88" t="str">
        <x:v>Interest income and dividend adjustment</x:v>
      </x:c>
      <x:c r="B23" s="89" t="str">
        <x:v>VND bn</x:v>
      </x:c>
      <x:c r="C23" s="288" t="n">
        <x:f>'Raw GMD VNStock'!E160/'Raw GMD VNStock'!$B$3</x:f>
        <x:v>0</x:v>
      </x:c>
      <x:c r="D23" s="288" t="n">
        <x:f>'Raw GMD VNStock'!F160/'Raw GMD VNStock'!$B$3</x:f>
        <x:v>0</x:v>
      </x:c>
      <x:c r="E23" s="288" t="n">
        <x:f>'Raw GMD VNStock'!G160/'Raw GMD VNStock'!$B$3</x:f>
        <x:v>0</x:v>
      </x:c>
      <x:c r="F23" s="288" t="n">
        <x:f>'Raw GMD VNStock'!H160/'Raw GMD VNStock'!$B$3</x:f>
        <x:v>0</x:v>
      </x:c>
      <x:c r="G23" s="288" t="n">
        <x:f>'Raw GMD VNStock'!I160/'Raw GMD VNStock'!$B$3</x:f>
        <x:v>0</x:v>
      </x:c>
      <x:c r="H23" s="89" t="str">
        <x:v>SRC-API01</x:v>
      </x:c>
      <x:c r="I23" s="89" t="str">
        <x:v>Linked API actual</x:v>
      </x:c>
      <x:c r="J23" s="90" t="str">
        <x:v>Signed cash-flow statement adjustment.</x:v>
      </x:c>
    </x:row>
    <x:row r="24" ht="29" customHeight="1">
      <x:c r="A24" s="88" t="str">
        <x:v>Goodwill amortization</x:v>
      </x:c>
      <x:c r="B24" s="89" t="str">
        <x:v>VND bn</x:v>
      </x:c>
      <x:c r="C24" s="288" t="n">
        <x:f>'Raw GMD VNStock'!E191/'Raw GMD VNStock'!$B$3</x:f>
        <x:v>0</x:v>
      </x:c>
      <x:c r="D24" s="288" t="n">
        <x:f>'Raw GMD VNStock'!F191/'Raw GMD VNStock'!$B$3</x:f>
        <x:v>0</x:v>
      </x:c>
      <x:c r="E24" s="288" t="n">
        <x:f>'Raw GMD VNStock'!G191/'Raw GMD VNStock'!$B$3</x:f>
        <x:v>0</x:v>
      </x:c>
      <x:c r="F24" s="288" t="n">
        <x:f>'Raw GMD VNStock'!H191/'Raw GMD VNStock'!$B$3</x:f>
        <x:v>0</x:v>
      </x:c>
      <x:c r="G24" s="288" t="n">
        <x:f>'Raw GMD VNStock'!I191/'Raw GMD VNStock'!$B$3</x:f>
        <x:v>0</x:v>
      </x:c>
      <x:c r="H24" s="89" t="str">
        <x:v>SRC-API01</x:v>
      </x:c>
      <x:c r="I24" s="89" t="str">
        <x:v>Linked API actual</x:v>
      </x:c>
      <x:c r="J24" s="90" t="str">
        <x:v>Non-cash adjustment where disclosed.</x:v>
      </x:c>
    </x:row>
    <x:row r="25" ht="29" customHeight="1">
      <x:c r="A25" s="88" t="str">
        <x:v>Other adjustments</x:v>
      </x:c>
      <x:c r="B25" s="89" t="str">
        <x:v>VND bn</x:v>
      </x:c>
      <x:c r="C25" s="288" t="n">
        <x:f>'Raw GMD VNStock'!E192/'Raw GMD VNStock'!$B$3</x:f>
        <x:v>0</x:v>
      </x:c>
      <x:c r="D25" s="288" t="n">
        <x:f>'Raw GMD VNStock'!F192/'Raw GMD VNStock'!$B$3</x:f>
        <x:v>0</x:v>
      </x:c>
      <x:c r="E25" s="288" t="n">
        <x:f>'Raw GMD VNStock'!G192/'Raw GMD VNStock'!$B$3</x:f>
        <x:v>0</x:v>
      </x:c>
      <x:c r="F25" s="288" t="n">
        <x:f>'Raw GMD VNStock'!H192/'Raw GMD VNStock'!$B$3</x:f>
        <x:v>0</x:v>
      </x:c>
      <x:c r="G25" s="288" t="n">
        <x:f>'Raw GMD VNStock'!I192/'Raw GMD VNStock'!$B$3</x:f>
        <x:v>0</x:v>
      </x:c>
      <x:c r="H25" s="89" t="str">
        <x:v>SRC-API01</x:v>
      </x:c>
      <x:c r="I25" s="89" t="str">
        <x:v>Linked API actual</x:v>
      </x:c>
      <x:c r="J25" s="90" t="str">
        <x:v>Residual disclosed adjustment.</x:v>
      </x:c>
    </x:row>
    <x:row r="26" ht="29" customHeight="1">
      <x:c r="A26" s="299" t="str">
        <x:v>Calculated operating profit before working capital</x:v>
      </x:c>
      <x:c r="B26" s="300" t="str">
        <x:v>VND bn</x:v>
      </x:c>
      <x:c r="C26" s="301" t="n">
        <x:f>SUM(C16:C25)</x:f>
        <x:v>1211.1682394120003</x:v>
      </x:c>
      <x:c r="D26" s="301" t="n">
        <x:f>SUM(D16:D25)</x:f>
        <x:v>1400.704458115</x:v>
      </x:c>
      <x:c r="E26" s="301" t="n">
        <x:f>SUM(E16:E25)</x:f>
        <x:v>1441.2010219350004</x:v>
      </x:c>
      <x:c r="F26" s="301" t="n">
        <x:f>SUM(F16:F25)</x:f>
        <x:v>1918.3259568250005</x:v>
      </x:c>
      <x:c r="G26" s="301" t="n">
        <x:f>SUM(G16:G25)</x:f>
        <x:v>2078.232670058</x:v>
      </x:c>
      <x:c r="H26" s="300" t="str">
        <x:v>Model formula</x:v>
      </x:c>
      <x:c r="I26" s="300" t="str">
        <x:v>Model output</x:v>
      </x:c>
      <x:c r="J26" s="300" t="str">
        <x:v>Sum of PBT and cash-flow adjustments above.</x:v>
      </x:c>
    </x:row>
    <x:row r="27" ht="29" customHeight="1">
      <x:c r="A27" s="294" t="str">
        <x:v>Disclosed operating profit before working capital</x:v>
      </x:c>
      <x:c r="B27" s="295" t="str">
        <x:v>VND bn</x:v>
      </x:c>
      <x:c r="C27" s="296" t="n">
        <x:f>'Raw GMD VNStock'!E161/'Raw GMD VNStock'!$B$3</x:f>
        <x:v>1211.168239412</x:v>
      </x:c>
      <x:c r="D27" s="296" t="n">
        <x:f>'Raw GMD VNStock'!F161/'Raw GMD VNStock'!$B$3</x:f>
        <x:v>1400.704458115</x:v>
      </x:c>
      <x:c r="E27" s="296" t="n">
        <x:f>'Raw GMD VNStock'!G161/'Raw GMD VNStock'!$B$3</x:f>
        <x:v>1441.201021935</x:v>
      </x:c>
      <x:c r="F27" s="296" t="n">
        <x:f>'Raw GMD VNStock'!H161/'Raw GMD VNStock'!$B$3</x:f>
        <x:v>1918.325956825</x:v>
      </x:c>
      <x:c r="G27" s="296" t="n">
        <x:f>'Raw GMD VNStock'!I161/'Raw GMD VNStock'!$B$3</x:f>
        <x:v>2078.232670058</x:v>
      </x:c>
      <x:c r="H27" s="295" t="str">
        <x:v>SRC-API01</x:v>
      </x:c>
      <x:c r="I27" s="295" t="str">
        <x:v>Linked API actual</x:v>
      </x:c>
      <x:c r="J27" s="295" t="str">
        <x:v>Cash-flow statement subtotal.</x:v>
      </x:c>
    </x:row>
    <x:row r="28" ht="29" customHeight="1">
      <x:c r="A28" s="302" t="str">
        <x:v>Pre-working-capital bridge check</x:v>
      </x:c>
      <x:c r="B28" s="303" t="str">
        <x:v>VND bn</x:v>
      </x:c>
      <x:c r="C28" s="316" t="n">
        <x:f>C26-C27</x:f>
        <x:v>2.2737367544323206e-13</x:v>
      </x:c>
      <x:c r="D28" s="316" t="n">
        <x:f>D26-D27</x:f>
        <x:v>0</x:v>
      </x:c>
      <x:c r="E28" s="316" t="n">
        <x:f>E26-E27</x:f>
        <x:v>4.547473508864641e-13</x:v>
      </x:c>
      <x:c r="F28" s="316" t="n">
        <x:f>F26-F27</x:f>
        <x:v>4.547473508864641e-13</x:v>
      </x:c>
      <x:c r="G28" s="316" t="n">
        <x:f>G26-G27</x:f>
        <x:v>0</x:v>
      </x:c>
      <x:c r="H28" s="303" t="str">
        <x:v>Model formula</x:v>
      </x:c>
      <x:c r="I28" s="303" t="str">
        <x:v>Check</x:v>
      </x:c>
      <x:c r="J28" s="303" t="str">
        <x:v>Calculated subtotal less disclosed subtotal.</x:v>
      </x:c>
    </x:row>
    <x:row r="30" ht="21" customHeight="1">
      <x:c r="A30" s="286" t="str">
        <x:v>Working capital, cash interest, tax and other operating flows</x:v>
      </x:c>
      <x:c r="B30" s="286" t="str">
        <x:v>Working capital, cash interest, tax and other operating flows</x:v>
      </x:c>
      <x:c r="C30" s="286" t="str">
        <x:v>Working capital, cash interest, tax and other operating flows</x:v>
      </x:c>
      <x:c r="D30" s="286" t="str">
        <x:v>Working capital, cash interest, tax and other operating flows</x:v>
      </x:c>
      <x:c r="E30" s="286" t="str">
        <x:v>Working capital, cash interest, tax and other operating flows</x:v>
      </x:c>
      <x:c r="F30" s="286" t="str">
        <x:v>Working capital, cash interest, tax and other operating flows</x:v>
      </x:c>
      <x:c r="G30" s="286" t="str">
        <x:v>Working capital, cash interest, tax and other operating flows</x:v>
      </x:c>
      <x:c r="H30" s="286" t="str">
        <x:v>Working capital, cash interest, tax and other operating flows</x:v>
      </x:c>
      <x:c r="I30" s="286" t="str">
        <x:v>Working capital, cash interest, tax and other operating flows</x:v>
      </x:c>
      <x:c r="J30" s="286" t="str">
        <x:v>Working capital, cash interest, tax and other operating flows</x:v>
      </x:c>
    </x:row>
    <x:row r="31" ht="32" customHeight="1">
      <x:c r="A31" s="278" t="str">
        <x:v>Metric</x:v>
      </x:c>
      <x:c r="B31" s="278" t="str">
        <x:v>Unit</x:v>
      </x:c>
      <x:c r="C31" s="280" t="n">
        <x:v>44561</x:v>
      </x:c>
      <x:c r="D31" s="280" t="n">
        <x:v>44926</x:v>
      </x:c>
      <x:c r="E31" s="280" t="n">
        <x:v>45291</x:v>
      </x:c>
      <x:c r="F31" s="280" t="n">
        <x:v>45657</x:v>
      </x:c>
      <x:c r="G31" s="280" t="n">
        <x:v>46022</x:v>
      </x:c>
      <x:c r="H31" s="278" t="str">
        <x:v>Source ID</x:v>
      </x:c>
      <x:c r="I31" s="278" t="str">
        <x:v>Data class</x:v>
      </x:c>
      <x:c r="J31" s="278" t="str">
        <x:v>Audit note</x:v>
      </x:c>
    </x:row>
    <x:row r="32" ht="29" customHeight="1">
      <x:c r="A32" s="85" t="str">
        <x:v>Receivables cash impact</x:v>
      </x:c>
      <x:c r="B32" s="86" t="str">
        <x:v>VND bn</x:v>
      </x:c>
      <x:c r="C32" s="287" t="n">
        <x:f>'Raw GMD VNStock'!E162/'Raw GMD VNStock'!$B$3</x:f>
        <x:v>6.115164743</x:v>
      </x:c>
      <x:c r="D32" s="287" t="n">
        <x:f>'Raw GMD VNStock'!F162/'Raw GMD VNStock'!$B$3</x:f>
        <x:v>-185.782265127</x:v>
      </x:c>
      <x:c r="E32" s="287" t="n">
        <x:f>'Raw GMD VNStock'!G162/'Raw GMD VNStock'!$B$3</x:f>
        <x:v>383.528564483</x:v>
      </x:c>
      <x:c r="F32" s="287" t="n">
        <x:f>'Raw GMD VNStock'!H162/'Raw GMD VNStock'!$B$3</x:f>
        <x:v>151.701348565</x:v>
      </x:c>
      <x:c r="G32" s="287" t="n">
        <x:f>'Raw GMD VNStock'!I162/'Raw GMD VNStock'!$B$3</x:f>
        <x:v>344.753071999</x:v>
      </x:c>
      <x:c r="H32" s="86" t="str">
        <x:v>SRC-API01</x:v>
      </x:c>
      <x:c r="I32" s="86" t="str">
        <x:v>Linked API actual</x:v>
      </x:c>
      <x:c r="J32" s="87" t="str">
        <x:v>Signed cash-flow statement value.</x:v>
      </x:c>
    </x:row>
    <x:row r="33" ht="29" customHeight="1">
      <x:c r="A33" s="88" t="str">
        <x:v>Inventory cash impact</x:v>
      </x:c>
      <x:c r="B33" s="89" t="str">
        <x:v>VND bn</x:v>
      </x:c>
      <x:c r="C33" s="288" t="n">
        <x:f>'Raw GMD VNStock'!E163/'Raw GMD VNStock'!$B$3</x:f>
        <x:v>8.45690691</x:v>
      </x:c>
      <x:c r="D33" s="288" t="n">
        <x:f>'Raw GMD VNStock'!F163/'Raw GMD VNStock'!$B$3</x:f>
        <x:v>-13.752541231</x:v>
      </x:c>
      <x:c r="E33" s="288" t="n">
        <x:f>'Raw GMD VNStock'!G163/'Raw GMD VNStock'!$B$3</x:f>
        <x:v>24.702300246</x:v>
      </x:c>
      <x:c r="F33" s="288" t="n">
        <x:f>'Raw GMD VNStock'!H163/'Raw GMD VNStock'!$B$3</x:f>
        <x:v>-11.919647669</x:v>
      </x:c>
      <x:c r="G33" s="288" t="n">
        <x:f>'Raw GMD VNStock'!I163/'Raw GMD VNStock'!$B$3</x:f>
        <x:v>-9.058127008</x:v>
      </x:c>
      <x:c r="H33" s="89" t="str">
        <x:v>SRC-API01</x:v>
      </x:c>
      <x:c r="I33" s="89" t="str">
        <x:v>Linked API actual</x:v>
      </x:c>
      <x:c r="J33" s="90" t="str">
        <x:v>Signed cash-flow statement value.</x:v>
      </x:c>
    </x:row>
    <x:row r="34" ht="29" customHeight="1">
      <x:c r="A34" s="88" t="str">
        <x:v>Payables cash impact</x:v>
      </x:c>
      <x:c r="B34" s="89" t="str">
        <x:v>VND bn</x:v>
      </x:c>
      <x:c r="C34" s="288" t="n">
        <x:f>'Raw GMD VNStock'!E164/'Raw GMD VNStock'!$B$3</x:f>
        <x:v>-30.962460624</x:v>
      </x:c>
      <x:c r="D34" s="288" t="n">
        <x:f>'Raw GMD VNStock'!F164/'Raw GMD VNStock'!$B$3</x:f>
        <x:v>1392.98536041</x:v>
      </x:c>
      <x:c r="E34" s="288" t="n">
        <x:f>'Raw GMD VNStock'!G164/'Raw GMD VNStock'!$B$3</x:f>
        <x:v>-1073.170928312</x:v>
      </x:c>
      <x:c r="F34" s="288" t="n">
        <x:f>'Raw GMD VNStock'!H164/'Raw GMD VNStock'!$B$3</x:f>
        <x:v>-34.738738791</x:v>
      </x:c>
      <x:c r="G34" s="288" t="n">
        <x:f>'Raw GMD VNStock'!I164/'Raw GMD VNStock'!$B$3</x:f>
        <x:v>278.103091855</x:v>
      </x:c>
      <x:c r="H34" s="89" t="str">
        <x:v>SRC-API01</x:v>
      </x:c>
      <x:c r="I34" s="89" t="str">
        <x:v>Linked API actual</x:v>
      </x:c>
      <x:c r="J34" s="90" t="str">
        <x:v>Signed cash-flow statement value.</x:v>
      </x:c>
    </x:row>
    <x:row r="35" ht="29" customHeight="1">
      <x:c r="A35" s="88" t="str">
        <x:v>Prepaid-expense cash impact</x:v>
      </x:c>
      <x:c r="B35" s="89" t="str">
        <x:v>VND bn</x:v>
      </x:c>
      <x:c r="C35" s="288" t="n">
        <x:f>'Raw GMD VNStock'!E165/'Raw GMD VNStock'!$B$3</x:f>
        <x:v>11.332195824</x:v>
      </x:c>
      <x:c r="D35" s="288" t="n">
        <x:f>'Raw GMD VNStock'!F165/'Raw GMD VNStock'!$B$3</x:f>
        <x:v>9.899646117</x:v>
      </x:c>
      <x:c r="E35" s="288" t="n">
        <x:f>'Raw GMD VNStock'!G165/'Raw GMD VNStock'!$B$3</x:f>
        <x:v>23.813122803</x:v>
      </x:c>
      <x:c r="F35" s="288" t="n">
        <x:f>'Raw GMD VNStock'!H165/'Raw GMD VNStock'!$B$3</x:f>
        <x:v>-74.64848358</x:v>
      </x:c>
      <x:c r="G35" s="288" t="n">
        <x:f>'Raw GMD VNStock'!I165/'Raw GMD VNStock'!$B$3</x:f>
        <x:v>-93.984329081</x:v>
      </x:c>
      <x:c r="H35" s="89" t="str">
        <x:v>SRC-API01</x:v>
      </x:c>
      <x:c r="I35" s="89" t="str">
        <x:v>Linked API actual</x:v>
      </x:c>
      <x:c r="J35" s="90" t="str">
        <x:v>Signed cash-flow statement value.</x:v>
      </x:c>
    </x:row>
    <x:row r="36" ht="29" customHeight="1">
      <x:c r="A36" s="88" t="str">
        <x:v>Trading-securities cash impact</x:v>
      </x:c>
      <x:c r="B36" s="89" t="str">
        <x:v>VND bn</x:v>
      </x:c>
      <x:c r="C36" s="288" t="n">
        <x:f>'Raw GMD VNStock'!E193/'Raw GMD VNStock'!$B$3</x:f>
        <x:v>3.528997673</x:v>
      </x:c>
      <x:c r="D36" s="288" t="n">
        <x:f>'Raw GMD VNStock'!F193/'Raw GMD VNStock'!$B$3</x:f>
        <x:v>0</x:v>
      </x:c>
      <x:c r="E36" s="288" t="n">
        <x:f>'Raw GMD VNStock'!G193/'Raw GMD VNStock'!$B$3</x:f>
        <x:v>0</x:v>
      </x:c>
      <x:c r="F36" s="288" t="n">
        <x:f>'Raw GMD VNStock'!H193/'Raw GMD VNStock'!$B$3</x:f>
        <x:v>11.42129074</x:v>
      </x:c>
      <x:c r="G36" s="288" t="n">
        <x:f>'Raw GMD VNStock'!I193/'Raw GMD VNStock'!$B$3</x:f>
        <x:v>20.06729065</x:v>
      </x:c>
      <x:c r="H36" s="89" t="str">
        <x:v>SRC-API01</x:v>
      </x:c>
      <x:c r="I36" s="89" t="str">
        <x:v>Linked API actual</x:v>
      </x:c>
      <x:c r="J36" s="90" t="str">
        <x:v>Signed cash-flow statement value.</x:v>
      </x:c>
    </x:row>
    <x:row r="37" ht="29" customHeight="1">
      <x:c r="A37" s="88" t="str">
        <x:v>Interest paid</x:v>
      </x:c>
      <x:c r="B37" s="89" t="str">
        <x:v>VND bn</x:v>
      </x:c>
      <x:c r="C37" s="288" t="n">
        <x:f>'Raw GMD VNStock'!E166/'Raw GMD VNStock'!$B$3</x:f>
        <x:v>-125.739991542</x:v>
      </x:c>
      <x:c r="D37" s="288" t="n">
        <x:f>'Raw GMD VNStock'!F166/'Raw GMD VNStock'!$B$3</x:f>
        <x:v>-125.924664584</x:v>
      </x:c>
      <x:c r="E37" s="288" t="n">
        <x:f>'Raw GMD VNStock'!G166/'Raw GMD VNStock'!$B$3</x:f>
        <x:v>-139.730551008</x:v>
      </x:c>
      <x:c r="F37" s="288" t="n">
        <x:f>'Raw GMD VNStock'!H166/'Raw GMD VNStock'!$B$3</x:f>
        <x:v>-141.493134412</x:v>
      </x:c>
      <x:c r="G37" s="288" t="n">
        <x:f>'Raw GMD VNStock'!I166/'Raw GMD VNStock'!$B$3</x:f>
        <x:v>-116.338008707</x:v>
      </x:c>
      <x:c r="H37" s="89" t="str">
        <x:v>SRC-API01</x:v>
      </x:c>
      <x:c r="I37" s="89" t="str">
        <x:v>Linked API actual</x:v>
      </x:c>
      <x:c r="J37" s="90" t="str">
        <x:v>Cash outflow.</x:v>
      </x:c>
    </x:row>
    <x:row r="38" ht="29" customHeight="1">
      <x:c r="A38" s="88" t="str">
        <x:v>Income tax paid</x:v>
      </x:c>
      <x:c r="B38" s="89" t="str">
        <x:v>VND bn</x:v>
      </x:c>
      <x:c r="C38" s="288" t="n">
        <x:f>'Raw GMD VNStock'!E167/'Raw GMD VNStock'!$B$3</x:f>
        <x:v>-102.791928222</x:v>
      </x:c>
      <x:c r="D38" s="288" t="n">
        <x:f>'Raw GMD VNStock'!F167/'Raw GMD VNStock'!$B$3</x:f>
        <x:v>-147.473893753</x:v>
      </x:c>
      <x:c r="E38" s="288" t="n">
        <x:f>'Raw GMD VNStock'!G167/'Raw GMD VNStock'!$B$3</x:f>
        <x:v>-624.980841588</x:v>
      </x:c>
      <x:c r="F38" s="288" t="n">
        <x:f>'Raw GMD VNStock'!H167/'Raw GMD VNStock'!$B$3</x:f>
        <x:v>-241.989987693</x:v>
      </x:c>
      <x:c r="G38" s="288" t="n">
        <x:f>'Raw GMD VNStock'!I167/'Raw GMD VNStock'!$B$3</x:f>
        <x:v>-243.715221798</x:v>
      </x:c>
      <x:c r="H38" s="89" t="str">
        <x:v>SRC-API01</x:v>
      </x:c>
      <x:c r="I38" s="89" t="str">
        <x:v>Linked API actual</x:v>
      </x:c>
      <x:c r="J38" s="90" t="str">
        <x:v>Cash outflow.</x:v>
      </x:c>
    </x:row>
    <x:row r="39" ht="29" customHeight="1">
      <x:c r="A39" s="88" t="str">
        <x:v>Other operating cash receipts</x:v>
      </x:c>
      <x:c r="B39" s="89" t="str">
        <x:v>VND bn</x:v>
      </x:c>
      <x:c r="C39" s="288" t="n">
        <x:f>'Raw GMD VNStock'!E168/'Raw GMD VNStock'!$B$3</x:f>
        <x:v>0</x:v>
      </x:c>
      <x:c r="D39" s="288" t="n">
        <x:f>'Raw GMD VNStock'!F168/'Raw GMD VNStock'!$B$3</x:f>
        <x:v>0</x:v>
      </x:c>
      <x:c r="E39" s="288" t="n">
        <x:f>'Raw GMD VNStock'!G168/'Raw GMD VNStock'!$B$3</x:f>
        <x:v>0</x:v>
      </x:c>
      <x:c r="F39" s="288" t="n">
        <x:f>'Raw GMD VNStock'!H168/'Raw GMD VNStock'!$B$3</x:f>
        <x:v>0</x:v>
      </x:c>
      <x:c r="G39" s="288" t="n">
        <x:f>'Raw GMD VNStock'!I168/'Raw GMD VNStock'!$B$3</x:f>
        <x:v>0</x:v>
      </x:c>
      <x:c r="H39" s="89" t="str">
        <x:v>SRC-API01</x:v>
      </x:c>
      <x:c r="I39" s="89" t="str">
        <x:v>Linked API actual</x:v>
      </x:c>
      <x:c r="J39" s="90" t="str">
        <x:v>Other operating inflow.</x:v>
      </x:c>
    </x:row>
    <x:row r="40" ht="29" customHeight="1">
      <x:c r="A40" s="88" t="str">
        <x:v>Other operating cash payments</x:v>
      </x:c>
      <x:c r="B40" s="89" t="str">
        <x:v>VND bn</x:v>
      </x:c>
      <x:c r="C40" s="288" t="n">
        <x:f>'Raw GMD VNStock'!E169/'Raw GMD VNStock'!$B$3</x:f>
        <x:v>-16.290008055</x:v>
      </x:c>
      <x:c r="D40" s="288" t="n">
        <x:f>'Raw GMD VNStock'!F169/'Raw GMD VNStock'!$B$3</x:f>
        <x:v>-31.416271928</x:v>
      </x:c>
      <x:c r="E40" s="288" t="n">
        <x:f>'Raw GMD VNStock'!G169/'Raw GMD VNStock'!$B$3</x:f>
        <x:v>-38.233006803</x:v>
      </x:c>
      <x:c r="F40" s="288" t="n">
        <x:f>'Raw GMD VNStock'!H169/'Raw GMD VNStock'!$B$3</x:f>
        <x:v>-49.83605218</x:v>
      </x:c>
      <x:c r="G40" s="288" t="n">
        <x:f>'Raw GMD VNStock'!I169/'Raw GMD VNStock'!$B$3</x:f>
        <x:v>-116.03787718</x:v>
      </x:c>
      <x:c r="H40" s="89" t="str">
        <x:v>SRC-API01</x:v>
      </x:c>
      <x:c r="I40" s="89" t="str">
        <x:v>Linked API actual</x:v>
      </x:c>
      <x:c r="J40" s="90" t="str">
        <x:v>Other operating outflow.</x:v>
      </x:c>
    </x:row>
    <x:row r="41" ht="29" customHeight="1">
      <x:c r="A41" s="299" t="str">
        <x:v>Calculated CFO</x:v>
      </x:c>
      <x:c r="B41" s="300" t="str">
        <x:v>VND bn</x:v>
      </x:c>
      <x:c r="C41" s="301" t="n">
        <x:f>C26+SUM(C32:C40)</x:f>
        <x:v>964.8171161190003</x:v>
      </x:c>
      <x:c r="D41" s="301" t="n">
        <x:f>D26+SUM(D32:D40)</x:f>
        <x:v>2299.239828019</x:v>
      </x:c>
      <x:c r="E41" s="301" t="n">
        <x:f>E26+SUM(E32:E40)</x:f>
        <x:v>-2.8703182439994634</x:v>
      </x:c>
      <x:c r="F41" s="301" t="n">
        <x:f>F26+SUM(F32:F40)</x:f>
        <x:v>1526.8225518050006</x:v>
      </x:c>
      <x:c r="G41" s="301" t="n">
        <x:f>G26+SUM(G32:G40)</x:f>
        <x:v>2142.022560788</x:v>
      </x:c>
      <x:c r="H41" s="300" t="str">
        <x:v>Model formula</x:v>
      </x:c>
      <x:c r="I41" s="300" t="str">
        <x:v>Model output</x:v>
      </x:c>
      <x:c r="J41" s="300" t="str">
        <x:v>Calculated pre-WC subtotal plus signed cash-flow items.</x:v>
      </x:c>
    </x:row>
    <x:row r="42" ht="29" customHeight="1">
      <x:c r="A42" s="294" t="str">
        <x:v>Disclosed CFO</x:v>
      </x:c>
      <x:c r="B42" s="295" t="str">
        <x:v>VND bn</x:v>
      </x:c>
      <x:c r="C42" s="296" t="n">
        <x:f>'Raw GMD VNStock'!E170/'Raw GMD VNStock'!$B$3</x:f>
        <x:v>964.817116119</x:v>
      </x:c>
      <x:c r="D42" s="296" t="n">
        <x:f>'Raw GMD VNStock'!F170/'Raw GMD VNStock'!$B$3</x:f>
        <x:v>2299.239828019</x:v>
      </x:c>
      <x:c r="E42" s="296" t="n">
        <x:f>'Raw GMD VNStock'!G170/'Raw GMD VNStock'!$B$3</x:f>
        <x:v>-2.870318244</x:v>
      </x:c>
      <x:c r="F42" s="296" t="n">
        <x:f>'Raw GMD VNStock'!H170/'Raw GMD VNStock'!$B$3</x:f>
        <x:v>1526.822551805</x:v>
      </x:c>
      <x:c r="G42" s="296" t="n">
        <x:f>'Raw GMD VNStock'!I170/'Raw GMD VNStock'!$B$3</x:f>
        <x:v>2142.022560788</x:v>
      </x:c>
      <x:c r="H42" s="295" t="str">
        <x:v>SRC-API01</x:v>
      </x:c>
      <x:c r="I42" s="295" t="str">
        <x:v>Linked API actual</x:v>
      </x:c>
      <x:c r="J42" s="295" t="str">
        <x:v>Audited net operating cash flow.</x:v>
      </x:c>
    </x:row>
    <x:row r="43" ht="29" customHeight="1">
      <x:c r="A43" s="302" t="str">
        <x:v>CFO reconstruction check</x:v>
      </x:c>
      <x:c r="B43" s="303" t="str">
        <x:v>VND bn</x:v>
      </x:c>
      <x:c r="C43" s="316" t="n">
        <x:f>C41-C42</x:f>
        <x:v>2.2737367544323206e-13</x:v>
      </x:c>
      <x:c r="D43" s="316" t="n">
        <x:f>D41-D42</x:f>
        <x:v>0</x:v>
      </x:c>
      <x:c r="E43" s="316" t="n">
        <x:f>E41-E42</x:f>
        <x:v>5.364597654988756e-13</x:v>
      </x:c>
      <x:c r="F43" s="316" t="n">
        <x:f>F41-F42</x:f>
        <x:v>4.547473508864641e-13</x:v>
      </x:c>
      <x:c r="G43" s="316" t="n">
        <x:f>G41-G42</x:f>
        <x:v>0</x:v>
      </x:c>
      <x:c r="H43" s="303" t="str">
        <x:v>Model formula</x:v>
      </x:c>
      <x:c r="I43" s="303" t="str">
        <x:v>Check</x:v>
      </x:c>
      <x:c r="J43" s="303" t="str">
        <x:v>Calculated CFO less disclosed CFO.</x:v>
      </x:c>
    </x:row>
    <x:row r="45" ht="26" customHeight="1">
      <x:c r="A45" s="342" t="str">
        <x:v>Five-year cash-flow lesson: profit quality must be read together with cash conversion and cash reinvestment. In 2023, reported PBT was elevated by capital-transfer gains while CFO was approximately zero after adjustment reversals, working capital and taxes.</x:v>
      </x:c>
      <x:c r="B45" s="343" t="str">
        <x:v>Five-year cash-flow lesson: profit quality must be read together with cash conversion and cash reinvestment. In 2023, reported PBT was elevated by capital-transfer gains while CFO was approximately zero after adjustment reversals, working capital and taxes.</x:v>
      </x:c>
      <x:c r="C45" s="343" t="str">
        <x:v>Five-year cash-flow lesson: profit quality must be read together with cash conversion and cash reinvestment. In 2023, reported PBT was elevated by capital-transfer gains while CFO was approximately zero after adjustment reversals, working capital and taxes.</x:v>
      </x:c>
      <x:c r="D45" s="343" t="str">
        <x:v>Five-year cash-flow lesson: profit quality must be read together with cash conversion and cash reinvestment. In 2023, reported PBT was elevated by capital-transfer gains while CFO was approximately zero after adjustment reversals, working capital and taxes.</x:v>
      </x:c>
      <x:c r="E45" s="343" t="str">
        <x:v>Five-year cash-flow lesson: profit quality must be read together with cash conversion and cash reinvestment. In 2023, reported PBT was elevated by capital-transfer gains while CFO was approximately zero after adjustment reversals, working capital and taxes.</x:v>
      </x:c>
      <x:c r="F45" s="343" t="str">
        <x:v>Five-year cash-flow lesson: profit quality must be read together with cash conversion and cash reinvestment. In 2023, reported PBT was elevated by capital-transfer gains while CFO was approximately zero after adjustment reversals, working capital and taxes.</x:v>
      </x:c>
      <x:c r="G45" s="343" t="str">
        <x:v>Five-year cash-flow lesson: profit quality must be read together with cash conversion and cash reinvestment. In 2023, reported PBT was elevated by capital-transfer gains while CFO was approximately zero after adjustment reversals, working capital and taxes.</x:v>
      </x:c>
      <x:c r="H45" s="343" t="str">
        <x:v>Five-year cash-flow lesson: profit quality must be read together with cash conversion and cash reinvestment. In 2023, reported PBT was elevated by capital-transfer gains while CFO was approximately zero after adjustment reversals, working capital and taxes.</x:v>
      </x:c>
      <x:c r="I45" s="343" t="str">
        <x:v>Five-year cash-flow lesson: profit quality must be read together with cash conversion and cash reinvestment. In 2023, reported PBT was elevated by capital-transfer gains while CFO was approximately zero after adjustment reversals, working capital and taxes.</x:v>
      </x:c>
      <x:c r="J45" s="344" t="str">
        <x:v>Five-year cash-flow lesson: profit quality must be read together with cash conversion and cash reinvestment. In 2023, reported PBT was elevated by capital-transfer gains while CFO was approximately zero after adjustment reversals, working capital and taxes.</x:v>
      </x:c>
    </x:row>
    <x:row r="46" ht="26" customHeight="1">
      <x:c r="A46" s="357" t="str">
        <x:v>Five-year cash-flow lesson: profit quality must be read together with cash conversion and cash reinvestment. In 2023, reported PBT was elevated by capital-transfer gains while CFO was approximately zero after adjustment reversals, working capital and taxes.</x:v>
      </x:c>
      <x:c r="B46" s="358" t="str">
        <x:v>Five-year cash-flow lesson: profit quality must be read together with cash conversion and cash reinvestment. In 2023, reported PBT was elevated by capital-transfer gains while CFO was approximately zero after adjustment reversals, working capital and taxes.</x:v>
      </x:c>
      <x:c r="C46" s="358" t="str">
        <x:v>Five-year cash-flow lesson: profit quality must be read together with cash conversion and cash reinvestment. In 2023, reported PBT was elevated by capital-transfer gains while CFO was approximately zero after adjustment reversals, working capital and taxes.</x:v>
      </x:c>
      <x:c r="D46" s="358" t="str">
        <x:v>Five-year cash-flow lesson: profit quality must be read together with cash conversion and cash reinvestment. In 2023, reported PBT was elevated by capital-transfer gains while CFO was approximately zero after adjustment reversals, working capital and taxes.</x:v>
      </x:c>
      <x:c r="E46" s="358" t="str">
        <x:v>Five-year cash-flow lesson: profit quality must be read together with cash conversion and cash reinvestment. In 2023, reported PBT was elevated by capital-transfer gains while CFO was approximately zero after adjustment reversals, working capital and taxes.</x:v>
      </x:c>
      <x:c r="F46" s="358" t="str">
        <x:v>Five-year cash-flow lesson: profit quality must be read together with cash conversion and cash reinvestment. In 2023, reported PBT was elevated by capital-transfer gains while CFO was approximately zero after adjustment reversals, working capital and taxes.</x:v>
      </x:c>
      <x:c r="G46" s="358" t="str">
        <x:v>Five-year cash-flow lesson: profit quality must be read together with cash conversion and cash reinvestment. In 2023, reported PBT was elevated by capital-transfer gains while CFO was approximately zero after adjustment reversals, working capital and taxes.</x:v>
      </x:c>
      <x:c r="H46" s="358" t="str">
        <x:v>Five-year cash-flow lesson: profit quality must be read together with cash conversion and cash reinvestment. In 2023, reported PBT was elevated by capital-transfer gains while CFO was approximately zero after adjustment reversals, working capital and taxes.</x:v>
      </x:c>
      <x:c r="I46" s="358" t="str">
        <x:v>Five-year cash-flow lesson: profit quality must be read together with cash conversion and cash reinvestment. In 2023, reported PBT was elevated by capital-transfer gains while CFO was approximately zero after adjustment reversals, working capital and taxes.</x:v>
      </x:c>
      <x:c r="J46" s="359" t="str">
        <x:v>Five-year cash-flow lesson: profit quality must be read together with cash conversion and cash reinvestment. In 2023, reported PBT was elevated by capital-transfer gains while CFO was approximately zero after adjustment reversals, working capital and taxes.</x:v>
      </x:c>
    </x:row>
    <x:row r="47" ht="26" customHeight="1">
      <x:c r="A47" s="345" t="str">
        <x:v>Five-year cash-flow lesson: profit quality must be read together with cash conversion and cash reinvestment. In 2023, reported PBT was elevated by capital-transfer gains while CFO was approximately zero after adjustment reversals, working capital and taxes.</x:v>
      </x:c>
      <x:c r="B47" s="346" t="str">
        <x:v>Five-year cash-flow lesson: profit quality must be read together with cash conversion and cash reinvestment. In 2023, reported PBT was elevated by capital-transfer gains while CFO was approximately zero after adjustment reversals, working capital and taxes.</x:v>
      </x:c>
      <x:c r="C47" s="346" t="str">
        <x:v>Five-year cash-flow lesson: profit quality must be read together with cash conversion and cash reinvestment. In 2023, reported PBT was elevated by capital-transfer gains while CFO was approximately zero after adjustment reversals, working capital and taxes.</x:v>
      </x:c>
      <x:c r="D47" s="346" t="str">
        <x:v>Five-year cash-flow lesson: profit quality must be read together with cash conversion and cash reinvestment. In 2023, reported PBT was elevated by capital-transfer gains while CFO was approximately zero after adjustment reversals, working capital and taxes.</x:v>
      </x:c>
      <x:c r="E47" s="346" t="str">
        <x:v>Five-year cash-flow lesson: profit quality must be read together with cash conversion and cash reinvestment. In 2023, reported PBT was elevated by capital-transfer gains while CFO was approximately zero after adjustment reversals, working capital and taxes.</x:v>
      </x:c>
      <x:c r="F47" s="346" t="str">
        <x:v>Five-year cash-flow lesson: profit quality must be read together with cash conversion and cash reinvestment. In 2023, reported PBT was elevated by capital-transfer gains while CFO was approximately zero after adjustment reversals, working capital and taxes.</x:v>
      </x:c>
      <x:c r="G47" s="346" t="str">
        <x:v>Five-year cash-flow lesson: profit quality must be read together with cash conversion and cash reinvestment. In 2023, reported PBT was elevated by capital-transfer gains while CFO was approximately zero after adjustment reversals, working capital and taxes.</x:v>
      </x:c>
      <x:c r="H47" s="346" t="str">
        <x:v>Five-year cash-flow lesson: profit quality must be read together with cash conversion and cash reinvestment. In 2023, reported PBT was elevated by capital-transfer gains while CFO was approximately zero after adjustment reversals, working capital and taxes.</x:v>
      </x:c>
      <x:c r="I47" s="346" t="str">
        <x:v>Five-year cash-flow lesson: profit quality must be read together with cash conversion and cash reinvestment. In 2023, reported PBT was elevated by capital-transfer gains while CFO was approximately zero after adjustment reversals, working capital and taxes.</x:v>
      </x:c>
      <x:c r="J47" s="347" t="str">
        <x:v>Five-year cash-flow lesson: profit quality must be read together with cash conversion and cash reinvestment. In 2023, reported PBT was elevated by capital-transfer gains while CFO was approximately zero after adjustment reversals, working capital and taxes.</x:v>
      </x:c>
    </x:row>
  </x:sheetData>
  <x:mergeCells>
    <x:mergeCell ref="A1:J1"/>
    <x:mergeCell ref="A2:J2"/>
    <x:mergeCell ref="A4:J4"/>
    <x:mergeCell ref="A14:J14"/>
    <x:mergeCell ref="A30:J30"/>
    <x:mergeCell ref="A45:J47"/>
  </x:mergeCells>
  <x:pageMargins left="0.7" right="0.7" top="0.75" bottom="0.75" header="0.3" footer="0.3"/>
  <x:legacyDrawing xmlns:r="http://schemas.openxmlformats.org/officeDocument/2006/relationships" r:id="R11943507d8fd4f47"/>
</x:worksheet>
</file>

<file path=xl/worksheets/sheet25.xml><?xml version="1.0" encoding="utf-8"?>
<x:worksheet xmlns:x="http://schemas.openxmlformats.org/spreadsheetml/2006/main">
  <x:sheetViews>
    <x:sheetView showGridLines="0" workbookViewId="0"/>
  </x:sheetViews>
  <x:sheetFormatPr defaultRowHeight="15"/>
  <x:cols>
    <x:col min="1" max="1" width="39" hidden="0" customWidth="1"/>
    <x:col min="2" max="2" width="20" hidden="0" customWidth="1"/>
    <x:col min="3" max="3" width="22" hidden="0" customWidth="1"/>
    <x:col min="4" max="4" width="20" hidden="0" customWidth="1"/>
    <x:col min="5" max="5" width="25" hidden="0" customWidth="1"/>
    <x:col min="6" max="6" width="23" hidden="0" customWidth="1"/>
    <x:col min="7" max="7" width="25" hidden="0" customWidth="1"/>
    <x:col min="8" max="8" width="54" hidden="0" customWidth="1"/>
    <x:col min="9" max="9" width="50" hidden="0" customWidth="1"/>
  </x:cols>
  <x:sheetData>
    <x:row r="1" ht="30" customHeight="1">
      <x:c r="A1" s="264" t="str">
        <x:v>Phase 3 — 2026 Issuer Guidance Benchmark</x:v>
      </x:c>
      <x:c r="B1" s="264" t="str">
        <x:v>Phase 3 — 2026 Issuer Guidance Benchmark</x:v>
      </x:c>
      <x:c r="C1" s="264" t="str">
        <x:v>Phase 3 — 2026 Issuer Guidance Benchmark</x:v>
      </x:c>
      <x:c r="D1" s="264" t="str">
        <x:v>Phase 3 — 2026 Issuer Guidance Benchmark</x:v>
      </x:c>
      <x:c r="E1" s="264" t="str">
        <x:v>Phase 3 — 2026 Issuer Guidance Benchmark</x:v>
      </x:c>
      <x:c r="F1" s="264" t="str">
        <x:v>Phase 3 — 2026 Issuer Guidance Benchmark</x:v>
      </x:c>
      <x:c r="G1" s="264" t="str">
        <x:v>Phase 3 — 2026 Issuer Guidance Benchmark</x:v>
      </x:c>
      <x:c r="H1" s="264" t="str">
        <x:v>Phase 3 — 2026 Issuer Guidance Benchmark</x:v>
      </x:c>
      <x:c r="I1" s="264" t="str">
        <x:v>Phase 3 — 2026 Issuer Guidance Benchmark</x:v>
      </x:c>
    </x:row>
    <x:row r="2" ht="34" customHeight="1">
      <x:c r="A2" s="268" t="str">
        <x:v>Management guidance and Q1 actuals are benchmarks only. These are not analyst estimates; Phase 4 will build Base/Bull/Bear forecasts.</x:v>
      </x:c>
      <x:c r="B2" s="268" t="str">
        <x:v>Management guidance and Q1 actuals are benchmarks only. These are not analyst estimates; Phase 4 will build Base/Bull/Bear forecasts.</x:v>
      </x:c>
      <x:c r="C2" s="268" t="str">
        <x:v>Management guidance and Q1 actuals are benchmarks only. These are not analyst estimates; Phase 4 will build Base/Bull/Bear forecasts.</x:v>
      </x:c>
      <x:c r="D2" s="268" t="str">
        <x:v>Management guidance and Q1 actuals are benchmarks only. These are not analyst estimates; Phase 4 will build Base/Bull/Bear forecasts.</x:v>
      </x:c>
      <x:c r="E2" s="268" t="str">
        <x:v>Management guidance and Q1 actuals are benchmarks only. These are not analyst estimates; Phase 4 will build Base/Bull/Bear forecasts.</x:v>
      </x:c>
      <x:c r="F2" s="268" t="str">
        <x:v>Management guidance and Q1 actuals are benchmarks only. These are not analyst estimates; Phase 4 will build Base/Bull/Bear forecasts.</x:v>
      </x:c>
      <x:c r="G2" s="268" t="str">
        <x:v>Management guidance and Q1 actuals are benchmarks only. These are not analyst estimates; Phase 4 will build Base/Bull/Bear forecasts.</x:v>
      </x:c>
      <x:c r="H2" s="268" t="str">
        <x:v>Management guidance and Q1 actuals are benchmarks only. These are not analyst estimates; Phase 4 will build Base/Bull/Bear forecasts.</x:v>
      </x:c>
      <x:c r="I2" s="268" t="str">
        <x:v>Management guidance and Q1 actuals are benchmarks only. These are not analyst estimates; Phase 4 will build Base/Bull/Bear forecasts.</x:v>
      </x:c>
    </x:row>
    <x:row r="4" ht="21" customHeight="1">
      <x:c r="A4" s="286" t="str">
        <x:v>2026 registered plan, stretch target and Q1 progress</x:v>
      </x:c>
      <x:c r="B4" s="286" t="str">
        <x:v>2026 registered plan, stretch target and Q1 progress</x:v>
      </x:c>
      <x:c r="C4" s="286" t="str">
        <x:v>2026 registered plan, stretch target and Q1 progress</x:v>
      </x:c>
      <x:c r="D4" s="286" t="str">
        <x:v>2026 registered plan, stretch target and Q1 progress</x:v>
      </x:c>
      <x:c r="E4" s="286" t="str">
        <x:v>2026 registered plan, stretch target and Q1 progress</x:v>
      </x:c>
      <x:c r="F4" s="286" t="str">
        <x:v>2026 registered plan, stretch target and Q1 progress</x:v>
      </x:c>
      <x:c r="G4" s="286" t="str">
        <x:v>2026 registered plan, stretch target and Q1 progress</x:v>
      </x:c>
      <x:c r="H4" s="286" t="str">
        <x:v>2026 registered plan, stretch target and Q1 progress</x:v>
      </x:c>
      <x:c r="I4" s="286" t="str">
        <x:v>2026 registered plan, stretch target and Q1 progress</x:v>
      </x:c>
    </x:row>
    <x:row r="5" ht="32" customHeight="1">
      <x:c r="A5" s="278" t="str">
        <x:v>Metric</x:v>
      </x:c>
      <x:c r="B5" s="278" t="str">
        <x:v>2025A</x:v>
      </x:c>
      <x:c r="C5" s="278" t="str">
        <x:v>2026 registered plan</x:v>
      </x:c>
      <x:c r="D5" s="278" t="str">
        <x:v>YoY</x:v>
      </x:c>
      <x:c r="E5" s="278" t="str">
        <x:v>2026 stretch target</x:v>
      </x:c>
      <x:c r="F5" s="278" t="str">
        <x:v>YoY</x:v>
      </x:c>
      <x:c r="G5" s="278" t="str">
        <x:v>Q1 2025</x:v>
      </x:c>
      <x:c r="H5" s="278" t="str">
        <x:v>Q1 2026</x:v>
      </x:c>
      <x:c r="I5" s="278" t="str">
        <x:v>Q1 YoY / progress</x:v>
      </x:c>
    </x:row>
    <x:row r="6" ht="38" customHeight="1">
      <x:c r="A6" s="85" t="str">
        <x:v>Consolidated net revenue (VND bn)</x:v>
      </x:c>
      <x:c r="B6" s="287" t="n">
        <x:f>'P3 Historical IS'!G6</x:f>
        <x:v>5956.025297015</x:v>
      </x:c>
      <x:c r="C6" s="210" t="n">
        <x:v>6500</x:v>
      </x:c>
      <x:c r="D6" s="111" t="n">
        <x:f>C6/B6-1</x:f>
        <x:v>0.091331832196486</x:v>
      </x:c>
      <x:c r="E6" s="210" t="n">
        <x:v>6800</x:v>
      </x:c>
      <x:c r="F6" s="111" t="n">
        <x:f>E6/B6-1</x:f>
        <x:v>0.14170099368247757</x:v>
      </x:c>
      <x:c r="G6" s="210" t="n">
        <x:v>1277</x:v>
      </x:c>
      <x:c r="H6" s="210" t="n">
        <x:v>1452</x:v>
      </x:c>
      <x:c r="I6" s="361" t="n">
        <x:f>H6/G6-1</x:f>
        <x:v>0.13703993735317144</x:v>
      </x:c>
    </x:row>
    <x:row r="7" ht="38" customHeight="1">
      <x:c r="A7" s="88" t="str">
        <x:v>Core PBT (VND bn)</x:v>
      </x:c>
      <x:c r="B7" s="288" t="n">
        <x:f>'P3 Historical IS'!G25</x:f>
        <x:v>2520.827</x:v>
      </x:c>
      <x:c r="C7" s="211" t="n">
        <x:v>2800</x:v>
      </x:c>
      <x:c r="D7" s="109" t="n">
        <x:f>C7/B7-1</x:f>
        <x:v>0.110746592288959</x:v>
      </x:c>
      <x:c r="E7" s="211" t="n">
        <x:v>3000</x:v>
      </x:c>
      <x:c r="F7" s="109" t="n">
        <x:f>E7/B7-1</x:f>
        <x:v>0.19008563459531325</x:v>
      </x:c>
      <x:c r="G7" s="211" t="n">
        <x:v>583</x:v>
      </x:c>
      <x:c r="H7" s="211" t="n">
        <x:v>716</x:v>
      </x:c>
      <x:c r="I7" s="362" t="n">
        <x:f>H7/G7-1</x:f>
        <x:v>0.228130360205832</x:v>
      </x:c>
    </x:row>
    <x:row r="8" ht="38" customHeight="1">
      <x:c r="A8" s="91" t="str">
        <x:v>System throughput (m TEU)</x:v>
      </x:c>
      <x:c r="B8" s="349" t="n">
        <x:f>'P3 Port Drivers'!G6</x:f>
        <x:v>5.079</x:v>
      </x:c>
      <x:c r="C8" s="135"/>
      <x:c r="D8" s="135"/>
      <x:c r="E8" s="135"/>
      <x:c r="F8" s="135"/>
      <x:c r="G8" s="135"/>
      <x:c r="H8" s="135" t="n">
        <x:v>1.233</x:v>
      </x:c>
      <x:c r="I8" s="363" t="n">
        <x:v>0.08</x:v>
      </x:c>
    </x:row>
    <x:row r="10" ht="32" customHeight="1">
      <x:c r="A10" s="278" t="str">
        <x:v>Metric</x:v>
      </x:c>
      <x:c r="B10" s="278" t="str">
        <x:v>Q1 2026 actual</x:v>
      </x:c>
      <x:c r="C10" s="278" t="str">
        <x:v>Registered plan</x:v>
      </x:c>
      <x:c r="D10" s="278" t="str">
        <x:v>Q1 / plan</x:v>
      </x:c>
      <x:c r="E10" s="278" t="str">
        <x:v>Stretch target</x:v>
      </x:c>
      <x:c r="F10" s="278" t="str">
        <x:v>Q1 / target</x:v>
      </x:c>
      <x:c r="G10" s="278" t="str">
        <x:v>Source ID</x:v>
      </x:c>
      <x:c r="H10" s="278" t="str">
        <x:v>Data class</x:v>
      </x:c>
      <x:c r="I10" s="278" t="str">
        <x:v>Audit note</x:v>
      </x:c>
    </x:row>
    <x:row r="11" ht="36" customHeight="1">
      <x:c r="A11" s="85" t="str">
        <x:v>Revenue (VND bn)</x:v>
      </x:c>
      <x:c r="B11" s="210" t="n">
        <x:v>1452</x:v>
      </x:c>
      <x:c r="C11" s="287" t="n">
        <x:f>C6</x:f>
        <x:v>6500</x:v>
      </x:c>
      <x:c r="D11" s="111" t="n">
        <x:f>B11/C11</x:f>
        <x:v>0.22338461538461538</x:v>
      </x:c>
      <x:c r="E11" s="287" t="n">
        <x:f>E6</x:f>
        <x:v>6800</x:v>
      </x:c>
      <x:c r="F11" s="111" t="n">
        <x:f>B11/E11</x:f>
        <x:v>0.21352941176470588</x:v>
      </x:c>
      <x:c r="G11" s="86" t="str">
        <x:v>SRC-G02 / SRC-G03</x:v>
      </x:c>
      <x:c r="H11" s="86" t="str">
        <x:v>Issuer actual + guidance</x:v>
      </x:c>
      <x:c r="I11" s="87" t="str">
        <x:v>Q1 progress is not a seasonally adjusted run rate.</x:v>
      </x:c>
    </x:row>
    <x:row r="12" ht="36" customHeight="1">
      <x:c r="A12" s="91" t="str">
        <x:v>PBT (VND bn)</x:v>
      </x:c>
      <x:c r="B12" s="212" t="n">
        <x:v>716</x:v>
      </x:c>
      <x:c r="C12" s="360" t="n">
        <x:f>C7</x:f>
        <x:v>2800</x:v>
      </x:c>
      <x:c r="D12" s="110" t="n">
        <x:f>B12/C12</x:f>
        <x:v>0.2557142857142857</x:v>
      </x:c>
      <x:c r="E12" s="360" t="n">
        <x:f>E7</x:f>
        <x:v>3000</x:v>
      </x:c>
      <x:c r="F12" s="110" t="n">
        <x:f>B12/E12</x:f>
        <x:v>0.23866666666666667</x:v>
      </x:c>
      <x:c r="G12" s="92" t="str">
        <x:v>SRC-G02 / SRC-G03</x:v>
      </x:c>
      <x:c r="H12" s="92" t="str">
        <x:v>Issuer actual + guidance</x:v>
      </x:c>
      <x:c r="I12" s="93" t="str">
        <x:v>Q1 progress is not an analyst forecast.</x:v>
      </x:c>
    </x:row>
    <x:row r="14" ht="21" customHeight="1">
      <x:c r="A14" s="286" t="str">
        <x:v>Issuer catalysts and operational facts</x:v>
      </x:c>
      <x:c r="B14" s="286" t="str">
        <x:v>Issuer catalysts and operational facts</x:v>
      </x:c>
      <x:c r="C14" s="286" t="str">
        <x:v>Issuer catalysts and operational facts</x:v>
      </x:c>
      <x:c r="D14" s="286" t="str">
        <x:v>Issuer catalysts and operational facts</x:v>
      </x:c>
      <x:c r="E14" s="286" t="str">
        <x:v>Issuer catalysts and operational facts</x:v>
      </x:c>
      <x:c r="F14" s="286" t="str">
        <x:v>Issuer catalysts and operational facts</x:v>
      </x:c>
      <x:c r="G14" s="286" t="str">
        <x:v>Issuer catalysts and operational facts</x:v>
      </x:c>
      <x:c r="H14" s="286" t="str">
        <x:v>Issuer catalysts and operational facts</x:v>
      </x:c>
      <x:c r="I14" s="286" t="str">
        <x:v>Issuer catalysts and operational facts</x:v>
      </x:c>
    </x:row>
    <x:row r="15" ht="32" customHeight="1">
      <x:c r="A15" s="278" t="str">
        <x:v>Catalyst / fact</x:v>
      </x:c>
      <x:c r="B15" s="278" t="str">
        <x:v>Date / timing</x:v>
      </x:c>
      <x:c r="C15" s="278" t="str">
        <x:v>Capacity / KPI</x:v>
      </x:c>
      <x:c r="D15" s="278" t="str">
        <x:v>Unit</x:v>
      </x:c>
      <x:c r="E15" s="278" t="str">
        <x:v>Evidence</x:v>
      </x:c>
      <x:c r="F15" s="278" t="str">
        <x:v>Source ID</x:v>
      </x:c>
      <x:c r="G15" s="278" t="str">
        <x:v>Data class</x:v>
      </x:c>
      <x:c r="H15" s="278" t="str">
        <x:v>Model implication</x:v>
      </x:c>
      <x:c r="I15" s="278" t="str">
        <x:v>Falsification risk</x:v>
      </x:c>
    </x:row>
    <x:row r="16" ht="48" customHeight="1">
      <x:c r="A16" s="85" t="str">
        <x:v>Nam Dinh Vu Phase 3 operational</x:v>
      </x:c>
      <x:c r="B16" s="86" t="str">
        <x:v>Late Sep / Oct 2025</x:v>
      </x:c>
      <x:c r="C16" s="210" t="n">
        <x:v>2</x:v>
      </x:c>
      <x:c r="D16" s="86" t="str">
        <x:v>m TEU cluster capacity</x:v>
      </x:c>
      <x:c r="E16" s="86" t="str">
        <x:v>Three phases complete</x:v>
      </x:c>
      <x:c r="F16" s="86" t="str">
        <x:v>SRC-G01 / SRC-G02</x:v>
      </x:c>
      <x:c r="G16" s="86" t="str">
        <x:v>Issuer fact</x:v>
      </x:c>
      <x:c r="H16" s="86" t="str">
        <x:v>Phase 4 must model utilization ramp, not repeat construction completion.</x:v>
      </x:c>
      <x:c r="I16" s="87" t="str">
        <x:v>Capacity may ramp slower than demand.</x:v>
      </x:c>
    </x:row>
    <x:row r="17" ht="48" customHeight="1">
      <x:c r="A17" s="88" t="str">
        <x:v>Gemalink Phase 2 groundbreaking</x:v>
      </x:c>
      <x:c r="B17" s="89" t="str">
        <x:v>17-Apr-2026</x:v>
      </x:c>
      <x:c r="C17" s="211" t="n">
        <x:v>3</x:v>
      </x:c>
      <x:c r="D17" s="89" t="str">
        <x:v>m TEU total capacity, over</x:v>
      </x:c>
      <x:c r="E17" s="89" t="str">
        <x:v>Q4 2027 operation timing</x:v>
      </x:c>
      <x:c r="F17" s="89" t="str">
        <x:v>SRC-G02</x:v>
      </x:c>
      <x:c r="G17" s="89" t="str">
        <x:v>Issuer fact</x:v>
      </x:c>
      <x:c r="H17" s="89" t="str">
        <x:v>Keep outside the 2026 historical benchmark; timing belongs in Phase 4.</x:v>
      </x:c>
      <x:c r="I17" s="90" t="str">
        <x:v>Delay, capex escalation or weak route additions.</x:v>
      </x:c>
    </x:row>
    <x:row r="18" ht="48" customHeight="1">
      <x:c r="A18" s="88" t="str">
        <x:v>Ha Nam canal upgrade</x:v>
      </x:c>
      <x:c r="B18" s="89" t="str">
        <x:v>Completed 2024</x:v>
      </x:c>
      <x:c r="C18" s="211" t="n">
        <x:v>-8.5</x:v>
      </x:c>
      <x:c r="D18" s="89" t="str">
        <x:v>mCD depth</x:v>
      </x:c>
      <x:c r="E18" s="89" t="str">
        <x:v>Vessels up to 50k DWT in 2026 disclosure</x:v>
      </x:c>
      <x:c r="F18" s="89" t="str">
        <x:v>SRC-G01 / SRC-G02</x:v>
      </x:c>
      <x:c r="G18" s="89" t="str">
        <x:v>Issuer fact</x:v>
      </x:c>
      <x:c r="H18" s="89" t="str">
        <x:v>Supports larger feeder calls and Northern competitiveness.</x:v>
      </x:c>
      <x:c r="I18" s="90" t="str">
        <x:v>Benefits may be competed away by new capacity.</x:v>
      </x:c>
    </x:row>
    <x:row r="19" ht="48" customHeight="1">
      <x:c r="A19" s="88" t="str">
        <x:v>Q1 2026 PBT mix</x:v>
      </x:c>
      <x:c r="B19" s="89" t="str">
        <x:v>Q1 2026</x:v>
      </x:c>
      <x:c r="C19" s="109" t="n">
        <x:v>0.85</x:v>
      </x:c>
      <x:c r="D19" s="89" t="str">
        <x:v>Port share</x:v>
      </x:c>
      <x:c r="E19" s="89" t="str">
        <x:v>Logistics/shipping approximately 15%</x:v>
      </x:c>
      <x:c r="F19" s="89" t="str">
        <x:v>SRC-G02</x:v>
      </x:c>
      <x:c r="G19" s="89" t="str">
        <x:v>Issuer mix</x:v>
      </x:c>
      <x:c r="H19" s="89" t="str">
        <x:v>Use as a reasonableness check, not a full-year forecast.</x:v>
      </x:c>
      <x:c r="I19" s="90" t="str">
        <x:v>Quarterly mix may not persist.</x:v>
      </x:c>
    </x:row>
    <x:row r="20" ht="48" customHeight="1">
      <x:c r="A20" s="91" t="str">
        <x:v>Registered 2026 PBT plan</x:v>
      </x:c>
      <x:c r="B20" s="92" t="str">
        <x:v>FY2026</x:v>
      </x:c>
      <x:c r="C20" s="212" t="n">
        <x:v>2800</x:v>
      </x:c>
      <x:c r="D20" s="92" t="str">
        <x:v>VND bn</x:v>
      </x:c>
      <x:c r="E20" s="92" t="str">
        <x:v>Core business PBT</x:v>
      </x:c>
      <x:c r="F20" s="92" t="str">
        <x:v>SRC-G03</x:v>
      </x:c>
      <x:c r="G20" s="92" t="str">
        <x:v>Management guidance</x:v>
      </x:c>
      <x:c r="H20" s="92" t="str">
        <x:v>Benchmark the Phase 4 base case against management, not vice versa.</x:v>
      </x:c>
      <x:c r="I20" s="93" t="str">
        <x:v>Plan can be exceeded or missed.</x:v>
      </x:c>
    </x:row>
    <x:row r="22" ht="26" customHeight="1">
      <x:c r="A22" s="342" t="str">
        <x:v>Scope guardrail: Phase 3 contains no 2026E–2028E analyst forecast, valuation, rating or target price. Forward-looking values above are explicitly labelled management guidance or project timing.</x:v>
      </x:c>
      <x:c r="B22" s="343" t="str">
        <x:v>Scope guardrail: Phase 3 contains no 2026E–2028E analyst forecast, valuation, rating or target price. Forward-looking values above are explicitly labelled management guidance or project timing.</x:v>
      </x:c>
      <x:c r="C22" s="343" t="str">
        <x:v>Scope guardrail: Phase 3 contains no 2026E–2028E analyst forecast, valuation, rating or target price. Forward-looking values above are explicitly labelled management guidance or project timing.</x:v>
      </x:c>
      <x:c r="D22" s="343" t="str">
        <x:v>Scope guardrail: Phase 3 contains no 2026E–2028E analyst forecast, valuation, rating or target price. Forward-looking values above are explicitly labelled management guidance or project timing.</x:v>
      </x:c>
      <x:c r="E22" s="343" t="str">
        <x:v>Scope guardrail: Phase 3 contains no 2026E–2028E analyst forecast, valuation, rating or target price. Forward-looking values above are explicitly labelled management guidance or project timing.</x:v>
      </x:c>
      <x:c r="F22" s="343" t="str">
        <x:v>Scope guardrail: Phase 3 contains no 2026E–2028E analyst forecast, valuation, rating or target price. Forward-looking values above are explicitly labelled management guidance or project timing.</x:v>
      </x:c>
      <x:c r="G22" s="343" t="str">
        <x:v>Scope guardrail: Phase 3 contains no 2026E–2028E analyst forecast, valuation, rating or target price. Forward-looking values above are explicitly labelled management guidance or project timing.</x:v>
      </x:c>
      <x:c r="H22" s="343" t="str">
        <x:v>Scope guardrail: Phase 3 contains no 2026E–2028E analyst forecast, valuation, rating or target price. Forward-looking values above are explicitly labelled management guidance or project timing.</x:v>
      </x:c>
      <x:c r="I22" s="344" t="str">
        <x:v>Scope guardrail: Phase 3 contains no 2026E–2028E analyst forecast, valuation, rating or target price. Forward-looking values above are explicitly labelled management guidance or project timing.</x:v>
      </x:c>
    </x:row>
    <x:row r="23" ht="26" customHeight="1">
      <x:c r="A23" s="357" t="str">
        <x:v>Scope guardrail: Phase 3 contains no 2026E–2028E analyst forecast, valuation, rating or target price. Forward-looking values above are explicitly labelled management guidance or project timing.</x:v>
      </x:c>
      <x:c r="B23" s="358" t="str">
        <x:v>Scope guardrail: Phase 3 contains no 2026E–2028E analyst forecast, valuation, rating or target price. Forward-looking values above are explicitly labelled management guidance or project timing.</x:v>
      </x:c>
      <x:c r="C23" s="358" t="str">
        <x:v>Scope guardrail: Phase 3 contains no 2026E–2028E analyst forecast, valuation, rating or target price. Forward-looking values above are explicitly labelled management guidance or project timing.</x:v>
      </x:c>
      <x:c r="D23" s="358" t="str">
        <x:v>Scope guardrail: Phase 3 contains no 2026E–2028E analyst forecast, valuation, rating or target price. Forward-looking values above are explicitly labelled management guidance or project timing.</x:v>
      </x:c>
      <x:c r="E23" s="358" t="str">
        <x:v>Scope guardrail: Phase 3 contains no 2026E–2028E analyst forecast, valuation, rating or target price. Forward-looking values above are explicitly labelled management guidance or project timing.</x:v>
      </x:c>
      <x:c r="F23" s="358" t="str">
        <x:v>Scope guardrail: Phase 3 contains no 2026E–2028E analyst forecast, valuation, rating or target price. Forward-looking values above are explicitly labelled management guidance or project timing.</x:v>
      </x:c>
      <x:c r="G23" s="358" t="str">
        <x:v>Scope guardrail: Phase 3 contains no 2026E–2028E analyst forecast, valuation, rating or target price. Forward-looking values above are explicitly labelled management guidance or project timing.</x:v>
      </x:c>
      <x:c r="H23" s="358" t="str">
        <x:v>Scope guardrail: Phase 3 contains no 2026E–2028E analyst forecast, valuation, rating or target price. Forward-looking values above are explicitly labelled management guidance or project timing.</x:v>
      </x:c>
      <x:c r="I23" s="359" t="str">
        <x:v>Scope guardrail: Phase 3 contains no 2026E–2028E analyst forecast, valuation, rating or target price. Forward-looking values above are explicitly labelled management guidance or project timing.</x:v>
      </x:c>
    </x:row>
    <x:row r="24" ht="26" customHeight="1">
      <x:c r="A24" s="345" t="str">
        <x:v>Scope guardrail: Phase 3 contains no 2026E–2028E analyst forecast, valuation, rating or target price. Forward-looking values above are explicitly labelled management guidance or project timing.</x:v>
      </x:c>
      <x:c r="B24" s="346" t="str">
        <x:v>Scope guardrail: Phase 3 contains no 2026E–2028E analyst forecast, valuation, rating or target price. Forward-looking values above are explicitly labelled management guidance or project timing.</x:v>
      </x:c>
      <x:c r="C24" s="346" t="str">
        <x:v>Scope guardrail: Phase 3 contains no 2026E–2028E analyst forecast, valuation, rating or target price. Forward-looking values above are explicitly labelled management guidance or project timing.</x:v>
      </x:c>
      <x:c r="D24" s="346" t="str">
        <x:v>Scope guardrail: Phase 3 contains no 2026E–2028E analyst forecast, valuation, rating or target price. Forward-looking values above are explicitly labelled management guidance or project timing.</x:v>
      </x:c>
      <x:c r="E24" s="346" t="str">
        <x:v>Scope guardrail: Phase 3 contains no 2026E–2028E analyst forecast, valuation, rating or target price. Forward-looking values above are explicitly labelled management guidance or project timing.</x:v>
      </x:c>
      <x:c r="F24" s="346" t="str">
        <x:v>Scope guardrail: Phase 3 contains no 2026E–2028E analyst forecast, valuation, rating or target price. Forward-looking values above are explicitly labelled management guidance or project timing.</x:v>
      </x:c>
      <x:c r="G24" s="346" t="str">
        <x:v>Scope guardrail: Phase 3 contains no 2026E–2028E analyst forecast, valuation, rating or target price. Forward-looking values above are explicitly labelled management guidance or project timing.</x:v>
      </x:c>
      <x:c r="H24" s="346" t="str">
        <x:v>Scope guardrail: Phase 3 contains no 2026E–2028E analyst forecast, valuation, rating or target price. Forward-looking values above are explicitly labelled management guidance or project timing.</x:v>
      </x:c>
      <x:c r="I24" s="347" t="str">
        <x:v>Scope guardrail: Phase 3 contains no 2026E–2028E analyst forecast, valuation, rating or target price. Forward-looking values above are explicitly labelled management guidance or project timing.</x:v>
      </x:c>
    </x:row>
  </x:sheetData>
  <x:mergeCells>
    <x:mergeCell ref="A1:I1"/>
    <x:mergeCell ref="A2:I2"/>
    <x:mergeCell ref="A4:I4"/>
    <x:mergeCell ref="A14:I14"/>
    <x:mergeCell ref="A22:I24"/>
  </x:mergeCells>
  <x:pageMargins left="0.7" right="0.7" top="0.75" bottom="0.75" header="0.3" footer="0.3"/>
  <x:legacyDrawing xmlns:r="http://schemas.openxmlformats.org/officeDocument/2006/relationships" r:id="R71e5a6ac9f994e17"/>
</x:worksheet>
</file>

<file path=xl/worksheets/sheet26.xml><?xml version="1.0" encoding="utf-8"?>
<x:worksheet xmlns:x="http://schemas.openxmlformats.org/spreadsheetml/2006/main">
  <x:sheetViews>
    <x:sheetView showGridLines="0" workbookViewId="0"/>
  </x:sheetViews>
  <x:sheetFormatPr defaultRowHeight="15"/>
  <x:cols>
    <x:col min="1" max="1" width="38" hidden="0" customWidth="1"/>
    <x:col min="2" max="2" width="15" hidden="0" customWidth="1"/>
    <x:col min="3" max="3" width="15" hidden="0" customWidth="1"/>
    <x:col min="4" max="4" width="15" hidden="0" customWidth="1"/>
    <x:col min="5" max="5" width="15" hidden="0" customWidth="1"/>
    <x:col min="6" max="6" width="14" hidden="0" customWidth="1"/>
    <x:col min="7" max="7" width="62" hidden="0" customWidth="1"/>
  </x:cols>
  <x:sheetData>
    <x:row r="1" ht="30" customHeight="1">
      <x:c r="A1" s="264" t="str">
        <x:v>Phase 3 — Five-Year Historical Model Control Sheet</x:v>
      </x:c>
      <x:c r="B1" s="264" t="str">
        <x:v>Phase 3 — Five-Year Historical Model Control Sheet</x:v>
      </x:c>
      <x:c r="C1" s="264" t="str">
        <x:v>Phase 3 — Five-Year Historical Model Control Sheet</x:v>
      </x:c>
      <x:c r="D1" s="264" t="str">
        <x:v>Phase 3 — Five-Year Historical Model Control Sheet</x:v>
      </x:c>
      <x:c r="E1" s="264" t="str">
        <x:v>Phase 3 — Five-Year Historical Model Control Sheet</x:v>
      </x:c>
      <x:c r="F1" s="264" t="str">
        <x:v>Phase 3 — Five-Year Historical Model Control Sheet</x:v>
      </x:c>
      <x:c r="G1" s="264" t="str">
        <x:v>Phase 3 — Five-Year Historical Model Control Sheet</x:v>
      </x:c>
    </x:row>
    <x:row r="2" ht="34" customHeight="1">
      <x:c r="A2" s="268" t="str">
        <x:v>Controls validate source coverage, raw-data linkage and model arithmetic. Passing checks validate structure, not investment merit.</x:v>
      </x:c>
      <x:c r="B2" s="268" t="str">
        <x:v>Controls validate source coverage, raw-data linkage and model arithmetic. Passing checks validate structure, not investment merit.</x:v>
      </x:c>
      <x:c r="C2" s="268" t="str">
        <x:v>Controls validate source coverage, raw-data linkage and model arithmetic. Passing checks validate structure, not investment merit.</x:v>
      </x:c>
      <x:c r="D2" s="268" t="str">
        <x:v>Controls validate source coverage, raw-data linkage and model arithmetic. Passing checks validate structure, not investment merit.</x:v>
      </x:c>
      <x:c r="E2" s="268" t="str">
        <x:v>Controls validate source coverage, raw-data linkage and model arithmetic. Passing checks validate structure, not investment merit.</x:v>
      </x:c>
      <x:c r="F2" s="268" t="str">
        <x:v>Controls validate source coverage, raw-data linkage and model arithmetic. Passing checks validate structure, not investment merit.</x:v>
      </x:c>
      <x:c r="G2" s="268" t="str">
        <x:v>Controls validate source coverage, raw-data linkage and model arithmetic. Passing checks validate structure, not investment merit.</x:v>
      </x:c>
    </x:row>
    <x:row r="4" ht="21" customHeight="1">
      <x:c r="A4" s="286" t="str">
        <x:v>Formula-driven checks</x:v>
      </x:c>
      <x:c r="B4" s="286" t="str">
        <x:v>Formula-driven checks</x:v>
      </x:c>
      <x:c r="C4" s="286" t="str">
        <x:v>Formula-driven checks</x:v>
      </x:c>
      <x:c r="D4" s="286" t="str">
        <x:v>Formula-driven checks</x:v>
      </x:c>
      <x:c r="E4" s="286" t="str">
        <x:v>Formula-driven checks</x:v>
      </x:c>
      <x:c r="F4" s="286" t="str">
        <x:v>Formula-driven checks</x:v>
      </x:c>
      <x:c r="G4" s="286" t="str">
        <x:v>Formula-driven checks</x:v>
      </x:c>
    </x:row>
    <x:row r="6" ht="32" customHeight="1">
      <x:c r="A6" s="278" t="str">
        <x:v>Check</x:v>
      </x:c>
      <x:c r="B6" s="278" t="str">
        <x:v>Actual</x:v>
      </x:c>
      <x:c r="C6" s="278" t="str">
        <x:v>Expected</x:v>
      </x:c>
      <x:c r="D6" s="278" t="str">
        <x:v>Difference</x:v>
      </x:c>
      <x:c r="E6" s="278" t="str">
        <x:v>Tolerance</x:v>
      </x:c>
      <x:c r="F6" s="278" t="str">
        <x:v>Status</x:v>
      </x:c>
      <x:c r="G6" s="278" t="str">
        <x:v>Control note</x:v>
      </x:c>
    </x:row>
    <x:row r="7" ht="25" customHeight="1">
      <x:c r="A7" s="85" t="str">
        <x:v>Registered source count</x:v>
      </x:c>
      <x:c r="B7" s="133" t="n">
        <x:f>COUNTA('Source Audit'!A7:A44)</x:f>
        <x:v>38</x:v>
      </x:c>
      <x:c r="C7" s="133" t="n">
        <x:v>38</x:v>
      </x:c>
      <x:c r="D7" s="133" t="n">
        <x:f>B7-C7</x:f>
        <x:v>0</x:v>
      </x:c>
      <x:c r="E7" s="133" t="n">
        <x:v>0</x:v>
      </x:c>
      <x:c r="F7" s="371" t="str">
        <x:f>IF(ABS(D7)&lt;=E7,"OK","CHECK")</x:f>
        <x:v>OK</x:v>
      </x:c>
      <x:c r="G7" s="87" t="str">
        <x:v>Source Audit includes VNStock plus four additional GMD annual-report sources.</x:v>
      </x:c>
    </x:row>
    <x:row r="8" ht="25" customHeight="1">
      <x:c r="A8" s="88" t="str">
        <x:v>Raw income-statement row count</x:v>
      </x:c>
      <x:c r="B8" s="134" t="n">
        <x:f>COUNTIF('Raw GMD VNStock'!A6:A193,"income_statement")</x:f>
        <x:v>25</x:v>
      </x:c>
      <x:c r="C8" s="134" t="n">
        <x:v>25</x:v>
      </x:c>
      <x:c r="D8" s="134" t="n">
        <x:f>B8-C8</x:f>
        <x:v>0</x:v>
      </x:c>
      <x:c r="E8" s="134" t="n">
        <x:v>0</x:v>
      </x:c>
      <x:c r="F8" s="372" t="str">
        <x:f>IF(ABS(D8)&lt;=E8,"OK","CHECK")</x:f>
        <x:v>OK</x:v>
      </x:c>
      <x:c r="G8" s="90" t="str">
        <x:v>VNStock annual income statement loaded.</x:v>
      </x:c>
    </x:row>
    <x:row r="9" ht="25" customHeight="1">
      <x:c r="A9" s="88" t="str">
        <x:v>Raw balance-sheet row count</x:v>
      </x:c>
      <x:c r="B9" s="134" t="n">
        <x:f>COUNTIF('Raw GMD VNStock'!A6:A193,"balance_sheet")</x:f>
        <x:v>122</x:v>
      </x:c>
      <x:c r="C9" s="134" t="n">
        <x:v>122</x:v>
      </x:c>
      <x:c r="D9" s="134" t="n">
        <x:f>B9-C9</x:f>
        <x:v>0</x:v>
      </x:c>
      <x:c r="E9" s="134" t="n">
        <x:v>0</x:v>
      </x:c>
      <x:c r="F9" s="372" t="str">
        <x:f>IF(ABS(D9)&lt;=E9,"OK","CHECK")</x:f>
        <x:v>OK</x:v>
      </x:c>
      <x:c r="G9" s="90" t="str">
        <x:v>VNStock annual balance sheet loaded.</x:v>
      </x:c>
    </x:row>
    <x:row r="10" ht="25" customHeight="1">
      <x:c r="A10" s="88" t="str">
        <x:v>Raw cash-flow row count</x:v>
      </x:c>
      <x:c r="B10" s="134" t="n">
        <x:f>COUNTIF('Raw GMD VNStock'!A6:A193,"cash_flow")</x:f>
        <x:v>41</x:v>
      </x:c>
      <x:c r="C10" s="134" t="n">
        <x:v>41</x:v>
      </x:c>
      <x:c r="D10" s="134" t="n">
        <x:f>B10-C10</x:f>
        <x:v>0</x:v>
      </x:c>
      <x:c r="E10" s="134" t="n">
        <x:v>0</x:v>
      </x:c>
      <x:c r="F10" s="372" t="str">
        <x:f>IF(ABS(D10)&lt;=E10,"OK","CHECK")</x:f>
        <x:v>OK</x:v>
      </x:c>
      <x:c r="G10" s="90" t="str">
        <x:v>VNStock annual cash flow loaded.</x:v>
      </x:c>
    </x:row>
    <x:row r="11" ht="25" customHeight="1">
      <x:c r="A11" s="88" t="str">
        <x:v>Segment revenue tie — 2021</x:v>
      </x:c>
      <x:c r="B11" s="134" t="n">
        <x:f>'P3 Historical IS'!C54</x:f>
        <x:v>-3.330001163703855e-7</x:v>
      </x:c>
      <x:c r="C11" s="134" t="n">
        <x:v>0</x:v>
      </x:c>
      <x:c r="D11" s="134" t="n">
        <x:f>B11-C11</x:f>
        <x:v>-3.330001163703855e-7</x:v>
      </x:c>
      <x:c r="E11" s="134" t="n">
        <x:v>0.01</x:v>
      </x:c>
      <x:c r="F11" s="372" t="str">
        <x:f>IF(ABS(D11)&lt;=E11,"OK","CHECK")</x:f>
        <x:v>OK</x:v>
      </x:c>
      <x:c r="G11" s="90" t="str">
        <x:v>Port + logistics + other = consolidated revenue.</x:v>
      </x:c>
    </x:row>
    <x:row r="12" ht="25" customHeight="1">
      <x:c r="A12" s="88" t="str">
        <x:v>PBT bridge — 2021</x:v>
      </x:c>
      <x:c r="B12" s="134" t="n">
        <x:f>'P3 Historical IS'!C24</x:f>
        <x:v>-2.2737367544323206e-13</x:v>
      </x:c>
      <x:c r="C12" s="134" t="n">
        <x:v>0</x:v>
      </x:c>
      <x:c r="D12" s="134" t="n">
        <x:f>B12-C12</x:f>
        <x:v>-2.2737367544323206e-13</x:v>
      </x:c>
      <x:c r="E12" s="134" t="n">
        <x:v>0.01</x:v>
      </x:c>
      <x:c r="F12" s="372" t="str">
        <x:f>IF(ABS(D12)&lt;=E12,"OK","CHECK")</x:f>
        <x:v>OK</x:v>
      </x:c>
      <x:c r="G12" s="90" t="str">
        <x:v>Calculated PBT ties to VNStock/audited PBT.</x:v>
      </x:c>
    </x:row>
    <x:row r="13" ht="25" customHeight="1">
      <x:c r="A13" s="88" t="str">
        <x:v>PAT bridge — 2021</x:v>
      </x:c>
      <x:c r="B13" s="134" t="n">
        <x:f>'P3 Historical IS'!C42</x:f>
        <x:v>0</x:v>
      </x:c>
      <x:c r="C13" s="134" t="n">
        <x:v>0</x:v>
      </x:c>
      <x:c r="D13" s="134" t="n">
        <x:f>B13-C13</x:f>
        <x:v>0</x:v>
      </x:c>
      <x:c r="E13" s="134" t="n">
        <x:v>0.01</x:v>
      </x:c>
      <x:c r="F13" s="372" t="str">
        <x:f>IF(ABS(D13)&lt;=E13,"OK","CHECK")</x:f>
        <x:v>OK</x:v>
      </x:c>
      <x:c r="G13" s="90" t="str">
        <x:v>Tax bridge ties to consolidated PAT.</x:v>
      </x:c>
    </x:row>
    <x:row r="14" ht="25" customHeight="1">
      <x:c r="A14" s="88" t="str">
        <x:v>PAT attribution — 2021</x:v>
      </x:c>
      <x:c r="B14" s="134" t="n">
        <x:f>'P3 Historical IS'!C45</x:f>
        <x:v>0</x:v>
      </x:c>
      <x:c r="C14" s="134" t="n">
        <x:v>0</x:v>
      </x:c>
      <x:c r="D14" s="134" t="n">
        <x:f>B14-C14</x:f>
        <x:v>0</x:v>
      </x:c>
      <x:c r="E14" s="134" t="n">
        <x:v>0.01</x:v>
      </x:c>
      <x:c r="F14" s="372" t="str">
        <x:f>IF(ABS(D14)&lt;=E14,"OK","CHECK")</x:f>
        <x:v>OK</x:v>
      </x:c>
      <x:c r="G14" s="90" t="str">
        <x:v>Parent + NCI = consolidated PAT.</x:v>
      </x:c>
    </x:row>
    <x:row r="15" ht="25" customHeight="1">
      <x:c r="A15" s="88" t="str">
        <x:v>Port revenue identity — 2021</x:v>
      </x:c>
      <x:c r="B15" s="134" t="n">
        <x:f>'P3 Port Drivers'!C8-'P3 Port Drivers'!C6*'P3 Port Drivers'!C10</x:f>
        <x:v>0</x:v>
      </x:c>
      <x:c r="C15" s="134" t="n">
        <x:v>0</x:v>
      </x:c>
      <x:c r="D15" s="134" t="n">
        <x:f>B15-C15</x:f>
        <x:v>0</x:v>
      </x:c>
      <x:c r="E15" s="134" t="n">
        <x:v>0.01</x:v>
      </x:c>
      <x:c r="F15" s="372" t="str">
        <x:f>IF(ABS(D15)&lt;=E15,"OK","CHECK")</x:f>
        <x:v>OK</x:v>
      </x:c>
      <x:c r="G15" s="90" t="str">
        <x:v>Throughput × unit proxy = port revenue.</x:v>
      </x:c>
    </x:row>
    <x:row r="16" ht="25" customHeight="1">
      <x:c r="A16" s="88" t="str">
        <x:v>Associate composition — 2021</x:v>
      </x:c>
      <x:c r="B16" s="134" t="n">
        <x:f>'P3 Associates'!C6-SUM('P3 Associates'!C7:C10)</x:f>
        <x:v>0</x:v>
      </x:c>
      <x:c r="C16" s="134" t="n">
        <x:v>0</x:v>
      </x:c>
      <x:c r="D16" s="134" t="n">
        <x:f>B16-C16</x:f>
        <x:v>0</x:v>
      </x:c>
      <x:c r="E16" s="134" t="n">
        <x:v>0.01</x:v>
      </x:c>
      <x:c r="F16" s="372" t="str">
        <x:f>IF(ABS(D16)&lt;=E16,"OK","CHECK")</x:f>
        <x:v>OK</x:v>
      </x:c>
      <x:c r="G16" s="90" t="str">
        <x:v>Named associates + residual = total.</x:v>
      </x:c>
    </x:row>
    <x:row r="17" ht="25" customHeight="1">
      <x:c r="A17" s="88" t="str">
        <x:v>Pre-WC bridge — 2021</x:v>
      </x:c>
      <x:c r="B17" s="134" t="n">
        <x:f>'P3 Cash Flow'!C28</x:f>
        <x:v>2.2737367544323206e-13</x:v>
      </x:c>
      <x:c r="C17" s="134" t="n">
        <x:v>0</x:v>
      </x:c>
      <x:c r="D17" s="134" t="n">
        <x:f>B17-C17</x:f>
        <x:v>2.2737367544323206e-13</x:v>
      </x:c>
      <x:c r="E17" s="134" t="n">
        <x:v>0.01</x:v>
      </x:c>
      <x:c r="F17" s="372" t="str">
        <x:f>IF(ABS(D17)&lt;=E17,"OK","CHECK")</x:f>
        <x:v>OK</x:v>
      </x:c>
      <x:c r="G17" s="90" t="str">
        <x:v>PBT and non-cash adjustments tie to the disclosed subtotal.</x:v>
      </x:c>
    </x:row>
    <x:row r="18" ht="25" customHeight="1">
      <x:c r="A18" s="88" t="str">
        <x:v>CFO reconstruction — 2021</x:v>
      </x:c>
      <x:c r="B18" s="134" t="n">
        <x:f>'P3 Cash Flow'!C43</x:f>
        <x:v>2.2737367544323206e-13</x:v>
      </x:c>
      <x:c r="C18" s="134" t="n">
        <x:v>0</x:v>
      </x:c>
      <x:c r="D18" s="134" t="n">
        <x:f>B18-C18</x:f>
        <x:v>2.2737367544323206e-13</x:v>
      </x:c>
      <x:c r="E18" s="134" t="n">
        <x:v>0.01</x:v>
      </x:c>
      <x:c r="F18" s="372" t="str">
        <x:f>IF(ABS(D18)&lt;=E18,"OK","CHECK")</x:f>
        <x:v>OK</x:v>
      </x:c>
      <x:c r="G18" s="90" t="str">
        <x:v>Cash-flow components tie to reported CFO.</x:v>
      </x:c>
    </x:row>
    <x:row r="19" ht="25" customHeight="1">
      <x:c r="A19" s="88" t="str">
        <x:v>Segment revenue tie — 2022</x:v>
      </x:c>
      <x:c r="B19" s="134" t="n">
        <x:f>'P3 Historical IS'!D54</x:f>
        <x:v>4.3000000005122274e-7</x:v>
      </x:c>
      <x:c r="C19" s="134" t="n">
        <x:v>0</x:v>
      </x:c>
      <x:c r="D19" s="134" t="n">
        <x:f>B19-C19</x:f>
        <x:v>4.3000000005122274e-7</x:v>
      </x:c>
      <x:c r="E19" s="134" t="n">
        <x:v>0.01</x:v>
      </x:c>
      <x:c r="F19" s="372" t="str">
        <x:f>IF(ABS(D19)&lt;=E19,"OK","CHECK")</x:f>
        <x:v>OK</x:v>
      </x:c>
      <x:c r="G19" s="90" t="str">
        <x:v>Port + logistics + other = consolidated revenue.</x:v>
      </x:c>
    </x:row>
    <x:row r="20" ht="25" customHeight="1">
      <x:c r="A20" s="88" t="str">
        <x:v>PBT bridge — 2022</x:v>
      </x:c>
      <x:c r="B20" s="134" t="n">
        <x:f>'P3 Historical IS'!D24</x:f>
        <x:v>0</x:v>
      </x:c>
      <x:c r="C20" s="134" t="n">
        <x:v>0</x:v>
      </x:c>
      <x:c r="D20" s="134" t="n">
        <x:f>B20-C20</x:f>
        <x:v>0</x:v>
      </x:c>
      <x:c r="E20" s="134" t="n">
        <x:v>0.01</x:v>
      </x:c>
      <x:c r="F20" s="372" t="str">
        <x:f>IF(ABS(D20)&lt;=E20,"OK","CHECK")</x:f>
        <x:v>OK</x:v>
      </x:c>
      <x:c r="G20" s="90" t="str">
        <x:v>Calculated PBT ties to VNStock/audited PBT.</x:v>
      </x:c>
    </x:row>
    <x:row r="21" ht="25" customHeight="1">
      <x:c r="A21" s="88" t="str">
        <x:v>PAT bridge — 2022</x:v>
      </x:c>
      <x:c r="B21" s="134" t="n">
        <x:f>'P3 Historical IS'!D42</x:f>
        <x:v>0</x:v>
      </x:c>
      <x:c r="C21" s="134" t="n">
        <x:v>0</x:v>
      </x:c>
      <x:c r="D21" s="134" t="n">
        <x:f>B21-C21</x:f>
        <x:v>0</x:v>
      </x:c>
      <x:c r="E21" s="134" t="n">
        <x:v>0.01</x:v>
      </x:c>
      <x:c r="F21" s="372" t="str">
        <x:f>IF(ABS(D21)&lt;=E21,"OK","CHECK")</x:f>
        <x:v>OK</x:v>
      </x:c>
      <x:c r="G21" s="90" t="str">
        <x:v>Tax bridge ties to consolidated PAT.</x:v>
      </x:c>
    </x:row>
    <x:row r="22" ht="25" customHeight="1">
      <x:c r="A22" s="88" t="str">
        <x:v>PAT attribution — 2022</x:v>
      </x:c>
      <x:c r="B22" s="134" t="n">
        <x:f>'P3 Historical IS'!D45</x:f>
        <x:v>0</x:v>
      </x:c>
      <x:c r="C22" s="134" t="n">
        <x:v>0</x:v>
      </x:c>
      <x:c r="D22" s="134" t="n">
        <x:f>B22-C22</x:f>
        <x:v>0</x:v>
      </x:c>
      <x:c r="E22" s="134" t="n">
        <x:v>0.01</x:v>
      </x:c>
      <x:c r="F22" s="372" t="str">
        <x:f>IF(ABS(D22)&lt;=E22,"OK","CHECK")</x:f>
        <x:v>OK</x:v>
      </x:c>
      <x:c r="G22" s="90" t="str">
        <x:v>Parent + NCI = consolidated PAT.</x:v>
      </x:c>
    </x:row>
    <x:row r="23" ht="25" customHeight="1">
      <x:c r="A23" s="88" t="str">
        <x:v>Port revenue identity — 2022</x:v>
      </x:c>
      <x:c r="B23" s="134" t="n">
        <x:f>'P3 Port Drivers'!D8-'P3 Port Drivers'!D6*'P3 Port Drivers'!D10</x:f>
        <x:v>0</x:v>
      </x:c>
      <x:c r="C23" s="134" t="n">
        <x:v>0</x:v>
      </x:c>
      <x:c r="D23" s="134" t="n">
        <x:f>B23-C23</x:f>
        <x:v>0</x:v>
      </x:c>
      <x:c r="E23" s="134" t="n">
        <x:v>0.01</x:v>
      </x:c>
      <x:c r="F23" s="372" t="str">
        <x:f>IF(ABS(D23)&lt;=E23,"OK","CHECK")</x:f>
        <x:v>OK</x:v>
      </x:c>
      <x:c r="G23" s="90" t="str">
        <x:v>Throughput × unit proxy = port revenue.</x:v>
      </x:c>
    </x:row>
    <x:row r="24" ht="25" customHeight="1">
      <x:c r="A24" s="88" t="str">
        <x:v>Associate composition — 2022</x:v>
      </x:c>
      <x:c r="B24" s="134" t="n">
        <x:f>'P3 Associates'!D6-SUM('P3 Associates'!D7:D10)</x:f>
        <x:v>0</x:v>
      </x:c>
      <x:c r="C24" s="134" t="n">
        <x:v>0</x:v>
      </x:c>
      <x:c r="D24" s="134" t="n">
        <x:f>B24-C24</x:f>
        <x:v>0</x:v>
      </x:c>
      <x:c r="E24" s="134" t="n">
        <x:v>0.01</x:v>
      </x:c>
      <x:c r="F24" s="372" t="str">
        <x:f>IF(ABS(D24)&lt;=E24,"OK","CHECK")</x:f>
        <x:v>OK</x:v>
      </x:c>
      <x:c r="G24" s="90" t="str">
        <x:v>Named associates + residual = total.</x:v>
      </x:c>
    </x:row>
    <x:row r="25" ht="25" customHeight="1">
      <x:c r="A25" s="88" t="str">
        <x:v>Pre-WC bridge — 2022</x:v>
      </x:c>
      <x:c r="B25" s="134" t="n">
        <x:f>'P3 Cash Flow'!D28</x:f>
        <x:v>0</x:v>
      </x:c>
      <x:c r="C25" s="134" t="n">
        <x:v>0</x:v>
      </x:c>
      <x:c r="D25" s="134" t="n">
        <x:f>B25-C25</x:f>
        <x:v>0</x:v>
      </x:c>
      <x:c r="E25" s="134" t="n">
        <x:v>0.01</x:v>
      </x:c>
      <x:c r="F25" s="372" t="str">
        <x:f>IF(ABS(D25)&lt;=E25,"OK","CHECK")</x:f>
        <x:v>OK</x:v>
      </x:c>
      <x:c r="G25" s="90" t="str">
        <x:v>PBT and non-cash adjustments tie to the disclosed subtotal.</x:v>
      </x:c>
    </x:row>
    <x:row r="26" ht="25" customHeight="1">
      <x:c r="A26" s="88" t="str">
        <x:v>CFO reconstruction — 2022</x:v>
      </x:c>
      <x:c r="B26" s="134" t="n">
        <x:f>'P3 Cash Flow'!D43</x:f>
        <x:v>0</x:v>
      </x:c>
      <x:c r="C26" s="134" t="n">
        <x:v>0</x:v>
      </x:c>
      <x:c r="D26" s="134" t="n">
        <x:f>B26-C26</x:f>
        <x:v>0</x:v>
      </x:c>
      <x:c r="E26" s="134" t="n">
        <x:v>0.01</x:v>
      </x:c>
      <x:c r="F26" s="372" t="str">
        <x:f>IF(ABS(D26)&lt;=E26,"OK","CHECK")</x:f>
        <x:v>OK</x:v>
      </x:c>
      <x:c r="G26" s="90" t="str">
        <x:v>Cash-flow components tie to reported CFO.</x:v>
      </x:c>
    </x:row>
    <x:row r="27" ht="25" customHeight="1">
      <x:c r="A27" s="88" t="str">
        <x:v>Segment revenue tie — 2023</x:v>
      </x:c>
      <x:c r="B27" s="134" t="n">
        <x:f>'P3 Historical IS'!E54</x:f>
        <x:v>-5.680003596353345e-7</x:v>
      </x:c>
      <x:c r="C27" s="134" t="n">
        <x:v>0</x:v>
      </x:c>
      <x:c r="D27" s="134" t="n">
        <x:f>B27-C27</x:f>
        <x:v>-5.680003596353345e-7</x:v>
      </x:c>
      <x:c r="E27" s="134" t="n">
        <x:v>0.01</x:v>
      </x:c>
      <x:c r="F27" s="372" t="str">
        <x:f>IF(ABS(D27)&lt;=E27,"OK","CHECK")</x:f>
        <x:v>OK</x:v>
      </x:c>
      <x:c r="G27" s="90" t="str">
        <x:v>Port + logistics + other = consolidated revenue.</x:v>
      </x:c>
    </x:row>
    <x:row r="28" ht="25" customHeight="1">
      <x:c r="A28" s="88" t="str">
        <x:v>PBT bridge — 2023</x:v>
      </x:c>
      <x:c r="B28" s="134" t="n">
        <x:f>'P3 Historical IS'!E24</x:f>
        <x:v>-4.547473508864641e-13</x:v>
      </x:c>
      <x:c r="C28" s="134" t="n">
        <x:v>0</x:v>
      </x:c>
      <x:c r="D28" s="134" t="n">
        <x:f>B28-C28</x:f>
        <x:v>-4.547473508864641e-13</x:v>
      </x:c>
      <x:c r="E28" s="134" t="n">
        <x:v>0.01</x:v>
      </x:c>
      <x:c r="F28" s="372" t="str">
        <x:f>IF(ABS(D28)&lt;=E28,"OK","CHECK")</x:f>
        <x:v>OK</x:v>
      </x:c>
      <x:c r="G28" s="90" t="str">
        <x:v>Calculated PBT ties to VNStock/audited PBT.</x:v>
      </x:c>
    </x:row>
    <x:row r="29" ht="25" customHeight="1">
      <x:c r="A29" s="88" t="str">
        <x:v>PAT bridge — 2023</x:v>
      </x:c>
      <x:c r="B29" s="134" t="n">
        <x:f>'P3 Historical IS'!E42</x:f>
        <x:v>0</x:v>
      </x:c>
      <x:c r="C29" s="134" t="n">
        <x:v>0</x:v>
      </x:c>
      <x:c r="D29" s="134" t="n">
        <x:f>B29-C29</x:f>
        <x:v>0</x:v>
      </x:c>
      <x:c r="E29" s="134" t="n">
        <x:v>0.01</x:v>
      </x:c>
      <x:c r="F29" s="372" t="str">
        <x:f>IF(ABS(D29)&lt;=E29,"OK","CHECK")</x:f>
        <x:v>OK</x:v>
      </x:c>
      <x:c r="G29" s="90" t="str">
        <x:v>Tax bridge ties to consolidated PAT.</x:v>
      </x:c>
    </x:row>
    <x:row r="30" ht="25" customHeight="1">
      <x:c r="A30" s="88" t="str">
        <x:v>PAT attribution — 2023</x:v>
      </x:c>
      <x:c r="B30" s="134" t="n">
        <x:f>'P3 Historical IS'!E45</x:f>
        <x:v>4.547473508864641e-13</x:v>
      </x:c>
      <x:c r="C30" s="134" t="n">
        <x:v>0</x:v>
      </x:c>
      <x:c r="D30" s="134" t="n">
        <x:f>B30-C30</x:f>
        <x:v>4.547473508864641e-13</x:v>
      </x:c>
      <x:c r="E30" s="134" t="n">
        <x:v>0.01</x:v>
      </x:c>
      <x:c r="F30" s="372" t="str">
        <x:f>IF(ABS(D30)&lt;=E30,"OK","CHECK")</x:f>
        <x:v>OK</x:v>
      </x:c>
      <x:c r="G30" s="90" t="str">
        <x:v>Parent + NCI = consolidated PAT.</x:v>
      </x:c>
    </x:row>
    <x:row r="31" ht="25" customHeight="1">
      <x:c r="A31" s="88" t="str">
        <x:v>Port revenue identity — 2023</x:v>
      </x:c>
      <x:c r="B31" s="134" t="n">
        <x:f>'P3 Port Drivers'!E8-'P3 Port Drivers'!E6*'P3 Port Drivers'!E10</x:f>
        <x:v>0</x:v>
      </x:c>
      <x:c r="C31" s="134" t="n">
        <x:v>0</x:v>
      </x:c>
      <x:c r="D31" s="134" t="n">
        <x:f>B31-C31</x:f>
        <x:v>0</x:v>
      </x:c>
      <x:c r="E31" s="134" t="n">
        <x:v>0.01</x:v>
      </x:c>
      <x:c r="F31" s="372" t="str">
        <x:f>IF(ABS(D31)&lt;=E31,"OK","CHECK")</x:f>
        <x:v>OK</x:v>
      </x:c>
      <x:c r="G31" s="90" t="str">
        <x:v>Throughput × unit proxy = port revenue.</x:v>
      </x:c>
    </x:row>
    <x:row r="32" ht="25" customHeight="1">
      <x:c r="A32" s="88" t="str">
        <x:v>Associate composition — 2023</x:v>
      </x:c>
      <x:c r="B32" s="134" t="n">
        <x:f>'P3 Associates'!E6-SUM('P3 Associates'!E7:E10)</x:f>
        <x:v>0</x:v>
      </x:c>
      <x:c r="C32" s="134" t="n">
        <x:v>0</x:v>
      </x:c>
      <x:c r="D32" s="134" t="n">
        <x:f>B32-C32</x:f>
        <x:v>0</x:v>
      </x:c>
      <x:c r="E32" s="134" t="n">
        <x:v>0.01</x:v>
      </x:c>
      <x:c r="F32" s="372" t="str">
        <x:f>IF(ABS(D32)&lt;=E32,"OK","CHECK")</x:f>
        <x:v>OK</x:v>
      </x:c>
      <x:c r="G32" s="90" t="str">
        <x:v>Named associates + residual = total.</x:v>
      </x:c>
    </x:row>
    <x:row r="33" ht="25" customHeight="1">
      <x:c r="A33" s="88" t="str">
        <x:v>Pre-WC bridge — 2023</x:v>
      </x:c>
      <x:c r="B33" s="134" t="n">
        <x:f>'P3 Cash Flow'!E28</x:f>
        <x:v>4.547473508864641e-13</x:v>
      </x:c>
      <x:c r="C33" s="134" t="n">
        <x:v>0</x:v>
      </x:c>
      <x:c r="D33" s="134" t="n">
        <x:f>B33-C33</x:f>
        <x:v>4.547473508864641e-13</x:v>
      </x:c>
      <x:c r="E33" s="134" t="n">
        <x:v>0.01</x:v>
      </x:c>
      <x:c r="F33" s="372" t="str">
        <x:f>IF(ABS(D33)&lt;=E33,"OK","CHECK")</x:f>
        <x:v>OK</x:v>
      </x:c>
      <x:c r="G33" s="90" t="str">
        <x:v>PBT and non-cash adjustments tie to the disclosed subtotal.</x:v>
      </x:c>
    </x:row>
    <x:row r="34" ht="25" customHeight="1">
      <x:c r="A34" s="88" t="str">
        <x:v>CFO reconstruction — 2023</x:v>
      </x:c>
      <x:c r="B34" s="134" t="n">
        <x:f>'P3 Cash Flow'!E43</x:f>
        <x:v>5.364597654988756e-13</x:v>
      </x:c>
      <x:c r="C34" s="134" t="n">
        <x:v>0</x:v>
      </x:c>
      <x:c r="D34" s="134" t="n">
        <x:f>B34-C34</x:f>
        <x:v>5.364597654988756e-13</x:v>
      </x:c>
      <x:c r="E34" s="134" t="n">
        <x:v>0.01</x:v>
      </x:c>
      <x:c r="F34" s="372" t="str">
        <x:f>IF(ABS(D34)&lt;=E34,"OK","CHECK")</x:f>
        <x:v>OK</x:v>
      </x:c>
      <x:c r="G34" s="90" t="str">
        <x:v>Cash-flow components tie to reported CFO.</x:v>
      </x:c>
    </x:row>
    <x:row r="35" ht="25" customHeight="1">
      <x:c r="A35" s="88" t="str">
        <x:v>Segment revenue tie — 2024</x:v>
      </x:c>
      <x:c r="B35" s="134" t="n">
        <x:f>'P3 Historical IS'!F54</x:f>
        <x:v>3.9000042306724936e-8</x:v>
      </x:c>
      <x:c r="C35" s="134" t="n">
        <x:v>0</x:v>
      </x:c>
      <x:c r="D35" s="134" t="n">
        <x:f>B35-C35</x:f>
        <x:v>3.9000042306724936e-8</x:v>
      </x:c>
      <x:c r="E35" s="134" t="n">
        <x:v>0.01</x:v>
      </x:c>
      <x:c r="F35" s="372" t="str">
        <x:f>IF(ABS(D35)&lt;=E35,"OK","CHECK")</x:f>
        <x:v>OK</x:v>
      </x:c>
      <x:c r="G35" s="90" t="str">
        <x:v>Port + logistics + other = consolidated revenue.</x:v>
      </x:c>
    </x:row>
    <x:row r="36" ht="25" customHeight="1">
      <x:c r="A36" s="88" t="str">
        <x:v>PBT bridge — 2024</x:v>
      </x:c>
      <x:c r="B36" s="134" t="n">
        <x:f>'P3 Historical IS'!F24</x:f>
        <x:v>0</x:v>
      </x:c>
      <x:c r="C36" s="134" t="n">
        <x:v>0</x:v>
      </x:c>
      <x:c r="D36" s="134" t="n">
        <x:f>B36-C36</x:f>
        <x:v>0</x:v>
      </x:c>
      <x:c r="E36" s="134" t="n">
        <x:v>0.01</x:v>
      </x:c>
      <x:c r="F36" s="372" t="str">
        <x:f>IF(ABS(D36)&lt;=E36,"OK","CHECK")</x:f>
        <x:v>OK</x:v>
      </x:c>
      <x:c r="G36" s="90" t="str">
        <x:v>Calculated PBT ties to VNStock/audited PBT.</x:v>
      </x:c>
    </x:row>
    <x:row r="37" ht="25" customHeight="1">
      <x:c r="A37" s="88" t="str">
        <x:v>PAT bridge — 2024</x:v>
      </x:c>
      <x:c r="B37" s="134" t="n">
        <x:f>'P3 Historical IS'!F42</x:f>
        <x:v>-2.2737367544323206e-13</x:v>
      </x:c>
      <x:c r="C37" s="134" t="n">
        <x:v>0</x:v>
      </x:c>
      <x:c r="D37" s="134" t="n">
        <x:f>B37-C37</x:f>
        <x:v>-2.2737367544323206e-13</x:v>
      </x:c>
      <x:c r="E37" s="134" t="n">
        <x:v>0.01</x:v>
      </x:c>
      <x:c r="F37" s="372" t="str">
        <x:f>IF(ABS(D37)&lt;=E37,"OK","CHECK")</x:f>
        <x:v>OK</x:v>
      </x:c>
      <x:c r="G37" s="90" t="str">
        <x:v>Tax bridge ties to consolidated PAT.</x:v>
      </x:c>
    </x:row>
    <x:row r="38" ht="25" customHeight="1">
      <x:c r="A38" s="88" t="str">
        <x:v>PAT attribution — 2024</x:v>
      </x:c>
      <x:c r="B38" s="134" t="n">
        <x:f>'P3 Historical IS'!F45</x:f>
        <x:v>0</x:v>
      </x:c>
      <x:c r="C38" s="134" t="n">
        <x:v>0</x:v>
      </x:c>
      <x:c r="D38" s="134" t="n">
        <x:f>B38-C38</x:f>
        <x:v>0</x:v>
      </x:c>
      <x:c r="E38" s="134" t="n">
        <x:v>0.01</x:v>
      </x:c>
      <x:c r="F38" s="372" t="str">
        <x:f>IF(ABS(D38)&lt;=E38,"OK","CHECK")</x:f>
        <x:v>OK</x:v>
      </x:c>
      <x:c r="G38" s="90" t="str">
        <x:v>Parent + NCI = consolidated PAT.</x:v>
      </x:c>
    </x:row>
    <x:row r="39" ht="25" customHeight="1">
      <x:c r="A39" s="88" t="str">
        <x:v>Port revenue identity — 2024</x:v>
      </x:c>
      <x:c r="B39" s="134" t="n">
        <x:f>'P3 Port Drivers'!F8-'P3 Port Drivers'!F6*'P3 Port Drivers'!F10</x:f>
        <x:v>0</x:v>
      </x:c>
      <x:c r="C39" s="134" t="n">
        <x:v>0</x:v>
      </x:c>
      <x:c r="D39" s="134" t="n">
        <x:f>B39-C39</x:f>
        <x:v>0</x:v>
      </x:c>
      <x:c r="E39" s="134" t="n">
        <x:v>0.01</x:v>
      </x:c>
      <x:c r="F39" s="372" t="str">
        <x:f>IF(ABS(D39)&lt;=E39,"OK","CHECK")</x:f>
        <x:v>OK</x:v>
      </x:c>
      <x:c r="G39" s="90" t="str">
        <x:v>Throughput × unit proxy = port revenue.</x:v>
      </x:c>
    </x:row>
    <x:row r="40" ht="25" customHeight="1">
      <x:c r="A40" s="88" t="str">
        <x:v>Associate composition — 2024</x:v>
      </x:c>
      <x:c r="B40" s="134" t="n">
        <x:f>'P3 Associates'!F6-SUM('P3 Associates'!F7:F10)</x:f>
        <x:v>0</x:v>
      </x:c>
      <x:c r="C40" s="134" t="n">
        <x:v>0</x:v>
      </x:c>
      <x:c r="D40" s="134" t="n">
        <x:f>B40-C40</x:f>
        <x:v>0</x:v>
      </x:c>
      <x:c r="E40" s="134" t="n">
        <x:v>0.01</x:v>
      </x:c>
      <x:c r="F40" s="372" t="str">
        <x:f>IF(ABS(D40)&lt;=E40,"OK","CHECK")</x:f>
        <x:v>OK</x:v>
      </x:c>
      <x:c r="G40" s="90" t="str">
        <x:v>Named associates + residual = total.</x:v>
      </x:c>
    </x:row>
    <x:row r="41" ht="25" customHeight="1">
      <x:c r="A41" s="88" t="str">
        <x:v>Pre-WC bridge — 2024</x:v>
      </x:c>
      <x:c r="B41" s="134" t="n">
        <x:f>'P3 Cash Flow'!F28</x:f>
        <x:v>4.547473508864641e-13</x:v>
      </x:c>
      <x:c r="C41" s="134" t="n">
        <x:v>0</x:v>
      </x:c>
      <x:c r="D41" s="134" t="n">
        <x:f>B41-C41</x:f>
        <x:v>4.547473508864641e-13</x:v>
      </x:c>
      <x:c r="E41" s="134" t="n">
        <x:v>0.01</x:v>
      </x:c>
      <x:c r="F41" s="372" t="str">
        <x:f>IF(ABS(D41)&lt;=E41,"OK","CHECK")</x:f>
        <x:v>OK</x:v>
      </x:c>
      <x:c r="G41" s="90" t="str">
        <x:v>PBT and non-cash adjustments tie to the disclosed subtotal.</x:v>
      </x:c>
    </x:row>
    <x:row r="42" ht="25" customHeight="1">
      <x:c r="A42" s="88" t="str">
        <x:v>CFO reconstruction — 2024</x:v>
      </x:c>
      <x:c r="B42" s="134" t="n">
        <x:f>'P3 Cash Flow'!F43</x:f>
        <x:v>4.547473508864641e-13</x:v>
      </x:c>
      <x:c r="C42" s="134" t="n">
        <x:v>0</x:v>
      </x:c>
      <x:c r="D42" s="134" t="n">
        <x:f>B42-C42</x:f>
        <x:v>4.547473508864641e-13</x:v>
      </x:c>
      <x:c r="E42" s="134" t="n">
        <x:v>0.01</x:v>
      </x:c>
      <x:c r="F42" s="372" t="str">
        <x:f>IF(ABS(D42)&lt;=E42,"OK","CHECK")</x:f>
        <x:v>OK</x:v>
      </x:c>
      <x:c r="G42" s="90" t="str">
        <x:v>Cash-flow components tie to reported CFO.</x:v>
      </x:c>
    </x:row>
    <x:row r="43" ht="25" customHeight="1">
      <x:c r="A43" s="88" t="str">
        <x:v>Segment revenue tie — 2025</x:v>
      </x:c>
      <x:c r="B43" s="134" t="n">
        <x:f>'P3 Historical IS'!G54</x:f>
        <x:v>-0.0000010150006346520968</x:v>
      </x:c>
      <x:c r="C43" s="134" t="n">
        <x:v>0</x:v>
      </x:c>
      <x:c r="D43" s="134" t="n">
        <x:f>B43-C43</x:f>
        <x:v>-0.0000010150006346520968</x:v>
      </x:c>
      <x:c r="E43" s="134" t="n">
        <x:v>0.01</x:v>
      </x:c>
      <x:c r="F43" s="372" t="str">
        <x:f>IF(ABS(D43)&lt;=E43,"OK","CHECK")</x:f>
        <x:v>OK</x:v>
      </x:c>
      <x:c r="G43" s="90" t="str">
        <x:v>Port + logistics + other = consolidated revenue.</x:v>
      </x:c>
    </x:row>
    <x:row r="44" ht="25" customHeight="1">
      <x:c r="A44" s="88" t="str">
        <x:v>PBT bridge — 2025</x:v>
      </x:c>
      <x:c r="B44" s="134" t="n">
        <x:f>'P3 Historical IS'!G24</x:f>
        <x:v>0</x:v>
      </x:c>
      <x:c r="C44" s="134" t="n">
        <x:v>0</x:v>
      </x:c>
      <x:c r="D44" s="134" t="n">
        <x:f>B44-C44</x:f>
        <x:v>0</x:v>
      </x:c>
      <x:c r="E44" s="134" t="n">
        <x:v>0.01</x:v>
      </x:c>
      <x:c r="F44" s="372" t="str">
        <x:f>IF(ABS(D44)&lt;=E44,"OK","CHECK")</x:f>
        <x:v>OK</x:v>
      </x:c>
      <x:c r="G44" s="90" t="str">
        <x:v>Calculated PBT ties to VNStock/audited PBT.</x:v>
      </x:c>
    </x:row>
    <x:row r="45" ht="25" customHeight="1">
      <x:c r="A45" s="88" t="str">
        <x:v>PAT bridge — 2025</x:v>
      </x:c>
      <x:c r="B45" s="134" t="n">
        <x:f>'P3 Historical IS'!G42</x:f>
        <x:v>4.547473508864641e-13</x:v>
      </x:c>
      <x:c r="C45" s="134" t="n">
        <x:v>0</x:v>
      </x:c>
      <x:c r="D45" s="134" t="n">
        <x:f>B45-C45</x:f>
        <x:v>4.547473508864641e-13</x:v>
      </x:c>
      <x:c r="E45" s="134" t="n">
        <x:v>0.01</x:v>
      </x:c>
      <x:c r="F45" s="372" t="str">
        <x:f>IF(ABS(D45)&lt;=E45,"OK","CHECK")</x:f>
        <x:v>OK</x:v>
      </x:c>
      <x:c r="G45" s="90" t="str">
        <x:v>Tax bridge ties to consolidated PAT.</x:v>
      </x:c>
    </x:row>
    <x:row r="46" ht="25" customHeight="1">
      <x:c r="A46" s="88" t="str">
        <x:v>PAT attribution — 2025</x:v>
      </x:c>
      <x:c r="B46" s="134" t="n">
        <x:f>'P3 Historical IS'!G45</x:f>
        <x:v>0</x:v>
      </x:c>
      <x:c r="C46" s="134" t="n">
        <x:v>0</x:v>
      </x:c>
      <x:c r="D46" s="134" t="n">
        <x:f>B46-C46</x:f>
        <x:v>0</x:v>
      </x:c>
      <x:c r="E46" s="134" t="n">
        <x:v>0.01</x:v>
      </x:c>
      <x:c r="F46" s="372" t="str">
        <x:f>IF(ABS(D46)&lt;=E46,"OK","CHECK")</x:f>
        <x:v>OK</x:v>
      </x:c>
      <x:c r="G46" s="90" t="str">
        <x:v>Parent + NCI = consolidated PAT.</x:v>
      </x:c>
    </x:row>
    <x:row r="47" ht="25" customHeight="1">
      <x:c r="A47" s="88" t="str">
        <x:v>Port revenue identity — 2025</x:v>
      </x:c>
      <x:c r="B47" s="134" t="n">
        <x:f>'P3 Port Drivers'!G8-'P3 Port Drivers'!G6*'P3 Port Drivers'!G10</x:f>
        <x:v>0</x:v>
      </x:c>
      <x:c r="C47" s="134" t="n">
        <x:v>0</x:v>
      </x:c>
      <x:c r="D47" s="134" t="n">
        <x:f>B47-C47</x:f>
        <x:v>0</x:v>
      </x:c>
      <x:c r="E47" s="134" t="n">
        <x:v>0.01</x:v>
      </x:c>
      <x:c r="F47" s="372" t="str">
        <x:f>IF(ABS(D47)&lt;=E47,"OK","CHECK")</x:f>
        <x:v>OK</x:v>
      </x:c>
      <x:c r="G47" s="90" t="str">
        <x:v>Throughput × unit proxy = port revenue.</x:v>
      </x:c>
    </x:row>
    <x:row r="48" ht="25" customHeight="1">
      <x:c r="A48" s="88" t="str">
        <x:v>Associate composition — 2025</x:v>
      </x:c>
      <x:c r="B48" s="134" t="n">
        <x:f>'P3 Associates'!G6-SUM('P3 Associates'!G7:G10)</x:f>
        <x:v>0</x:v>
      </x:c>
      <x:c r="C48" s="134" t="n">
        <x:v>0</x:v>
      </x:c>
      <x:c r="D48" s="134" t="n">
        <x:f>B48-C48</x:f>
        <x:v>0</x:v>
      </x:c>
      <x:c r="E48" s="134" t="n">
        <x:v>0.01</x:v>
      </x:c>
      <x:c r="F48" s="372" t="str">
        <x:f>IF(ABS(D48)&lt;=E48,"OK","CHECK")</x:f>
        <x:v>OK</x:v>
      </x:c>
      <x:c r="G48" s="90" t="str">
        <x:v>Named associates + residual = total.</x:v>
      </x:c>
    </x:row>
    <x:row r="49" ht="25" customHeight="1">
      <x:c r="A49" s="88" t="str">
        <x:v>Pre-WC bridge — 2025</x:v>
      </x:c>
      <x:c r="B49" s="134" t="n">
        <x:f>'P3 Cash Flow'!G28</x:f>
        <x:v>0</x:v>
      </x:c>
      <x:c r="C49" s="134" t="n">
        <x:v>0</x:v>
      </x:c>
      <x:c r="D49" s="134" t="n">
        <x:f>B49-C49</x:f>
        <x:v>0</x:v>
      </x:c>
      <x:c r="E49" s="134" t="n">
        <x:v>0.01</x:v>
      </x:c>
      <x:c r="F49" s="372" t="str">
        <x:f>IF(ABS(D49)&lt;=E49,"OK","CHECK")</x:f>
        <x:v>OK</x:v>
      </x:c>
      <x:c r="G49" s="90" t="str">
        <x:v>PBT and non-cash adjustments tie to the disclosed subtotal.</x:v>
      </x:c>
    </x:row>
    <x:row r="50" ht="25" customHeight="1">
      <x:c r="A50" s="88" t="str">
        <x:v>CFO reconstruction — 2025</x:v>
      </x:c>
      <x:c r="B50" s="134" t="n">
        <x:f>'P3 Cash Flow'!G43</x:f>
        <x:v>0</x:v>
      </x:c>
      <x:c r="C50" s="134" t="n">
        <x:v>0</x:v>
      </x:c>
      <x:c r="D50" s="134" t="n">
        <x:f>B50-C50</x:f>
        <x:v>0</x:v>
      </x:c>
      <x:c r="E50" s="134" t="n">
        <x:v>0.01</x:v>
      </x:c>
      <x:c r="F50" s="372" t="str">
        <x:f>IF(ABS(D50)&lt;=E50,"OK","CHECK")</x:f>
        <x:v>OK</x:v>
      </x:c>
      <x:c r="G50" s="90" t="str">
        <x:v>Cash-flow components tie to reported CFO.</x:v>
      </x:c>
    </x:row>
    <x:row r="51" ht="25" customHeight="1">
      <x:c r="A51" s="88" t="str">
        <x:v>Revenue bridge — 2022</x:v>
      </x:c>
      <x:c r="B51" s="134" t="n">
        <x:f>'P3 Port Drivers'!D24</x:f>
        <x:v>-1.1368683772161603e-13</x:v>
      </x:c>
      <x:c r="C51" s="134" t="n">
        <x:v>0</x:v>
      </x:c>
      <x:c r="D51" s="134" t="n">
        <x:f>B51-C51</x:f>
        <x:v>-1.1368683772161603e-13</x:v>
      </x:c>
      <x:c r="E51" s="134" t="n">
        <x:v>0.01</x:v>
      </x:c>
      <x:c r="F51" s="372" t="str">
        <x:f>IF(ABS(D51)&lt;=E51,"OK","CHECK")</x:f>
        <x:v>OK</x:v>
      </x:c>
      <x:c r="G51" s="90" t="str">
        <x:v>Volume + unit/mix/scope = revenue change.</x:v>
      </x:c>
    </x:row>
    <x:row r="52" ht="25" customHeight="1">
      <x:c r="A52" s="88" t="str">
        <x:v>Revenue bridge — 2023</x:v>
      </x:c>
      <x:c r="B52" s="134" t="n">
        <x:f>'P3 Port Drivers'!E24</x:f>
        <x:v>0</x:v>
      </x:c>
      <x:c r="C52" s="134" t="n">
        <x:v>0</x:v>
      </x:c>
      <x:c r="D52" s="134" t="n">
        <x:f>B52-C52</x:f>
        <x:v>0</x:v>
      </x:c>
      <x:c r="E52" s="134" t="n">
        <x:v>0.01</x:v>
      </x:c>
      <x:c r="F52" s="372" t="str">
        <x:f>IF(ABS(D52)&lt;=E52,"OK","CHECK")</x:f>
        <x:v>OK</x:v>
      </x:c>
      <x:c r="G52" s="90" t="str">
        <x:v>Volume + unit/mix/scope = revenue change.</x:v>
      </x:c>
    </x:row>
    <x:row r="53" ht="25" customHeight="1">
      <x:c r="A53" s="88" t="str">
        <x:v>Revenue bridge — 2024</x:v>
      </x:c>
      <x:c r="B53" s="134" t="n">
        <x:f>'P3 Port Drivers'!F24</x:f>
        <x:v>0</x:v>
      </x:c>
      <x:c r="C53" s="134" t="n">
        <x:v>0</x:v>
      </x:c>
      <x:c r="D53" s="134" t="n">
        <x:f>B53-C53</x:f>
        <x:v>0</x:v>
      </x:c>
      <x:c r="E53" s="134" t="n">
        <x:v>0.01</x:v>
      </x:c>
      <x:c r="F53" s="372" t="str">
        <x:f>IF(ABS(D53)&lt;=E53,"OK","CHECK")</x:f>
        <x:v>OK</x:v>
      </x:c>
      <x:c r="G53" s="90" t="str">
        <x:v>Volume + unit/mix/scope = revenue change.</x:v>
      </x:c>
    </x:row>
    <x:row r="54" ht="25" customHeight="1">
      <x:c r="A54" s="88" t="str">
        <x:v>Revenue bridge — 2025</x:v>
      </x:c>
      <x:c r="B54" s="134" t="n">
        <x:f>'P3 Port Drivers'!G24</x:f>
        <x:v>0</x:v>
      </x:c>
      <x:c r="C54" s="134" t="n">
        <x:v>0</x:v>
      </x:c>
      <x:c r="D54" s="134" t="n">
        <x:f>B54-C54</x:f>
        <x:v>0</x:v>
      </x:c>
      <x:c r="E54" s="134" t="n">
        <x:v>0.01</x:v>
      </x:c>
      <x:c r="F54" s="372" t="str">
        <x:f>IF(ABS(D54)&lt;=E54,"OK","CHECK")</x:f>
        <x:v>OK</x:v>
      </x:c>
      <x:c r="G54" s="90" t="str">
        <x:v>Volume + unit/mix/scope = revenue change.</x:v>
      </x:c>
    </x:row>
    <x:row r="55" ht="25" customHeight="1">
      <x:c r="A55" s="91" t="str">
        <x:v>No forecast / valuation output</x:v>
      </x:c>
      <x:c r="B55" s="135" t="n">
        <x:f>0</x:f>
        <x:v>0</x:v>
      </x:c>
      <x:c r="C55" s="135" t="n">
        <x:v>0</x:v>
      </x:c>
      <x:c r="D55" s="135" t="n">
        <x:f>B55-C55</x:f>
        <x:v>0</x:v>
      </x:c>
      <x:c r="E55" s="135" t="n">
        <x:v>0</x:v>
      </x:c>
      <x:c r="F55" s="373" t="str">
        <x:f>IF(ABS(D55)&lt;=E55,"OK","CHECK")</x:f>
        <x:v>OK</x:v>
      </x:c>
      <x:c r="G55" s="93" t="str">
        <x:v>Phase 3 contains issuer guidance but no analyst forecast, rating or target price.</x:v>
      </x:c>
    </x:row>
    <x:row r="57" ht="21" customHeight="1">
      <x:c r="A57" s="286" t="str">
        <x:v>Overall Phase 3 status</x:v>
      </x:c>
      <x:c r="B57" s="286" t="str">
        <x:v>Overall Phase 3 status</x:v>
      </x:c>
      <x:c r="C57" s="286" t="str">
        <x:v>Overall Phase 3 status</x:v>
      </x:c>
      <x:c r="D57" s="286" t="str">
        <x:v>Overall Phase 3 status</x:v>
      </x:c>
      <x:c r="E57" s="286" t="str">
        <x:v>Overall Phase 3 status</x:v>
      </x:c>
      <x:c r="F57" s="286" t="str">
        <x:v>Overall Phase 3 status</x:v>
      </x:c>
      <x:c r="G57" s="286" t="str">
        <x:v>Overall Phase 3 status</x:v>
      </x:c>
    </x:row>
    <x:row r="58" ht="31" customHeight="1">
      <x:c r="A58" s="270" t="str">
        <x:v>Phase 3 model status</x:v>
      </x:c>
      <x:c r="B58" s="376" t="str">
        <x:f>IF(COUNTIF(F7:F55,"CHECK")=0,"OK — five-year raw-linked history reconciled; ready for Phase 4","CHECK — resolve Phase 3 controls")</x:f>
        <x:v>OK — five-year raw-linked history reconciled; ready for Phase 4</x:v>
      </x:c>
      <x:c r="C58" s="376"/>
      <x:c r="D58" s="376"/>
      <x:c r="E58" s="376"/>
      <x:c r="F58" s="376"/>
      <x:c r="G58" s="376"/>
    </x:row>
  </x:sheetData>
  <x:mergeCells>
    <x:mergeCell ref="A1:G1"/>
    <x:mergeCell ref="A2:G2"/>
    <x:mergeCell ref="A4:G4"/>
    <x:mergeCell ref="A57:G57"/>
    <x:mergeCell ref="B58:G58"/>
  </x:mergeCells>
  <x:conditionalFormatting sqref="A7:G55">
    <x:cfRule type="expression" dxfId="5" priority="1">
      <x:formula>$F7="CHECK"</x:formula>
    </x:cfRule>
  </x:conditionalFormatting>
  <x:pageMargins left="0.7" right="0.7" top="0.75" bottom="0.75" header="0.3" footer="0.3"/>
</x:worksheet>
</file>

<file path=xl/worksheets/sheet27.xml><?xml version="1.0" encoding="utf-8"?>
<x:worksheet xmlns:x="http://schemas.openxmlformats.org/spreadsheetml/2006/main">
  <x:sheetViews>
    <x:sheetView showGridLines="0" workbookViewId="0"/>
  </x:sheetViews>
  <x:sheetFormatPr defaultRowHeight="15"/>
  <x:cols>
    <x:col min="1" max="1" width="43" hidden="0" customWidth="1"/>
    <x:col min="2" max="2" width="20" hidden="0" customWidth="1"/>
    <x:col min="3" max="3" width="18" hidden="0" customWidth="1"/>
    <x:col min="4" max="4" width="17" hidden="0" customWidth="1"/>
    <x:col min="5" max="5" width="66" hidden="0" customWidth="1"/>
    <x:col min="6" max="6" width="25" hidden="0" customWidth="1"/>
    <x:col min="7" max="7" width="20" hidden="0" customWidth="1"/>
    <x:col min="8" max="8" width="62" hidden="0" customWidth="1"/>
  </x:cols>
  <x:sheetData>
    <x:row r="1" ht="30" customHeight="1">
      <x:c r="A1" s="408" t="str">
        <x:v>Raw GMD Market &amp; Valuation Facts</x:v>
      </x:c>
      <x:c r="B1" s="408" t="str">
        <x:v>Raw GMD Market &amp; Valuation Facts</x:v>
      </x:c>
      <x:c r="C1" s="408" t="str">
        <x:v>Raw GMD Market &amp; Valuation Facts</x:v>
      </x:c>
      <x:c r="D1" s="408" t="str">
        <x:v>Raw GMD Market &amp; Valuation Facts</x:v>
      </x:c>
      <x:c r="E1" s="408" t="str">
        <x:v>Raw GMD Market &amp; Valuation Facts</x:v>
      </x:c>
      <x:c r="F1" s="408" t="str">
        <x:v>Raw GMD Market &amp; Valuation Facts</x:v>
      </x:c>
      <x:c r="G1" s="408" t="str">
        <x:v>Raw GMD Market &amp; Valuation Facts</x:v>
      </x:c>
      <x:c r="H1" s="408" t="str">
        <x:v>Raw GMD Market &amp; Valuation Facts</x:v>
      </x:c>
    </x:row>
    <x:row r="2" ht="34" customHeight="1">
      <x:c r="A2" s="412" t="str">
        <x:v>Market data and issuer facts used by Phase 4. Price is in VND thousand; balance-sheet links are in VND billion.</x:v>
      </x:c>
      <x:c r="B2" s="412" t="str">
        <x:v>Market data and issuer facts used by Phase 4. Price is in VND thousand; balance-sheet links are in VND billion.</x:v>
      </x:c>
      <x:c r="C2" s="412" t="str">
        <x:v>Market data and issuer facts used by Phase 4. Price is in VND thousand; balance-sheet links are in VND billion.</x:v>
      </x:c>
      <x:c r="D2" s="412" t="str">
        <x:v>Market data and issuer facts used by Phase 4. Price is in VND thousand; balance-sheet links are in VND billion.</x:v>
      </x:c>
      <x:c r="E2" s="412" t="str">
        <x:v>Market data and issuer facts used by Phase 4. Price is in VND thousand; balance-sheet links are in VND billion.</x:v>
      </x:c>
      <x:c r="F2" s="412" t="str">
        <x:v>Market data and issuer facts used by Phase 4. Price is in VND thousand; balance-sheet links are in VND billion.</x:v>
      </x:c>
      <x:c r="G2" s="412" t="str">
        <x:v>Market data and issuer facts used by Phase 4. Price is in VND thousand; balance-sheet links are in VND billion.</x:v>
      </x:c>
      <x:c r="H2" s="412" t="str">
        <x:v>Market data and issuer facts used by Phase 4. Price is in VND thousand; balance-sheet links are in VND billion.</x:v>
      </x:c>
    </x:row>
    <x:row r="4" ht="22" customHeight="1">
      <x:c r="A4" s="415" t="str">
        <x:v>GMD daily OHLCV — VNStock VCI, cross-checked to KBS</x:v>
      </x:c>
      <x:c r="B4" s="415" t="str">
        <x:v>GMD daily OHLCV — VNStock VCI, cross-checked to KBS</x:v>
      </x:c>
      <x:c r="C4" s="415" t="str">
        <x:v>GMD daily OHLCV — VNStock VCI, cross-checked to KBS</x:v>
      </x:c>
      <x:c r="D4" s="415" t="str">
        <x:v>GMD daily OHLCV — VNStock VCI, cross-checked to KBS</x:v>
      </x:c>
      <x:c r="E4" s="415" t="str">
        <x:v>GMD daily OHLCV — VNStock VCI, cross-checked to KBS</x:v>
      </x:c>
      <x:c r="F4" s="415" t="str">
        <x:v>GMD daily OHLCV — VNStock VCI, cross-checked to KBS</x:v>
      </x:c>
      <x:c r="G4" s="415" t="str">
        <x:v>GMD daily OHLCV — VNStock VCI, cross-checked to KBS</x:v>
      </x:c>
      <x:c r="H4" s="415" t="str">
        <x:v>GMD daily OHLCV — VNStock VCI, cross-checked to KBS</x:v>
      </x:c>
    </x:row>
    <x:row r="5" ht="32" customHeight="1">
      <x:c r="A5" s="421" t="str">
        <x:v>Date</x:v>
      </x:c>
      <x:c r="B5" s="421" t="str">
        <x:v>Open</x:v>
      </x:c>
      <x:c r="C5" s="421" t="str">
        <x:v>High</x:v>
      </x:c>
      <x:c r="D5" s="421" t="str">
        <x:v>Low</x:v>
      </x:c>
      <x:c r="E5" s="421" t="str">
        <x:v>Close</x:v>
      </x:c>
      <x:c r="F5" s="421" t="str">
        <x:v>Volume</x:v>
      </x:c>
      <x:c r="G5" s="421" t="str">
        <x:v>Source ID</x:v>
      </x:c>
      <x:c r="H5" s="421" t="str">
        <x:v>Source URL</x:v>
      </x:c>
    </x:row>
    <x:row r="6" ht="25" customHeight="1">
      <x:c r="A6" s="422" t="n">
        <x:v>46220</x:v>
      </x:c>
      <x:c r="B6" s="425" t="n">
        <x:v>79</x:v>
      </x:c>
      <x:c r="C6" s="425" t="n">
        <x:v>79</x:v>
      </x:c>
      <x:c r="D6" s="425" t="n">
        <x:v>76.4</x:v>
      </x:c>
      <x:c r="E6" s="425" t="n">
        <x:v>77.5</x:v>
      </x:c>
      <x:c r="F6" s="130" t="n">
        <x:v>990500</x:v>
      </x:c>
      <x:c r="G6" s="86" t="str">
        <x:v>SRC-P401</x:v>
      </x:c>
      <x:c r="H6" s="428" t="str">
        <x:v>https://vnstocks.com/docs/vnstock/du-lieu-thi-truong-market-data</x:v>
      </x:c>
    </x:row>
    <x:row r="7" ht="25" customHeight="1">
      <x:c r="A7" s="423" t="n">
        <x:v>46223</x:v>
      </x:c>
      <x:c r="B7" s="426" t="n">
        <x:v>76.7</x:v>
      </x:c>
      <x:c r="C7" s="426" t="n">
        <x:v>77.1</x:v>
      </x:c>
      <x:c r="D7" s="426" t="n">
        <x:v>75.3</x:v>
      </x:c>
      <x:c r="E7" s="426" t="n">
        <x:v>76</x:v>
      </x:c>
      <x:c r="F7" s="131" t="n">
        <x:v>923100</x:v>
      </x:c>
      <x:c r="G7" s="89" t="str">
        <x:v>SRC-P401</x:v>
      </x:c>
      <x:c r="H7" s="429" t="str">
        <x:v>https://vnstocks.com/docs/vnstock/du-lieu-thi-truong-market-data</x:v>
      </x:c>
    </x:row>
    <x:row r="8" ht="25" customHeight="1">
      <x:c r="A8" s="423" t="n">
        <x:v>46224</x:v>
      </x:c>
      <x:c r="B8" s="426" t="n">
        <x:v>76</x:v>
      </x:c>
      <x:c r="C8" s="426" t="n">
        <x:v>77.4</x:v>
      </x:c>
      <x:c r="D8" s="426" t="n">
        <x:v>75.7</x:v>
      </x:c>
      <x:c r="E8" s="426" t="n">
        <x:v>76</x:v>
      </x:c>
      <x:c r="F8" s="131" t="n">
        <x:v>874700</x:v>
      </x:c>
      <x:c r="G8" s="89" t="str">
        <x:v>SRC-P401</x:v>
      </x:c>
      <x:c r="H8" s="429" t="str">
        <x:v>https://vnstocks.com/docs/vnstock/du-lieu-thi-truong-market-data</x:v>
      </x:c>
    </x:row>
    <x:row r="9" ht="25" customHeight="1">
      <x:c r="A9" s="423" t="n">
        <x:v>46225</x:v>
      </x:c>
      <x:c r="B9" s="426" t="n">
        <x:v>75.7</x:v>
      </x:c>
      <x:c r="C9" s="426" t="n">
        <x:v>76.3</x:v>
      </x:c>
      <x:c r="D9" s="426" t="n">
        <x:v>72</x:v>
      </x:c>
      <x:c r="E9" s="426" t="n">
        <x:v>72</x:v>
      </x:c>
      <x:c r="F9" s="131" t="n">
        <x:v>2233100</x:v>
      </x:c>
      <x:c r="G9" s="89" t="str">
        <x:v>SRC-P401</x:v>
      </x:c>
      <x:c r="H9" s="429" t="str">
        <x:v>https://vnstocks.com/docs/vnstock/du-lieu-thi-truong-market-data</x:v>
      </x:c>
    </x:row>
    <x:row r="10" ht="25" customHeight="1">
      <x:c r="A10" s="423" t="n">
        <x:v>46226</x:v>
      </x:c>
      <x:c r="B10" s="426" t="n">
        <x:v>71.9</x:v>
      </x:c>
      <x:c r="C10" s="426" t="n">
        <x:v>72.2</x:v>
      </x:c>
      <x:c r="D10" s="426" t="n">
        <x:v>67</x:v>
      </x:c>
      <x:c r="E10" s="426" t="n">
        <x:v>72</x:v>
      </x:c>
      <x:c r="F10" s="131" t="n">
        <x:v>3404000</x:v>
      </x:c>
      <x:c r="G10" s="89" t="str">
        <x:v>SRC-P401</x:v>
      </x:c>
      <x:c r="H10" s="429" t="str">
        <x:v>https://vnstocks.com/docs/vnstock/du-lieu-thi-truong-market-data</x:v>
      </x:c>
    </x:row>
    <x:row r="11" ht="25" customHeight="1">
      <x:c r="A11" s="424" t="n">
        <x:v>46227</x:v>
      </x:c>
      <x:c r="B11" s="427" t="n">
        <x:v>72</x:v>
      </x:c>
      <x:c r="C11" s="427" t="n">
        <x:v>73.2</x:v>
      </x:c>
      <x:c r="D11" s="427" t="n">
        <x:v>70.6</x:v>
      </x:c>
      <x:c r="E11" s="427" t="n">
        <x:v>73.2</x:v>
      </x:c>
      <x:c r="F11" s="132" t="n">
        <x:v>1829400</x:v>
      </x:c>
      <x:c r="G11" s="92" t="str">
        <x:v>SRC-P401</x:v>
      </x:c>
      <x:c r="H11" s="430" t="str">
        <x:v>https://vnstocks.com/docs/vnstock/du-lieu-thi-truong-market-data</x:v>
      </x:c>
    </x:row>
    <x:row r="13" ht="22" customHeight="1">
      <x:c r="A13" s="415" t="str">
        <x:v>Valuation, operating and guidance facts</x:v>
      </x:c>
      <x:c r="B13" s="415" t="str">
        <x:v>Valuation, operating and guidance facts</x:v>
      </x:c>
      <x:c r="C13" s="415" t="str">
        <x:v>Valuation, operating and guidance facts</x:v>
      </x:c>
      <x:c r="D13" s="415" t="str">
        <x:v>Valuation, operating and guidance facts</x:v>
      </x:c>
      <x:c r="E13" s="415" t="str">
        <x:v>Valuation, operating and guidance facts</x:v>
      </x:c>
      <x:c r="F13" s="415" t="str">
        <x:v>Valuation, operating and guidance facts</x:v>
      </x:c>
      <x:c r="G13" s="415" t="str">
        <x:v>Valuation, operating and guidance facts</x:v>
      </x:c>
      <x:c r="H13" s="415" t="str">
        <x:v>Valuation, operating and guidance facts</x:v>
      </x:c>
    </x:row>
    <x:row r="14" ht="32" customHeight="1">
      <x:c r="A14" s="421" t="str">
        <x:v>Metric</x:v>
      </x:c>
      <x:c r="B14" s="421" t="str">
        <x:v>Unit</x:v>
      </x:c>
      <x:c r="C14" s="421" t="str">
        <x:v>Value</x:v>
      </x:c>
      <x:c r="D14" s="421" t="str">
        <x:v>Source ID</x:v>
      </x:c>
      <x:c r="E14" s="421" t="str">
        <x:v>Source URL</x:v>
      </x:c>
      <x:c r="F14" s="421" t="str">
        <x:v>Data class</x:v>
      </x:c>
      <x:c r="G14" s="421" t="str">
        <x:v>As of / period</x:v>
      </x:c>
      <x:c r="H14" s="421" t="str">
        <x:v>Audit note</x:v>
      </x:c>
    </x:row>
    <x:row r="15" ht="32" customHeight="1">
      <x:c r="A15" s="85" t="str">
        <x:v>Latest close</x:v>
      </x:c>
      <x:c r="B15" s="86" t="str">
        <x:v>VND '000/share</x:v>
      </x:c>
      <x:c r="C15" s="210" t="n">
        <x:f>E11</x:f>
        <x:v>73.2</x:v>
      </x:c>
      <x:c r="D15" s="86" t="str">
        <x:v>SRC-P401</x:v>
      </x:c>
      <x:c r="E15" s="97" t="str">
        <x:v>https://vnstocks.com/docs/vnstock/du-lieu-thi-truong-market-data</x:v>
      </x:c>
      <x:c r="F15" s="86" t="str">
        <x:v>Market actual</x:v>
      </x:c>
      <x:c r="G15" s="86" t="str">
        <x:v>24-Jul-2026</x:v>
      </x:c>
      <x:c r="H15" s="87" t="str">
        <x:v>Latest trading day before the 25-Jul-2026 cut-off.</x:v>
      </x:c>
    </x:row>
    <x:row r="16" ht="32" customHeight="1">
      <x:c r="A16" s="88" t="str">
        <x:v>Listed shares</x:v>
      </x:c>
      <x:c r="B16" s="89" t="str">
        <x:v>m shares</x:v>
      </x:c>
      <x:c r="C16" s="211" t="n">
        <x:v>426.495109</x:v>
      </x:c>
      <x:c r="D16" s="89" t="str">
        <x:v>SRC-P402</x:v>
      </x:c>
      <x:c r="E16" s="98" t="str">
        <x:v>https://www.gemadept.com.vn/en/shareholders/</x:v>
      </x:c>
      <x:c r="F16" s="89" t="str">
        <x:v>Issuer fact</x:v>
      </x:c>
      <x:c r="G16" s="89" t="str">
        <x:v>25-Jul-2026</x:v>
      </x:c>
      <x:c r="H16" s="90" t="str">
        <x:v>Official listed-share count divided by one million.</x:v>
      </x:c>
    </x:row>
    <x:row r="17" ht="32" customHeight="1">
      <x:c r="A17" s="88" t="str">
        <x:v>Cash and cash equivalents</x:v>
      </x:c>
      <x:c r="B17" s="89" t="str">
        <x:v>VND bn</x:v>
      </x:c>
      <x:c r="C17" s="288" t="n">
        <x:f>'Raw GMD VNStock'!I32/'Raw GMD VNStock'!$B$3</x:f>
        <x:v>1622.29483877</x:v>
      </x:c>
      <x:c r="D17" s="89" t="str">
        <x:v>SRC-API01</x:v>
      </x:c>
      <x:c r="E17" s="98" t="str">
        <x:v>https://vnstocks.com/docs/vnstock/phan-tich-co-ban-fundamental</x:v>
      </x:c>
      <x:c r="F17" s="89" t="str">
        <x:v>Linked API actual</x:v>
      </x:c>
      <x:c r="G17" s="89" t="str">
        <x:v>FY2025</x:v>
      </x:c>
      <x:c r="H17" s="90" t="str">
        <x:v>Year-end balance-sheet cash.</x:v>
      </x:c>
    </x:row>
    <x:row r="18" ht="32" customHeight="1">
      <x:c r="A18" s="88" t="str">
        <x:v>Short-term investments</x:v>
      </x:c>
      <x:c r="B18" s="89" t="str">
        <x:v>VND bn</x:v>
      </x:c>
      <x:c r="C18" s="288" t="n">
        <x:f>'Raw GMD VNStock'!I35/'Raw GMD VNStock'!$B$3</x:f>
        <x:v>2738.596210765</x:v>
      </x:c>
      <x:c r="D18" s="89" t="str">
        <x:v>SRC-API01</x:v>
      </x:c>
      <x:c r="E18" s="98" t="str">
        <x:v>https://vnstocks.com/docs/vnstock/phan-tich-co-ban-fundamental</x:v>
      </x:c>
      <x:c r="F18" s="89" t="str">
        <x:v>Linked API actual</x:v>
      </x:c>
      <x:c r="G18" s="89" t="str">
        <x:v>FY2025</x:v>
      </x:c>
      <x:c r="H18" s="90" t="str">
        <x:v>Positive total short-term investment row.</x:v>
      </x:c>
    </x:row>
    <x:row r="19" ht="32" customHeight="1">
      <x:c r="A19" s="88" t="str">
        <x:v>Short-term borrowings</x:v>
      </x:c>
      <x:c r="B19" s="89" t="str">
        <x:v>VND bn</x:v>
      </x:c>
      <x:c r="C19" s="288" t="n">
        <x:f>'Raw GMD VNStock'!I86/'Raw GMD VNStock'!$B$3</x:f>
        <x:v>307.522460143</x:v>
      </x:c>
      <x:c r="D19" s="89" t="str">
        <x:v>SRC-API01</x:v>
      </x:c>
      <x:c r="E19" s="98" t="str">
        <x:v>https://vnstocks.com/docs/vnstock/phan-tich-co-ban-fundamental</x:v>
      </x:c>
      <x:c r="F19" s="89" t="str">
        <x:v>Linked API actual</x:v>
      </x:c>
      <x:c r="G19" s="89" t="str">
        <x:v>FY2025</x:v>
      </x:c>
      <x:c r="H19" s="90" t="str">
        <x:v>Gross debt.</x:v>
      </x:c>
    </x:row>
    <x:row r="20" ht="32" customHeight="1">
      <x:c r="A20" s="88" t="str">
        <x:v>Long-term borrowings</x:v>
      </x:c>
      <x:c r="B20" s="89" t="str">
        <x:v>VND bn</x:v>
      </x:c>
      <x:c r="C20" s="288" t="n">
        <x:f>'Raw GMD VNStock'!I101/'Raw GMD VNStock'!$B$3</x:f>
        <x:v>2081.640014993</x:v>
      </x:c>
      <x:c r="D20" s="89" t="str">
        <x:v>SRC-API01</x:v>
      </x:c>
      <x:c r="E20" s="98" t="str">
        <x:v>https://vnstocks.com/docs/vnstock/phan-tich-co-ban-fundamental</x:v>
      </x:c>
      <x:c r="F20" s="89" t="str">
        <x:v>Linked API actual</x:v>
      </x:c>
      <x:c r="G20" s="89" t="str">
        <x:v>FY2025</x:v>
      </x:c>
      <x:c r="H20" s="90" t="str">
        <x:v>Gross debt.</x:v>
      </x:c>
    </x:row>
    <x:row r="21" ht="32" customHeight="1">
      <x:c r="A21" s="88" t="str">
        <x:v>Net cash</x:v>
      </x:c>
      <x:c r="B21" s="89" t="str">
        <x:v>VND bn</x:v>
      </x:c>
      <x:c r="C21" s="211" t="n">
        <x:f>SUM(C17:C18)-SUM(C19:C20)</x:f>
        <x:v>1971.728574399</x:v>
      </x:c>
      <x:c r="D21" s="89" t="str">
        <x:v>Model formula</x:v>
      </x:c>
      <x:c r="E21" s="98" t="str"/>
      <x:c r="F21" s="89" t="str">
        <x:v>Model output</x:v>
      </x:c>
      <x:c r="G21" s="89" t="str">
        <x:v>FY2025</x:v>
      </x:c>
      <x:c r="H21" s="90" t="str">
        <x:v>Cash plus short-term investments less short- and long-term borrowings.</x:v>
      </x:c>
    </x:row>
    <x:row r="22" ht="32" customHeight="1">
      <x:c r="A22" s="88" t="str">
        <x:v>Market capitalization</x:v>
      </x:c>
      <x:c r="B22" s="89" t="str">
        <x:v>VND bn</x:v>
      </x:c>
      <x:c r="C22" s="211" t="n">
        <x:f>C15*C16</x:f>
        <x:v>31219.4419788</x:v>
      </x:c>
      <x:c r="D22" s="89" t="str">
        <x:v>Model formula</x:v>
      </x:c>
      <x:c r="E22" s="98" t="str"/>
      <x:c r="F22" s="89" t="str">
        <x:v>Model output</x:v>
      </x:c>
      <x:c r="G22" s="89" t="str">
        <x:v>24-Jul-2026</x:v>
      </x:c>
      <x:c r="H22" s="90" t="str">
        <x:v>Close price multiplied by listed shares.</x:v>
      </x:c>
    </x:row>
    <x:row r="23" ht="32" customHeight="1">
      <x:c r="A23" s="88" t="str">
        <x:v>Vietnam national container throughput</x:v>
      </x:c>
      <x:c r="B23" s="89" t="str">
        <x:v>m TEU</x:v>
      </x:c>
      <x:c r="C23" s="211" t="n">
        <x:v>34</x:v>
      </x:c>
      <x:c r="D23" s="89" t="str">
        <x:v>SRC-I01</x:v>
      </x:c>
      <x:c r="E23" s="98" t="str">
        <x:v>https://vimawa.gov.vn/vi/node/15301</x:v>
      </x:c>
      <x:c r="F23" s="89" t="str">
        <x:v>Regulator actual / rounded</x:v>
      </x:c>
      <x:c r="G23" s="89" t="str">
        <x:v>FY2025</x:v>
      </x:c>
      <x:c r="H23" s="90" t="str">
        <x:v>National anchor; source scope includes the regulator's combined transport result.</x:v>
      </x:c>
    </x:row>
    <x:row r="24" ht="32" customHeight="1">
      <x:c r="A24" s="88" t="str">
        <x:v>Vietnam 10-year government bond yield</x:v>
      </x:c>
      <x:c r="B24" s="89" t="str">
        <x:v>%</x:v>
      </x:c>
      <x:c r="C24" s="431" t="n">
        <x:v>0.04409</x:v>
      </x:c>
      <x:c r="D24" s="89" t="str">
        <x:v>SRC-P403</x:v>
      </x:c>
      <x:c r="E24" s="98" t="str">
        <x:v>https://asianbondsonline.adb.org/vietnam/</x:v>
      </x:c>
      <x:c r="F24" s="89" t="str">
        <x:v>Market actual</x:v>
      </x:c>
      <x:c r="G24" s="89" t="str">
        <x:v>23-Jul-2026</x:v>
      </x:c>
      <x:c r="H24" s="90" t="str">
        <x:v>Rounded to 4.5% in valuation assumptions.</x:v>
      </x:c>
    </x:row>
    <x:row r="25" ht="32" customHeight="1">
      <x:c r="A25" s="88" t="str">
        <x:v>Q1 2026 revenue</x:v>
      </x:c>
      <x:c r="B25" s="89" t="str">
        <x:v>VND bn</x:v>
      </x:c>
      <x:c r="C25" s="288" t="n">
        <x:f>'P3 Guidance'!B11</x:f>
        <x:v>1452</x:v>
      </x:c>
      <x:c r="D25" s="89" t="str">
        <x:v>SRC-G02</x:v>
      </x:c>
      <x:c r="E25" s="98" t="str">
        <x:v>https://www.gemadept.com.vn/wp-content/uploads/2026/05/IR-NEWSLETTER-Q12026.pdf</x:v>
      </x:c>
      <x:c r="F25" s="89" t="str">
        <x:v>Issuer actual</x:v>
      </x:c>
      <x:c r="G25" s="89" t="str">
        <x:v>Q1 2026</x:v>
      </x:c>
      <x:c r="H25" s="90" t="str">
        <x:v>Latest company actual.</x:v>
      </x:c>
    </x:row>
    <x:row r="26" ht="32" customHeight="1">
      <x:c r="A26" s="88" t="str">
        <x:v>Q1 2026 PBT</x:v>
      </x:c>
      <x:c r="B26" s="89" t="str">
        <x:v>VND bn</x:v>
      </x:c>
      <x:c r="C26" s="288" t="n">
        <x:f>'P3 Guidance'!B12</x:f>
        <x:v>716</x:v>
      </x:c>
      <x:c r="D26" s="89" t="str">
        <x:v>SRC-G02</x:v>
      </x:c>
      <x:c r="E26" s="98" t="str">
        <x:v>https://www.gemadept.com.vn/wp-content/uploads/2026/05/IR-NEWSLETTER-Q12026.pdf</x:v>
      </x:c>
      <x:c r="F26" s="89" t="str">
        <x:v>Issuer actual</x:v>
      </x:c>
      <x:c r="G26" s="89" t="str">
        <x:v>Q1 2026</x:v>
      </x:c>
      <x:c r="H26" s="90" t="str">
        <x:v>Latest company actual.</x:v>
      </x:c>
    </x:row>
    <x:row r="27" ht="32" customHeight="1">
      <x:c r="A27" s="88" t="str">
        <x:v>2026 registered revenue plan</x:v>
      </x:c>
      <x:c r="B27" s="89" t="str">
        <x:v>VND bn</x:v>
      </x:c>
      <x:c r="C27" s="288" t="n">
        <x:f>'P3 Guidance'!C11</x:f>
        <x:v>6500</x:v>
      </x:c>
      <x:c r="D27" s="89" t="str">
        <x:v>SRC-G03</x:v>
      </x:c>
      <x:c r="E27" s="98" t="str">
        <x:v>https://www.gemadept.com.vn/wp-content/uploads/2026/04/AGM-2026-7.3.-Submission-03-Business-Plan-2026.pdf</x:v>
      </x:c>
      <x:c r="F27" s="89" t="str">
        <x:v>Management guidance</x:v>
      </x:c>
      <x:c r="G27" s="89" t="str">
        <x:v>FY2026</x:v>
      </x:c>
      <x:c r="H27" s="90" t="str">
        <x:v>Benchmark, not analyst estimate.</x:v>
      </x:c>
    </x:row>
    <x:row r="28" ht="32" customHeight="1">
      <x:c r="A28" s="88" t="str">
        <x:v>2026 registered PBT plan</x:v>
      </x:c>
      <x:c r="B28" s="89" t="str">
        <x:v>VND bn</x:v>
      </x:c>
      <x:c r="C28" s="288" t="n">
        <x:f>'P3 Guidance'!C12</x:f>
        <x:v>2800</x:v>
      </x:c>
      <x:c r="D28" s="89" t="str">
        <x:v>SRC-G03</x:v>
      </x:c>
      <x:c r="E28" s="98" t="str">
        <x:v>https://www.gemadept.com.vn/wp-content/uploads/2026/04/AGM-2026-7.3.-Submission-03-Business-Plan-2026.pdf</x:v>
      </x:c>
      <x:c r="F28" s="89" t="str">
        <x:v>Management guidance</x:v>
      </x:c>
      <x:c r="G28" s="89" t="str">
        <x:v>FY2026</x:v>
      </x:c>
      <x:c r="H28" s="90" t="str">
        <x:v>Benchmark, not analyst estimate.</x:v>
      </x:c>
    </x:row>
    <x:row r="29" ht="32" customHeight="1">
      <x:c r="A29" s="88" t="str">
        <x:v>2026 stretch revenue target</x:v>
      </x:c>
      <x:c r="B29" s="89" t="str">
        <x:v>VND bn</x:v>
      </x:c>
      <x:c r="C29" s="288" t="n">
        <x:f>'P3 Guidance'!E11</x:f>
        <x:v>6800</x:v>
      </x:c>
      <x:c r="D29" s="89" t="str">
        <x:v>SRC-G03</x:v>
      </x:c>
      <x:c r="E29" s="98" t="str">
        <x:v>https://www.gemadept.com.vn/wp-content/uploads/2026/04/AGM-2026-7.3.-Submission-03-Business-Plan-2026.pdf</x:v>
      </x:c>
      <x:c r="F29" s="89" t="str">
        <x:v>Management target</x:v>
      </x:c>
      <x:c r="G29" s="89" t="str">
        <x:v>FY2026</x:v>
      </x:c>
      <x:c r="H29" s="90" t="str">
        <x:v>Upside benchmark.</x:v>
      </x:c>
    </x:row>
    <x:row r="30" ht="32" customHeight="1">
      <x:c r="A30" s="91" t="str">
        <x:v>2026 stretch PBT target</x:v>
      </x:c>
      <x:c r="B30" s="92" t="str">
        <x:v>VND bn</x:v>
      </x:c>
      <x:c r="C30" s="360" t="n">
        <x:f>'P3 Guidance'!E12</x:f>
        <x:v>3000</x:v>
      </x:c>
      <x:c r="D30" s="92" t="str">
        <x:v>SRC-G03</x:v>
      </x:c>
      <x:c r="E30" s="99" t="str">
        <x:v>https://www.gemadept.com.vn/wp-content/uploads/2026/04/AGM-2026-7.3.-Submission-03-Business-Plan-2026.pdf</x:v>
      </x:c>
      <x:c r="F30" s="92" t="str">
        <x:v>Management target</x:v>
      </x:c>
      <x:c r="G30" s="92" t="str">
        <x:v>FY2026</x:v>
      </x:c>
      <x:c r="H30" s="93" t="str">
        <x:v>Upside benchmark.</x:v>
      </x:c>
    </x:row>
  </x:sheetData>
  <x:mergeCells>
    <x:mergeCell ref="A1:H1"/>
    <x:mergeCell ref="A2:H2"/>
    <x:mergeCell ref="A4:H4"/>
    <x:mergeCell ref="A13:H13"/>
  </x:mergeCells>
  <x:pageMargins left="0.7" right="0.7" top="0.75" bottom="0.75" header="0.3" footer="0.3"/>
  <x:legacyDrawing xmlns:r="http://schemas.openxmlformats.org/officeDocument/2006/relationships" r:id="R059e774b2e8c422f"/>
  <x:tableParts count="2">
    <x:tablePart xmlns:r="http://schemas.openxmlformats.org/officeDocument/2006/relationships" r:id="R8e0a590165d8493b"/>
    <x:tablePart xmlns:r="http://schemas.openxmlformats.org/officeDocument/2006/relationships" r:id="Re1cfa3430771466a"/>
  </x:tableParts>
</x:worksheet>
</file>

<file path=xl/worksheets/sheet28.xml><?xml version="1.0" encoding="utf-8"?>
<x:worksheet xmlns:x="http://schemas.openxmlformats.org/spreadsheetml/2006/main">
  <x:sheetViews>
    <x:sheetView showGridLines="0" workbookViewId="0"/>
  </x:sheetViews>
  <x:sheetFormatPr defaultRowHeight="15"/>
  <x:cols>
    <x:col min="1" max="1" width="49" hidden="0" customWidth="1"/>
    <x:col min="2" max="2" width="18" hidden="0" customWidth="1"/>
    <x:col min="3" max="3" width="16" hidden="0" customWidth="1"/>
    <x:col min="4" max="4" width="16" hidden="0" customWidth="1"/>
    <x:col min="5" max="5" width="16" hidden="0" customWidth="1"/>
    <x:col min="6" max="6" width="16" hidden="0" customWidth="1"/>
    <x:col min="7" max="7" width="16" hidden="0" customWidth="1"/>
    <x:col min="8" max="8" width="34" hidden="0" customWidth="1"/>
    <x:col min="9" max="9" width="24" hidden="0" customWidth="1"/>
    <x:col min="10" max="10" width="62" hidden="0" customWidth="1"/>
  </x:cols>
  <x:sheetData>
    <x:row r="1" ht="30" customHeight="1">
      <x:c r="A1" s="408" t="str">
        <x:v>Phase 4 — Source-Linked Baselines &amp; Scenario Assumptions</x:v>
      </x:c>
      <x:c r="B1" s="408" t="str">
        <x:v>Phase 4 — Source-Linked Baselines &amp; Scenario Assumptions</x:v>
      </x:c>
      <x:c r="C1" s="408" t="str">
        <x:v>Phase 4 — Source-Linked Baselines &amp; Scenario Assumptions</x:v>
      </x:c>
      <x:c r="D1" s="408" t="str">
        <x:v>Phase 4 — Source-Linked Baselines &amp; Scenario Assumptions</x:v>
      </x:c>
      <x:c r="E1" s="408" t="str">
        <x:v>Phase 4 — Source-Linked Baselines &amp; Scenario Assumptions</x:v>
      </x:c>
      <x:c r="F1" s="408" t="str">
        <x:v>Phase 4 — Source-Linked Baselines &amp; Scenario Assumptions</x:v>
      </x:c>
      <x:c r="G1" s="408" t="str">
        <x:v>Phase 4 — Source-Linked Baselines &amp; Scenario Assumptions</x:v>
      </x:c>
      <x:c r="H1" s="408" t="str">
        <x:v>Phase 4 — Source-Linked Baselines &amp; Scenario Assumptions</x:v>
      </x:c>
      <x:c r="I1" s="408" t="str">
        <x:v>Phase 4 — Source-Linked Baselines &amp; Scenario Assumptions</x:v>
      </x:c>
      <x:c r="J1" s="408" t="str">
        <x:v>Phase 4 — Source-Linked Baselines &amp; Scenario Assumptions</x:v>
      </x:c>
    </x:row>
    <x:row r="2" ht="34" customHeight="1">
      <x:c r="A2" s="412" t="str">
        <x:v>Blue-font yellow cells are editable analyst assumptions. Green cells link to historical, market or issuer-fact sheets. Forecasts extend to 2030 to make the DCF terminal bridge more defensible.</x:v>
      </x:c>
      <x:c r="B2" s="412" t="str">
        <x:v>Blue-font yellow cells are editable analyst assumptions. Green cells link to historical, market or issuer-fact sheets. Forecasts extend to 2030 to make the DCF terminal bridge more defensible.</x:v>
      </x:c>
      <x:c r="C2" s="412" t="str">
        <x:v>Blue-font yellow cells are editable analyst assumptions. Green cells link to historical, market or issuer-fact sheets. Forecasts extend to 2030 to make the DCF terminal bridge more defensible.</x:v>
      </x:c>
      <x:c r="D2" s="412" t="str">
        <x:v>Blue-font yellow cells are editable analyst assumptions. Green cells link to historical, market or issuer-fact sheets. Forecasts extend to 2030 to make the DCF terminal bridge more defensible.</x:v>
      </x:c>
      <x:c r="E2" s="412" t="str">
        <x:v>Blue-font yellow cells are editable analyst assumptions. Green cells link to historical, market or issuer-fact sheets. Forecasts extend to 2030 to make the DCF terminal bridge more defensible.</x:v>
      </x:c>
      <x:c r="F2" s="412" t="str">
        <x:v>Blue-font yellow cells are editable analyst assumptions. Green cells link to historical, market or issuer-fact sheets. Forecasts extend to 2030 to make the DCF terminal bridge more defensible.</x:v>
      </x:c>
      <x:c r="G2" s="412" t="str">
        <x:v>Blue-font yellow cells are editable analyst assumptions. Green cells link to historical, market or issuer-fact sheets. Forecasts extend to 2030 to make the DCF terminal bridge more defensible.</x:v>
      </x:c>
      <x:c r="H2" s="412" t="str">
        <x:v>Blue-font yellow cells are editable analyst assumptions. Green cells link to historical, market or issuer-fact sheets. Forecasts extend to 2030 to make the DCF terminal bridge more defensible.</x:v>
      </x:c>
      <x:c r="I2" s="412" t="str">
        <x:v>Blue-font yellow cells are editable analyst assumptions. Green cells link to historical, market or issuer-fact sheets. Forecasts extend to 2030 to make the DCF terminal bridge more defensible.</x:v>
      </x:c>
      <x:c r="J2" s="412" t="str">
        <x:v>Blue-font yellow cells are editable analyst assumptions. Green cells link to historical, market or issuer-fact sheets. Forecasts extend to 2030 to make the DCF terminal bridge more defensible.</x:v>
      </x:c>
    </x:row>
    <x:row r="4" ht="22" customHeight="1">
      <x:c r="A4" s="415" t="str">
        <x:v>Source-linked baselines and calibration anchors</x:v>
      </x:c>
      <x:c r="B4" s="415" t="str">
        <x:v>Source-linked baselines and calibration anchors</x:v>
      </x:c>
      <x:c r="C4" s="415" t="str">
        <x:v>Source-linked baselines and calibration anchors</x:v>
      </x:c>
      <x:c r="D4" s="415" t="str">
        <x:v>Source-linked baselines and calibration anchors</x:v>
      </x:c>
      <x:c r="E4" s="415" t="str">
        <x:v>Source-linked baselines and calibration anchors</x:v>
      </x:c>
      <x:c r="F4" s="415" t="str">
        <x:v>Source-linked baselines and calibration anchors</x:v>
      </x:c>
      <x:c r="G4" s="415" t="str">
        <x:v>Source-linked baselines and calibration anchors</x:v>
      </x:c>
      <x:c r="H4" s="415" t="str">
        <x:v>Source-linked baselines and calibration anchors</x:v>
      </x:c>
      <x:c r="I4" s="415" t="str">
        <x:v>Source-linked baselines and calibration anchors</x:v>
      </x:c>
      <x:c r="J4" s="415" t="str">
        <x:v>Source-linked baselines and calibration anchors</x:v>
      </x:c>
    </x:row>
    <x:row r="5" ht="32" customHeight="1">
      <x:c r="A5" s="421" t="str">
        <x:v>Metric</x:v>
      </x:c>
      <x:c r="B5" s="421" t="str">
        <x:v>Unit</x:v>
      </x:c>
      <x:c r="C5" s="421" t="str">
        <x:v>Value</x:v>
      </x:c>
      <x:c r="D5" s="421" t="str">
        <x:v>Source / driver</x:v>
      </x:c>
      <x:c r="E5" s="421" t="str">
        <x:v>Data class</x:v>
      </x:c>
      <x:c r="F5" s="421" t="str">
        <x:v>Usage</x:v>
      </x:c>
      <x:c r="G5" s="421" t="str">
        <x:v>Calibration note</x:v>
      </x:c>
      <x:c r="H5" s="421" t="str">
        <x:v>2026 check</x:v>
      </x:c>
      <x:c r="I5" s="421" t="str">
        <x:v>Status</x:v>
      </x:c>
      <x:c r="J5" s="421" t="str">
        <x:v>Owner</x:v>
      </x:c>
    </x:row>
    <x:row r="6" ht="31" customHeight="1">
      <x:c r="A6" s="85" t="str">
        <x:v>2025 national container throughput</x:v>
      </x:c>
      <x:c r="B6" s="86" t="str">
        <x:v>m TEU</x:v>
      </x:c>
      <x:c r="C6" s="287" t="n">
        <x:f>'Raw GMD Market'!C23</x:f>
        <x:v>34</x:v>
      </x:c>
      <x:c r="D6" s="86" t="str">
        <x:v>SRC-I01</x:v>
      </x:c>
      <x:c r="E6" s="86" t="str">
        <x:v>Linked fact</x:v>
      </x:c>
      <x:c r="F6" s="86" t="str">
        <x:v>National demand base</x:v>
      </x:c>
      <x:c r="G6" s="86" t="str">
        <x:v>Rounded regulator anchor.</x:v>
      </x:c>
      <x:c r="H6" s="86" t="str"/>
      <x:c r="I6" s="86" t="str"/>
      <x:c r="J6" s="87" t="str">
        <x:v>Analyst</x:v>
      </x:c>
    </x:row>
    <x:row r="7" ht="31" customHeight="1">
      <x:c r="A7" s="88" t="str">
        <x:v>2025 GMD system throughput</x:v>
      </x:c>
      <x:c r="B7" s="89" t="str">
        <x:v>m TEU</x:v>
      </x:c>
      <x:c r="C7" s="288" t="n">
        <x:f>'P3 Port Drivers'!G6</x:f>
        <x:v>5.079</x:v>
      </x:c>
      <x:c r="D7" s="89" t="str">
        <x:v>P3 Port Drivers</x:v>
      </x:c>
      <x:c r="E7" s="89" t="str">
        <x:v>Linked actual</x:v>
      </x:c>
      <x:c r="F7" s="89" t="str">
        <x:v>Company volume base</x:v>
      </x:c>
      <x:c r="G7" s="89" t="str">
        <x:v>Issuer system scope.</x:v>
      </x:c>
      <x:c r="H7" s="89" t="str"/>
      <x:c r="I7" s="89" t="str"/>
      <x:c r="J7" s="90" t="str">
        <x:v>Analyst</x:v>
      </x:c>
    </x:row>
    <x:row r="8" ht="31" customHeight="1">
      <x:c r="A8" s="88" t="str">
        <x:v>2025 implied unit/mix/scope proxy</x:v>
      </x:c>
      <x:c r="B8" s="89" t="str">
        <x:v>VND '000/TEU</x:v>
      </x:c>
      <x:c r="C8" s="288" t="n">
        <x:f>'P3 Port Drivers'!G10</x:f>
        <x:v>1034.5004154361095</x:v>
      </x:c>
      <x:c r="D8" s="89" t="str">
        <x:v>P3 Port Drivers</x:v>
      </x:c>
      <x:c r="E8" s="89" t="str">
        <x:v>Linked model proxy</x:v>
      </x:c>
      <x:c r="F8" s="89" t="str">
        <x:v>Port revenue bridge</x:v>
      </x:c>
      <x:c r="G8" s="89" t="str">
        <x:v>Not a clean tariff.</x:v>
      </x:c>
      <x:c r="H8" s="89" t="str"/>
      <x:c r="I8" s="89" t="str"/>
      <x:c r="J8" s="90" t="str">
        <x:v>Analyst</x:v>
      </x:c>
    </x:row>
    <x:row r="9" ht="31" customHeight="1">
      <x:c r="A9" s="88" t="str">
        <x:v>2025 port external revenue</x:v>
      </x:c>
      <x:c r="B9" s="89" t="str">
        <x:v>VND bn</x:v>
      </x:c>
      <x:c r="C9" s="288" t="n">
        <x:f>'P3 Port Drivers'!G8</x:f>
        <x:v>5254.22761</x:v>
      </x:c>
      <x:c r="D9" s="89" t="str">
        <x:v>P3 Port Drivers</x:v>
      </x:c>
      <x:c r="E9" s="89" t="str">
        <x:v>Linked actual</x:v>
      </x:c>
      <x:c r="F9" s="89" t="str">
        <x:v>Segment base</x:v>
      </x:c>
      <x:c r="G9" s="89" t="str">
        <x:v>Consolidated external port revenue.</x:v>
      </x:c>
      <x:c r="H9" s="89" t="str"/>
      <x:c r="I9" s="89" t="str"/>
      <x:c r="J9" s="90" t="str">
        <x:v>Analyst</x:v>
      </x:c>
    </x:row>
    <x:row r="10" ht="31" customHeight="1">
      <x:c r="A10" s="88" t="str">
        <x:v>2025 logistics external revenue</x:v>
      </x:c>
      <x:c r="B10" s="89" t="str">
        <x:v>VND bn</x:v>
      </x:c>
      <x:c r="C10" s="288" t="n">
        <x:f>'P3 Historical IS'!G50</x:f>
        <x:v>693.74057</x:v>
      </x:c>
      <x:c r="D10" s="89" t="str">
        <x:v>P3 Historical IS</x:v>
      </x:c>
      <x:c r="E10" s="89" t="str">
        <x:v>Linked actual</x:v>
      </x:c>
      <x:c r="F10" s="89" t="str">
        <x:v>Segment base</x:v>
      </x:c>
      <x:c r="G10" s="89" t="str">
        <x:v>External logistics revenue.</x:v>
      </x:c>
      <x:c r="H10" s="89" t="str"/>
      <x:c r="I10" s="89" t="str"/>
      <x:c r="J10" s="90" t="str">
        <x:v>Analyst</x:v>
      </x:c>
    </x:row>
    <x:row r="11" ht="31" customHeight="1">
      <x:c r="A11" s="88" t="str">
        <x:v>2025 other external revenue</x:v>
      </x:c>
      <x:c r="B11" s="89" t="str">
        <x:v>VND bn</x:v>
      </x:c>
      <x:c r="C11" s="288" t="n">
        <x:f>'P3 Historical IS'!G51</x:f>
        <x:v>8.057116</x:v>
      </x:c>
      <x:c r="D11" s="89" t="str">
        <x:v>P3 Historical IS</x:v>
      </x:c>
      <x:c r="E11" s="89" t="str">
        <x:v>Linked actual</x:v>
      </x:c>
      <x:c r="F11" s="89" t="str">
        <x:v>Segment base</x:v>
      </x:c>
      <x:c r="G11" s="89" t="str">
        <x:v>Small residual segment.</x:v>
      </x:c>
      <x:c r="H11" s="89" t="str"/>
      <x:c r="I11" s="89" t="str"/>
      <x:c r="J11" s="90" t="str">
        <x:v>Analyst</x:v>
      </x:c>
    </x:row>
    <x:row r="12" ht="31" customHeight="1">
      <x:c r="A12" s="88" t="str">
        <x:v>2025 consolidated revenue</x:v>
      </x:c>
      <x:c r="B12" s="89" t="str">
        <x:v>VND bn</x:v>
      </x:c>
      <x:c r="C12" s="288" t="n">
        <x:f>'P3 Historical IS'!G6</x:f>
        <x:v>5956.025297015</x:v>
      </x:c>
      <x:c r="D12" s="89" t="str">
        <x:v>P3 Historical IS</x:v>
      </x:c>
      <x:c r="E12" s="89" t="str">
        <x:v>Linked actual</x:v>
      </x:c>
      <x:c r="F12" s="89" t="str">
        <x:v>Forecast base</x:v>
      </x:c>
      <x:c r="G12" s="89" t="str">
        <x:v>Audited/API-linked.</x:v>
      </x:c>
      <x:c r="H12" s="89" t="str"/>
      <x:c r="I12" s="89" t="str"/>
      <x:c r="J12" s="90" t="str">
        <x:v>Analyst</x:v>
      </x:c>
    </x:row>
    <x:row r="13" ht="31" customHeight="1">
      <x:c r="A13" s="88" t="str">
        <x:v>2025 consolidated operating margin</x:v>
      </x:c>
      <x:c r="B13" s="89" t="str">
        <x:v>%</x:v>
      </x:c>
      <x:c r="C13" s="125" t="n">
        <x:f>'P3 Historical IS'!G13</x:f>
        <x:v>0.27652039677743034</x:v>
      </x:c>
      <x:c r="D13" s="89" t="str">
        <x:v>P3 Historical IS</x:v>
      </x:c>
      <x:c r="E13" s="89" t="str">
        <x:v>Linked model output</x:v>
      </x:c>
      <x:c r="F13" s="89" t="str">
        <x:v>EBIT forecast base</x:v>
      </x:c>
      <x:c r="G13" s="89" t="str">
        <x:v>Before financial, associate and other items.</x:v>
      </x:c>
      <x:c r="H13" s="89" t="str"/>
      <x:c r="I13" s="89" t="str"/>
      <x:c r="J13" s="90" t="str">
        <x:v>Analyst</x:v>
      </x:c>
    </x:row>
    <x:row r="14" ht="31" customHeight="1">
      <x:c r="A14" s="88" t="str">
        <x:v>2025 Gemalink associate contribution</x:v>
      </x:c>
      <x:c r="B14" s="89" t="str">
        <x:v>VND bn</x:v>
      </x:c>
      <x:c r="C14" s="288" t="n">
        <x:f>'P3 Associates'!G7</x:f>
        <x:v>826.81</x:v>
      </x:c>
      <x:c r="D14" s="89" t="str">
        <x:v>P3 Associates</x:v>
      </x:c>
      <x:c r="E14" s="89" t="str">
        <x:v>Linked actual</x:v>
      </x:c>
      <x:c r="F14" s="89" t="str">
        <x:v>Associate forecast base</x:v>
      </x:c>
      <x:c r="G14" s="89" t="str">
        <x:v>Equity-accounted.</x:v>
      </x:c>
      <x:c r="H14" s="89" t="str"/>
      <x:c r="I14" s="89" t="str"/>
      <x:c r="J14" s="90" t="str">
        <x:v>Analyst</x:v>
      </x:c>
    </x:row>
    <x:row r="15" ht="31" customHeight="1">
      <x:c r="A15" s="88" t="str">
        <x:v>2025 SCS associate contribution</x:v>
      </x:c>
      <x:c r="B15" s="89" t="str">
        <x:v>VND bn</x:v>
      </x:c>
      <x:c r="C15" s="288" t="n">
        <x:f>'P3 Associates'!G8</x:f>
        <x:v>258.588</x:v>
      </x:c>
      <x:c r="D15" s="89" t="str">
        <x:v>P3 Associates</x:v>
      </x:c>
      <x:c r="E15" s="89" t="str">
        <x:v>Linked actual</x:v>
      </x:c>
      <x:c r="F15" s="89" t="str">
        <x:v>Associate forecast base</x:v>
      </x:c>
      <x:c r="G15" s="89" t="str">
        <x:v>Equity-accounted.</x:v>
      </x:c>
      <x:c r="H15" s="89" t="str"/>
      <x:c r="I15" s="89" t="str"/>
      <x:c r="J15" s="90" t="str">
        <x:v>Analyst</x:v>
      </x:c>
    </x:row>
    <x:row r="16" ht="31" customHeight="1">
      <x:c r="A16" s="88" t="str">
        <x:v>2025 CJ Gemadept Logistics contribution</x:v>
      </x:c>
      <x:c r="B16" s="89" t="str">
        <x:v>VND bn</x:v>
      </x:c>
      <x:c r="C16" s="288" t="n">
        <x:f>'P3 Associates'!G9</x:f>
        <x:v>46.182</x:v>
      </x:c>
      <x:c r="D16" s="89" t="str">
        <x:v>P3 Associates</x:v>
      </x:c>
      <x:c r="E16" s="89" t="str">
        <x:v>Linked actual</x:v>
      </x:c>
      <x:c r="F16" s="89" t="str">
        <x:v>Associate forecast base</x:v>
      </x:c>
      <x:c r="G16" s="89" t="str">
        <x:v>Equity-accounted.</x:v>
      </x:c>
      <x:c r="H16" s="89" t="str"/>
      <x:c r="I16" s="89" t="str"/>
      <x:c r="J16" s="90" t="str">
        <x:v>Analyst</x:v>
      </x:c>
    </x:row>
    <x:row r="17" ht="31" customHeight="1">
      <x:c r="A17" s="88" t="str">
        <x:v>2025 other associate contribution</x:v>
      </x:c>
      <x:c r="B17" s="89" t="str">
        <x:v>VND bn</x:v>
      </x:c>
      <x:c r="C17" s="288" t="n">
        <x:f>'P3 Associates'!G10</x:f>
        <x:v>26.07937794700001</x:v>
      </x:c>
      <x:c r="D17" s="89" t="str">
        <x:v>P3 Associates</x:v>
      </x:c>
      <x:c r="E17" s="89" t="str">
        <x:v>Linked model output</x:v>
      </x:c>
      <x:c r="F17" s="89" t="str">
        <x:v>Associate forecast base</x:v>
      </x:c>
      <x:c r="G17" s="89" t="str">
        <x:v>Residual associates.</x:v>
      </x:c>
      <x:c r="H17" s="89" t="str"/>
      <x:c r="I17" s="89" t="str"/>
      <x:c r="J17" s="90" t="str">
        <x:v>Analyst</x:v>
      </x:c>
    </x:row>
    <x:row r="18" ht="31" customHeight="1">
      <x:c r="A18" s="88" t="str">
        <x:v>Listed shares</x:v>
      </x:c>
      <x:c r="B18" s="89" t="str">
        <x:v>m shares</x:v>
      </x:c>
      <x:c r="C18" s="288" t="n">
        <x:f>'Raw GMD Market'!C16</x:f>
        <x:v>426.495109</x:v>
      </x:c>
      <x:c r="D18" s="89" t="str">
        <x:v>SRC-P402</x:v>
      </x:c>
      <x:c r="E18" s="89" t="str">
        <x:v>Linked issuer fact</x:v>
      </x:c>
      <x:c r="F18" s="89" t="str">
        <x:v>Per-share valuation</x:v>
      </x:c>
      <x:c r="G18" s="89" t="str">
        <x:v>As of 25-Jul-2026.</x:v>
      </x:c>
      <x:c r="H18" s="89" t="str"/>
      <x:c r="I18" s="89" t="str"/>
      <x:c r="J18" s="90" t="str">
        <x:v>Analyst</x:v>
      </x:c>
    </x:row>
    <x:row r="19" ht="31" customHeight="1">
      <x:c r="A19" s="88" t="str">
        <x:v>Latest close</x:v>
      </x:c>
      <x:c r="B19" s="89" t="str">
        <x:v>VND '000/share</x:v>
      </x:c>
      <x:c r="C19" s="288" t="n">
        <x:f>'Raw GMD Market'!C15</x:f>
        <x:v>73.2</x:v>
      </x:c>
      <x:c r="D19" s="89" t="str">
        <x:v>SRC-P401</x:v>
      </x:c>
      <x:c r="E19" s="89" t="str">
        <x:v>Linked market actual</x:v>
      </x:c>
      <x:c r="F19" s="89" t="str">
        <x:v>Upside/downside</x:v>
      </x:c>
      <x:c r="G19" s="89" t="str">
        <x:v>24-Jul-2026 close.</x:v>
      </x:c>
      <x:c r="H19" s="89" t="str"/>
      <x:c r="I19" s="89" t="str"/>
      <x:c r="J19" s="90" t="str">
        <x:v>Analyst</x:v>
      </x:c>
    </x:row>
    <x:row r="20" ht="31" customHeight="1">
      <x:c r="A20" s="88" t="str">
        <x:v>FY2025 net cash</x:v>
      </x:c>
      <x:c r="B20" s="89" t="str">
        <x:v>VND bn</x:v>
      </x:c>
      <x:c r="C20" s="288" t="n">
        <x:f>'Raw GMD Market'!C21</x:f>
        <x:v>1971.728574399</x:v>
      </x:c>
      <x:c r="D20" s="89" t="str">
        <x:v>Raw GMD Market</x:v>
      </x:c>
      <x:c r="E20" s="89" t="str">
        <x:v>Linked model output</x:v>
      </x:c>
      <x:c r="F20" s="89" t="str">
        <x:v>DCF equity bridge</x:v>
      </x:c>
      <x:c r="G20" s="89" t="str">
        <x:v>Cash + ST investments - gross debt.</x:v>
      </x:c>
      <x:c r="H20" s="89" t="str"/>
      <x:c r="I20" s="89" t="str"/>
      <x:c r="J20" s="90" t="str">
        <x:v>Analyst</x:v>
      </x:c>
    </x:row>
    <x:row r="21" ht="31" customHeight="1">
      <x:c r="A21" s="88" t="str">
        <x:v>2026 registered revenue plan</x:v>
      </x:c>
      <x:c r="B21" s="89" t="str">
        <x:v>VND bn</x:v>
      </x:c>
      <x:c r="C21" s="288" t="n">
        <x:f>'Raw GMD Market'!C27</x:f>
        <x:v>6500</x:v>
      </x:c>
      <x:c r="D21" s="89" t="str">
        <x:v>SRC-G03</x:v>
      </x:c>
      <x:c r="E21" s="89" t="str">
        <x:v>Management guidance</x:v>
      </x:c>
      <x:c r="F21" s="89" t="str">
        <x:v>Forecast benchmark</x:v>
      </x:c>
      <x:c r="G21" s="89" t="str">
        <x:v>Not analyst forecast.</x:v>
      </x:c>
      <x:c r="H21" s="89" t="str"/>
      <x:c r="I21" s="89" t="str"/>
      <x:c r="J21" s="90" t="str">
        <x:v>Analyst</x:v>
      </x:c>
    </x:row>
    <x:row r="22" ht="31" customHeight="1">
      <x:c r="A22" s="88" t="str">
        <x:v>2026 registered PBT plan</x:v>
      </x:c>
      <x:c r="B22" s="89" t="str">
        <x:v>VND bn</x:v>
      </x:c>
      <x:c r="C22" s="288" t="n">
        <x:f>'Raw GMD Market'!C28</x:f>
        <x:v>2800</x:v>
      </x:c>
      <x:c r="D22" s="89" t="str">
        <x:v>SRC-G03</x:v>
      </x:c>
      <x:c r="E22" s="89" t="str">
        <x:v>Management guidance</x:v>
      </x:c>
      <x:c r="F22" s="89" t="str">
        <x:v>Forecast benchmark</x:v>
      </x:c>
      <x:c r="G22" s="89" t="str">
        <x:v>Not analyst forecast.</x:v>
      </x:c>
      <x:c r="H22" s="89" t="str"/>
      <x:c r="I22" s="89" t="str"/>
      <x:c r="J22" s="90" t="str">
        <x:v>Analyst</x:v>
      </x:c>
    </x:row>
    <x:row r="23" ht="31" customHeight="1">
      <x:c r="A23" s="88" t="str">
        <x:v>2026 stretch revenue target</x:v>
      </x:c>
      <x:c r="B23" s="89" t="str">
        <x:v>VND bn</x:v>
      </x:c>
      <x:c r="C23" s="288" t="n">
        <x:f>'Raw GMD Market'!C29</x:f>
        <x:v>6800</x:v>
      </x:c>
      <x:c r="D23" s="89" t="str">
        <x:v>SRC-G03</x:v>
      </x:c>
      <x:c r="E23" s="89" t="str">
        <x:v>Management target</x:v>
      </x:c>
      <x:c r="F23" s="89" t="str">
        <x:v>Base-case calibration</x:v>
      </x:c>
      <x:c r="G23" s="89" t="str">
        <x:v>Base case should be near, not mechanically equal.</x:v>
      </x:c>
      <x:c r="H23" s="89" t="str"/>
      <x:c r="I23" s="89" t="str"/>
      <x:c r="J23" s="90" t="str">
        <x:v>Analyst</x:v>
      </x:c>
    </x:row>
    <x:row r="24" ht="31" customHeight="1">
      <x:c r="A24" s="88" t="str">
        <x:v>2026 stretch PBT target</x:v>
      </x:c>
      <x:c r="B24" s="89" t="str">
        <x:v>VND bn</x:v>
      </x:c>
      <x:c r="C24" s="288" t="n">
        <x:f>'Raw GMD Market'!C30</x:f>
        <x:v>3000</x:v>
      </x:c>
      <x:c r="D24" s="89" t="str">
        <x:v>SRC-G03</x:v>
      </x:c>
      <x:c r="E24" s="89" t="str">
        <x:v>Management target</x:v>
      </x:c>
      <x:c r="F24" s="89" t="str">
        <x:v>Base-case calibration</x:v>
      </x:c>
      <x:c r="G24" s="89" t="str">
        <x:v>Base case should be near, not mechanically equal.</x:v>
      </x:c>
      <x:c r="H24" s="89" t="str"/>
      <x:c r="I24" s="89" t="str"/>
      <x:c r="J24" s="90" t="str">
        <x:v>Analyst</x:v>
      </x:c>
    </x:row>
    <x:row r="25" ht="31" customHeight="1">
      <x:c r="A25" s="88" t="str">
        <x:v>Q1 2026 revenue</x:v>
      </x:c>
      <x:c r="B25" s="89" t="str">
        <x:v>VND bn</x:v>
      </x:c>
      <x:c r="C25" s="288" t="n">
        <x:f>'Raw GMD Market'!C25</x:f>
        <x:v>1452</x:v>
      </x:c>
      <x:c r="D25" s="89" t="str">
        <x:v>SRC-G02</x:v>
      </x:c>
      <x:c r="E25" s="89" t="str">
        <x:v>Issuer actual</x:v>
      </x:c>
      <x:c r="F25" s="89" t="str">
        <x:v>Run-rate check</x:v>
      </x:c>
      <x:c r="G25" s="89" t="str">
        <x:v>Q1 seasonality prevents straight annualization.</x:v>
      </x:c>
      <x:c r="H25" s="89" t="str"/>
      <x:c r="I25" s="89" t="str"/>
      <x:c r="J25" s="90" t="str">
        <x:v>Analyst</x:v>
      </x:c>
    </x:row>
    <x:row r="26" ht="31" customHeight="1">
      <x:c r="A26" s="88" t="str">
        <x:v>Q1 2026 PBT</x:v>
      </x:c>
      <x:c r="B26" s="89" t="str">
        <x:v>VND bn</x:v>
      </x:c>
      <x:c r="C26" s="288" t="n">
        <x:f>'Raw GMD Market'!C26</x:f>
        <x:v>716</x:v>
      </x:c>
      <x:c r="D26" s="89" t="str">
        <x:v>SRC-G02</x:v>
      </x:c>
      <x:c r="E26" s="89" t="str">
        <x:v>Issuer actual</x:v>
      </x:c>
      <x:c r="F26" s="89" t="str">
        <x:v>Run-rate check</x:v>
      </x:c>
      <x:c r="G26" s="89" t="str">
        <x:v>Q1 seasonality prevents straight annualization.</x:v>
      </x:c>
      <x:c r="H26" s="89" t="str"/>
      <x:c r="I26" s="89" t="str"/>
      <x:c r="J26" s="90" t="str">
        <x:v>Analyst</x:v>
      </x:c>
    </x:row>
    <x:row r="27" ht="31" customHeight="1">
      <x:c r="A27" s="91" t="str">
        <x:v>Vietnam 10-year government bond yield</x:v>
      </x:c>
      <x:c r="B27" s="92" t="str">
        <x:v>%</x:v>
      </x:c>
      <x:c r="C27" s="432" t="n">
        <x:f>'Raw GMD Market'!C24</x:f>
        <x:v>0.04409</x:v>
      </x:c>
      <x:c r="D27" s="92" t="str">
        <x:v>SRC-P403</x:v>
      </x:c>
      <x:c r="E27" s="92" t="str">
        <x:v>Linked market actual</x:v>
      </x:c>
      <x:c r="F27" s="92" t="str">
        <x:v>Risk-free anchor</x:v>
      </x:c>
      <x:c r="G27" s="92" t="str">
        <x:v>Rounded to 4.5% below.</x:v>
      </x:c>
      <x:c r="H27" s="92" t="str"/>
      <x:c r="I27" s="92" t="str"/>
      <x:c r="J27" s="93" t="str">
        <x:v>Analyst</x:v>
      </x:c>
    </x:row>
    <x:row r="30" ht="22" customHeight="1">
      <x:c r="A30" s="415" t="str">
        <x:v>Base case — editable forecast drivers</x:v>
      </x:c>
      <x:c r="B30" s="415" t="str">
        <x:v>Base case — editable forecast drivers</x:v>
      </x:c>
      <x:c r="C30" s="415" t="str">
        <x:v>Base case — editable forecast drivers</x:v>
      </x:c>
      <x:c r="D30" s="415" t="str">
        <x:v>Base case — editable forecast drivers</x:v>
      </x:c>
      <x:c r="E30" s="415" t="str">
        <x:v>Base case — editable forecast drivers</x:v>
      </x:c>
      <x:c r="F30" s="415" t="str">
        <x:v>Base case — editable forecast drivers</x:v>
      </x:c>
      <x:c r="G30" s="415" t="str">
        <x:v>Base case — editable forecast drivers</x:v>
      </x:c>
      <x:c r="H30" s="415" t="str">
        <x:v>Base case — editable forecast drivers</x:v>
      </x:c>
      <x:c r="I30" s="415" t="str">
        <x:v>Base case — editable forecast drivers</x:v>
      </x:c>
      <x:c r="J30" s="415" t="str">
        <x:v>Base case — editable forecast drivers</x:v>
      </x:c>
    </x:row>
    <x:row r="31" ht="32" customHeight="1">
      <x:c r="A31" s="421" t="str">
        <x:v>Driver</x:v>
      </x:c>
      <x:c r="B31" s="421" t="str">
        <x:v>Unit</x:v>
      </x:c>
      <x:c r="C31" s="433" t="n">
        <x:v>46387</x:v>
      </x:c>
      <x:c r="D31" s="433" t="n">
        <x:v>46752</x:v>
      </x:c>
      <x:c r="E31" s="433" t="n">
        <x:v>47118</x:v>
      </x:c>
      <x:c r="F31" s="433" t="n">
        <x:v>47483</x:v>
      </x:c>
      <x:c r="G31" s="433" t="n">
        <x:v>47848</x:v>
      </x:c>
      <x:c r="H31" s="421" t="str">
        <x:v>Source / logic</x:v>
      </x:c>
      <x:c r="I31" s="421" t="str">
        <x:v>Data class</x:v>
      </x:c>
      <x:c r="J31" s="421" t="str">
        <x:v>Analyst note</x:v>
      </x:c>
    </x:row>
    <x:row r="32" ht="31" customHeight="1">
      <x:c r="A32" s="85" t="str">
        <x:v>National container throughput growth</x:v>
      </x:c>
      <x:c r="B32" s="86" t="str">
        <x:v>%</x:v>
      </x:c>
      <x:c r="C32" s="436" t="n">
        <x:v>0.1</x:v>
      </x:c>
      <x:c r="D32" s="436" t="n">
        <x:v>0.08</x:v>
      </x:c>
      <x:c r="E32" s="436" t="n">
        <x:v>0.07</x:v>
      </x:c>
      <x:c r="F32" s="436" t="n">
        <x:v>0.065</x:v>
      </x:c>
      <x:c r="G32" s="436" t="n">
        <x:v>0.06</x:v>
      </x:c>
      <x:c r="H32" s="86" t="str">
        <x:v>Historical + macro + disclosed capacity</x:v>
      </x:c>
      <x:c r="I32" s="86" t="str">
        <x:v>Analyst assumption</x:v>
      </x:c>
      <x:c r="J32" s="87" t="str">
        <x:v>Macro-to-volume assumption; deliberately below 1H2026 trade-value growth.</x:v>
      </x:c>
    </x:row>
    <x:row r="33" ht="31" customHeight="1">
      <x:c r="A33" s="88" t="str">
        <x:v>GMD share of national throughput</x:v>
      </x:c>
      <x:c r="B33" s="89" t="str">
        <x:v>%</x:v>
      </x:c>
      <x:c r="C33" s="439" t="n">
        <x:v>0.152</x:v>
      </x:c>
      <x:c r="D33" s="439" t="n">
        <x:v>0.155</x:v>
      </x:c>
      <x:c r="E33" s="439" t="n">
        <x:v>0.163</x:v>
      </x:c>
      <x:c r="F33" s="439" t="n">
        <x:v>0.17</x:v>
      </x:c>
      <x:c r="G33" s="439" t="n">
        <x:v>0.175</x:v>
      </x:c>
      <x:c r="H33" s="89" t="str">
        <x:v>Historical + macro + disclosed capacity</x:v>
      </x:c>
      <x:c r="I33" s="89" t="str">
        <x:v>Analyst assumption</x:v>
      </x:c>
      <x:c r="J33" s="90" t="str">
        <x:v>Captures asset position, route wins and Gemalink Phase 2 ramp.</x:v>
      </x:c>
    </x:row>
    <x:row r="34" ht="31" customHeight="1">
      <x:c r="A34" s="88" t="str">
        <x:v>Implied unit/mix/scope proxy growth</x:v>
      </x:c>
      <x:c r="B34" s="89" t="str">
        <x:v>%</x:v>
      </x:c>
      <x:c r="C34" s="439" t="n">
        <x:v>0.025</x:v>
      </x:c>
      <x:c r="D34" s="439" t="n">
        <x:v>0.03</x:v>
      </x:c>
      <x:c r="E34" s="439" t="n">
        <x:v>0.03</x:v>
      </x:c>
      <x:c r="F34" s="439" t="n">
        <x:v>0.03</x:v>
      </x:c>
      <x:c r="G34" s="439" t="n">
        <x:v>0.03</x:v>
      </x:c>
      <x:c r="H34" s="89" t="str">
        <x:v>Historical + macro + disclosed capacity</x:v>
      </x:c>
      <x:c r="I34" s="89" t="str">
        <x:v>Analyst assumption</x:v>
      </x:c>
      <x:c r="J34" s="90" t="str">
        <x:v>Price, cargo mix, service mix and recognition scope; not a pure tariff.</x:v>
      </x:c>
    </x:row>
    <x:row r="35" ht="31" customHeight="1">
      <x:c r="A35" s="88" t="str">
        <x:v>Logistics external revenue growth</x:v>
      </x:c>
      <x:c r="B35" s="89" t="str">
        <x:v>%</x:v>
      </x:c>
      <x:c r="C35" s="439" t="n">
        <x:v>0.04</x:v>
      </x:c>
      <x:c r="D35" s="439" t="n">
        <x:v>0.05</x:v>
      </x:c>
      <x:c r="E35" s="439" t="n">
        <x:v>0.06</x:v>
      </x:c>
      <x:c r="F35" s="439" t="n">
        <x:v>0.06</x:v>
      </x:c>
      <x:c r="G35" s="439" t="n">
        <x:v>0.06</x:v>
      </x:c>
      <x:c r="H35" s="89" t="str">
        <x:v>Historical + macro + disclosed capacity</x:v>
      </x:c>
      <x:c r="I35" s="89" t="str">
        <x:v>Analyst assumption</x:v>
      </x:c>
      <x:c r="J35" s="90" t="str">
        <x:v>Separate from port throughput.</x:v>
      </x:c>
    </x:row>
    <x:row r="36" ht="31" customHeight="1">
      <x:c r="A36" s="88" t="str">
        <x:v>Other external revenue growth</x:v>
      </x:c>
      <x:c r="B36" s="89" t="str">
        <x:v>%</x:v>
      </x:c>
      <x:c r="C36" s="439" t="n">
        <x:v>0</x:v>
      </x:c>
      <x:c r="D36" s="439" t="n">
        <x:v>0</x:v>
      </x:c>
      <x:c r="E36" s="439" t="n">
        <x:v>0</x:v>
      </x:c>
      <x:c r="F36" s="439" t="n">
        <x:v>0</x:v>
      </x:c>
      <x:c r="G36" s="439" t="n">
        <x:v>0</x:v>
      </x:c>
      <x:c r="H36" s="89" t="str">
        <x:v>Historical + macro + disclosed capacity</x:v>
      </x:c>
      <x:c r="I36" s="89" t="str">
        <x:v>Analyst assumption</x:v>
      </x:c>
      <x:c r="J36" s="90" t="str">
        <x:v>Small residual segment; kept conservative.</x:v>
      </x:c>
    </x:row>
    <x:row r="37" ht="31" customHeight="1">
      <x:c r="A37" s="88" t="str">
        <x:v>Consolidated operating margin</x:v>
      </x:c>
      <x:c r="B37" s="89" t="str">
        <x:v>%</x:v>
      </x:c>
      <x:c r="C37" s="439" t="n">
        <x:v>0.28</x:v>
      </x:c>
      <x:c r="D37" s="439" t="n">
        <x:v>0.285</x:v>
      </x:c>
      <x:c r="E37" s="439" t="n">
        <x:v>0.29</x:v>
      </x:c>
      <x:c r="F37" s="439" t="n">
        <x:v>0.295</x:v>
      </x:c>
      <x:c r="G37" s="439" t="n">
        <x:v>0.3</x:v>
      </x:c>
      <x:c r="H37" s="89" t="str">
        <x:v>Historical + macro + disclosed capacity</x:v>
      </x:c>
      <x:c r="I37" s="89" t="str">
        <x:v>Analyst assumption</x:v>
      </x:c>
      <x:c r="J37" s="90" t="str">
        <x:v>Before financial, associate and other items.</x:v>
      </x:c>
    </x:row>
    <x:row r="38" ht="31" customHeight="1">
      <x:c r="A38" s="88" t="str">
        <x:v>Financial income</x:v>
      </x:c>
      <x:c r="B38" s="89" t="str">
        <x:v>VND bn</x:v>
      </x:c>
      <x:c r="C38" s="440" t="n">
        <x:v>225</x:v>
      </x:c>
      <x:c r="D38" s="440" t="n">
        <x:v>220</x:v>
      </x:c>
      <x:c r="E38" s="440" t="n">
        <x:v>210</x:v>
      </x:c>
      <x:c r="F38" s="440" t="n">
        <x:v>200</x:v>
      </x:c>
      <x:c r="G38" s="440" t="n">
        <x:v>190</x:v>
      </x:c>
      <x:c r="H38" s="89" t="str">
        <x:v>Historical + macro + disclosed capacity</x:v>
      </x:c>
      <x:c r="I38" s="89" t="str">
        <x:v>Analyst assumption</x:v>
      </x:c>
      <x:c r="J38" s="90" t="str">
        <x:v>Cash-yield assumption linked to balance-sheet liquidity.</x:v>
      </x:c>
    </x:row>
    <x:row r="39" ht="31" customHeight="1">
      <x:c r="A39" s="88" t="str">
        <x:v>Financial expense</x:v>
      </x:c>
      <x:c r="B39" s="89" t="str">
        <x:v>VND bn</x:v>
      </x:c>
      <x:c r="C39" s="440" t="n">
        <x:v>120</x:v>
      </x:c>
      <x:c r="D39" s="440" t="n">
        <x:v>125</x:v>
      </x:c>
      <x:c r="E39" s="440" t="n">
        <x:v>130</x:v>
      </x:c>
      <x:c r="F39" s="440" t="n">
        <x:v>135</x:v>
      </x:c>
      <x:c r="G39" s="440" t="n">
        <x:v>140</x:v>
      </x:c>
      <x:c r="H39" s="89" t="str">
        <x:v>Historical + macro + disclosed capacity</x:v>
      </x:c>
      <x:c r="I39" s="89" t="str">
        <x:v>Analyst assumption</x:v>
      </x:c>
      <x:c r="J39" s="90" t="str">
        <x:v>Gross-financing cost assumption.</x:v>
      </x:c>
    </x:row>
    <x:row r="40" ht="31" customHeight="1">
      <x:c r="A40" s="88" t="str">
        <x:v>Other profit/(loss)</x:v>
      </x:c>
      <x:c r="B40" s="89" t="str">
        <x:v>VND bn</x:v>
      </x:c>
      <x:c r="C40" s="440" t="n">
        <x:v>-250</x:v>
      </x:c>
      <x:c r="D40" s="440" t="n">
        <x:v>-250</x:v>
      </x:c>
      <x:c r="E40" s="440" t="n">
        <x:v>-250</x:v>
      </x:c>
      <x:c r="F40" s="440" t="n">
        <x:v>-250</x:v>
      </x:c>
      <x:c r="G40" s="440" t="n">
        <x:v>-250</x:v>
      </x:c>
      <x:c r="H40" s="89" t="str">
        <x:v>Historical + macro + disclosed capacity</x:v>
      </x:c>
      <x:c r="I40" s="89" t="str">
        <x:v>Analyst assumption</x:v>
      </x:c>
      <x:c r="J40" s="90" t="str">
        <x:v>Recurring conservative loss allowance.</x:v>
      </x:c>
    </x:row>
    <x:row r="41" ht="31" customHeight="1">
      <x:c r="A41" s="88" t="str">
        <x:v>Gemalink associate-profit growth</x:v>
      </x:c>
      <x:c r="B41" s="89" t="str">
        <x:v>%</x:v>
      </x:c>
      <x:c r="C41" s="439" t="n">
        <x:v>0.1</x:v>
      </x:c>
      <x:c r="D41" s="439" t="n">
        <x:v>0.1</x:v>
      </x:c>
      <x:c r="E41" s="439" t="n">
        <x:v>0.25</x:v>
      </x:c>
      <x:c r="F41" s="439" t="n">
        <x:v>0.18</x:v>
      </x:c>
      <x:c r="G41" s="439" t="n">
        <x:v>0.12</x:v>
      </x:c>
      <x:c r="H41" s="89" t="str">
        <x:v>Historical + macro + disclosed capacity</x:v>
      </x:c>
      <x:c r="I41" s="89" t="str">
        <x:v>Analyst assumption</x:v>
      </x:c>
      <x:c r="J41" s="90" t="str">
        <x:v>Phase 2 operation assumed from Q4 2027, with material ramp from 2028.</x:v>
      </x:c>
    </x:row>
    <x:row r="42" ht="31" customHeight="1">
      <x:c r="A42" s="88" t="str">
        <x:v>SCS associate-profit growth</x:v>
      </x:c>
      <x:c r="B42" s="89" t="str">
        <x:v>%</x:v>
      </x:c>
      <x:c r="C42" s="439" t="n">
        <x:v>0.07</x:v>
      </x:c>
      <x:c r="D42" s="439" t="n">
        <x:v>0.07</x:v>
      </x:c>
      <x:c r="E42" s="439" t="n">
        <x:v>0.07</x:v>
      </x:c>
      <x:c r="F42" s="439" t="n">
        <x:v>0.07</x:v>
      </x:c>
      <x:c r="G42" s="439" t="n">
        <x:v>0.07</x:v>
      </x:c>
      <x:c r="H42" s="89" t="str">
        <x:v>Historical + macro + disclosed capacity</x:v>
      </x:c>
      <x:c r="I42" s="89" t="str">
        <x:v>Analyst assumption</x:v>
      </x:c>
      <x:c r="J42" s="90" t="str">
        <x:v>Air-cargo associate growth.</x:v>
      </x:c>
    </x:row>
    <x:row r="43" ht="31" customHeight="1">
      <x:c r="A43" s="88" t="str">
        <x:v>CJ Gemadept Logistics profit growth</x:v>
      </x:c>
      <x:c r="B43" s="89" t="str">
        <x:v>%</x:v>
      </x:c>
      <x:c r="C43" s="439" t="n">
        <x:v>0.06</x:v>
      </x:c>
      <x:c r="D43" s="439" t="n">
        <x:v>0.06</x:v>
      </x:c>
      <x:c r="E43" s="439" t="n">
        <x:v>0.06</x:v>
      </x:c>
      <x:c r="F43" s="439" t="n">
        <x:v>0.06</x:v>
      </x:c>
      <x:c r="G43" s="439" t="n">
        <x:v>0.06</x:v>
      </x:c>
      <x:c r="H43" s="89" t="str">
        <x:v>Historical + macro + disclosed capacity</x:v>
      </x:c>
      <x:c r="I43" s="89" t="str">
        <x:v>Analyst assumption</x:v>
      </x:c>
      <x:c r="J43" s="90" t="str">
        <x:v>Logistics-associate growth.</x:v>
      </x:c>
    </x:row>
    <x:row r="44" ht="31" customHeight="1">
      <x:c r="A44" s="88" t="str">
        <x:v>Other associate-profit growth</x:v>
      </x:c>
      <x:c r="B44" s="89" t="str">
        <x:v>%</x:v>
      </x:c>
      <x:c r="C44" s="439" t="n">
        <x:v>0.04</x:v>
      </x:c>
      <x:c r="D44" s="439" t="n">
        <x:v>0.04</x:v>
      </x:c>
      <x:c r="E44" s="439" t="n">
        <x:v>0.04</x:v>
      </x:c>
      <x:c r="F44" s="439" t="n">
        <x:v>0.04</x:v>
      </x:c>
      <x:c r="G44" s="439" t="n">
        <x:v>0.04</x:v>
      </x:c>
      <x:c r="H44" s="89" t="str">
        <x:v>Historical + macro + disclosed capacity</x:v>
      </x:c>
      <x:c r="I44" s="89" t="str">
        <x:v>Analyst assumption</x:v>
      </x:c>
      <x:c r="J44" s="90" t="str">
        <x:v>Residual associate bucket.</x:v>
      </x:c>
    </x:row>
    <x:row r="45" ht="31" customHeight="1">
      <x:c r="A45" s="88" t="str">
        <x:v>Effective PBT tax rate</x:v>
      </x:c>
      <x:c r="B45" s="89" t="str">
        <x:v>%</x:v>
      </x:c>
      <x:c r="C45" s="439" t="n">
        <x:v>0.095</x:v>
      </x:c>
      <x:c r="D45" s="439" t="n">
        <x:v>0.095</x:v>
      </x:c>
      <x:c r="E45" s="439" t="n">
        <x:v>0.1</x:v>
      </x:c>
      <x:c r="F45" s="439" t="n">
        <x:v>0.1</x:v>
      </x:c>
      <x:c r="G45" s="439" t="n">
        <x:v>0.1</x:v>
      </x:c>
      <x:c r="H45" s="89" t="str">
        <x:v>Historical + macro + disclosed capacity</x:v>
      </x:c>
      <x:c r="I45" s="89" t="str">
        <x:v>Analyst assumption</x:v>
      </x:c>
      <x:c r="J45" s="90" t="str">
        <x:v>Lower than statutory rate because associate income is after tax.</x:v>
      </x:c>
    </x:row>
    <x:row r="46" ht="31" customHeight="1">
      <x:c r="A46" s="88" t="str">
        <x:v>NCI share of consolidated PAT</x:v>
      </x:c>
      <x:c r="B46" s="89" t="str">
        <x:v>%</x:v>
      </x:c>
      <x:c r="C46" s="439" t="n">
        <x:v>0.22</x:v>
      </x:c>
      <x:c r="D46" s="439" t="n">
        <x:v>0.22</x:v>
      </x:c>
      <x:c r="E46" s="439" t="n">
        <x:v>0.22</x:v>
      </x:c>
      <x:c r="F46" s="439" t="n">
        <x:v>0.22</x:v>
      </x:c>
      <x:c r="G46" s="439" t="n">
        <x:v>0.22</x:v>
      </x:c>
      <x:c r="H46" s="89" t="str">
        <x:v>Historical + macro + disclosed capacity</x:v>
      </x:c>
      <x:c r="I46" s="89" t="str">
        <x:v>Analyst assumption</x:v>
      </x:c>
      <x:c r="J46" s="90" t="str">
        <x:v>Attribution assumption.</x:v>
      </x:c>
    </x:row>
    <x:row r="47" ht="31" customHeight="1">
      <x:c r="A47" s="88" t="str">
        <x:v>D&amp;A</x:v>
      </x:c>
      <x:c r="B47" s="89" t="str">
        <x:v>VND bn</x:v>
      </x:c>
      <x:c r="C47" s="440" t="n">
        <x:v>500</x:v>
      </x:c>
      <x:c r="D47" s="440" t="n">
        <x:v>580</x:v>
      </x:c>
      <x:c r="E47" s="440" t="n">
        <x:v>680</x:v>
      </x:c>
      <x:c r="F47" s="440" t="n">
        <x:v>750</x:v>
      </x:c>
      <x:c r="G47" s="440" t="n">
        <x:v>820</x:v>
      </x:c>
      <x:c r="H47" s="89" t="str">
        <x:v>Historical + macro + disclosed capacity</x:v>
      </x:c>
      <x:c r="I47" s="89" t="str">
        <x:v>Analyst assumption</x:v>
      </x:c>
      <x:c r="J47" s="90" t="str">
        <x:v>Ramps with new consolidated assets.</x:v>
      </x:c>
    </x:row>
    <x:row r="48" ht="31" customHeight="1">
      <x:c r="A48" s="88" t="str">
        <x:v>Cash capex</x:v>
      </x:c>
      <x:c r="B48" s="89" t="str">
        <x:v>VND bn</x:v>
      </x:c>
      <x:c r="C48" s="440" t="n">
        <x:v>1400</x:v>
      </x:c>
      <x:c r="D48" s="440" t="n">
        <x:v>1200</x:v>
      </x:c>
      <x:c r="E48" s="440" t="n">
        <x:v>1000</x:v>
      </x:c>
      <x:c r="F48" s="440" t="n">
        <x:v>850</x:v>
      </x:c>
      <x:c r="G48" s="440" t="n">
        <x:v>800</x:v>
      </x:c>
      <x:c r="H48" s="89" t="str">
        <x:v>Historical + macro + disclosed capacity</x:v>
      </x:c>
      <x:c r="I48" s="89" t="str">
        <x:v>Analyst assumption</x:v>
      </x:c>
      <x:c r="J48" s="90" t="str">
        <x:v>Elevated through the expansion cycle, then normalizes.</x:v>
      </x:c>
    </x:row>
    <x:row r="49" ht="31" customHeight="1">
      <x:c r="A49" s="88" t="str">
        <x:v>NWC investment / incremental revenue</x:v>
      </x:c>
      <x:c r="B49" s="89" t="str">
        <x:v>%</x:v>
      </x:c>
      <x:c r="C49" s="439" t="n">
        <x:v>0.02</x:v>
      </x:c>
      <x:c r="D49" s="439" t="n">
        <x:v>0.02</x:v>
      </x:c>
      <x:c r="E49" s="439" t="n">
        <x:v>0.02</x:v>
      </x:c>
      <x:c r="F49" s="439" t="n">
        <x:v>0.02</x:v>
      </x:c>
      <x:c r="G49" s="439" t="n">
        <x:v>0.02</x:v>
      </x:c>
      <x:c r="H49" s="89" t="str">
        <x:v>Historical + macro + disclosed capacity</x:v>
      </x:c>
      <x:c r="I49" s="89" t="str">
        <x:v>Analyst assumption</x:v>
      </x:c>
      <x:c r="J49" s="90" t="str">
        <x:v>Simplified cash working-capital assumption.</x:v>
      </x:c>
    </x:row>
    <x:row r="50" ht="31" customHeight="1">
      <x:c r="A50" s="91" t="str">
        <x:v>Statutory tax rate on consolidated EBIT</x:v>
      </x:c>
      <x:c r="B50" s="92" t="str">
        <x:v>%</x:v>
      </x:c>
      <x:c r="C50" s="443" t="n">
        <x:v>0.2</x:v>
      </x:c>
      <x:c r="D50" s="443" t="n">
        <x:v>0.2</x:v>
      </x:c>
      <x:c r="E50" s="443" t="n">
        <x:v>0.2</x:v>
      </x:c>
      <x:c r="F50" s="443" t="n">
        <x:v>0.2</x:v>
      </x:c>
      <x:c r="G50" s="443" t="n">
        <x:v>0.2</x:v>
      </x:c>
      <x:c r="H50" s="92" t="str">
        <x:v>Historical + macro + disclosed capacity</x:v>
      </x:c>
      <x:c r="I50" s="92" t="str">
        <x:v>Analyst assumption</x:v>
      </x:c>
      <x:c r="J50" s="93" t="str">
        <x:v>Used in FCFF; separate from consolidated effective tax.</x:v>
      </x:c>
    </x:row>
    <x:row r="54" ht="22" customHeight="1">
      <x:c r="A54" s="446" t="str">
        <x:v>Bull case — editable forecast drivers</x:v>
      </x:c>
      <x:c r="B54" s="446" t="str">
        <x:v>Bull case — editable forecast drivers</x:v>
      </x:c>
      <x:c r="C54" s="446" t="str">
        <x:v>Bull case — editable forecast drivers</x:v>
      </x:c>
      <x:c r="D54" s="446" t="str">
        <x:v>Bull case — editable forecast drivers</x:v>
      </x:c>
      <x:c r="E54" s="446" t="str">
        <x:v>Bull case — editable forecast drivers</x:v>
      </x:c>
      <x:c r="F54" s="446" t="str">
        <x:v>Bull case — editable forecast drivers</x:v>
      </x:c>
      <x:c r="G54" s="446" t="str">
        <x:v>Bull case — editable forecast drivers</x:v>
      </x:c>
      <x:c r="H54" s="446" t="str">
        <x:v>Bull case — editable forecast drivers</x:v>
      </x:c>
      <x:c r="I54" s="446" t="str">
        <x:v>Bull case — editable forecast drivers</x:v>
      </x:c>
      <x:c r="J54" s="446" t="str">
        <x:v>Bull case — editable forecast drivers</x:v>
      </x:c>
    </x:row>
    <x:row r="55" ht="32" customHeight="1">
      <x:c r="A55" s="421" t="str">
        <x:v>Driver</x:v>
      </x:c>
      <x:c r="B55" s="421" t="str">
        <x:v>Unit</x:v>
      </x:c>
      <x:c r="C55" s="433" t="n">
        <x:v>46387</x:v>
      </x:c>
      <x:c r="D55" s="433" t="n">
        <x:v>46752</x:v>
      </x:c>
      <x:c r="E55" s="433" t="n">
        <x:v>47118</x:v>
      </x:c>
      <x:c r="F55" s="433" t="n">
        <x:v>47483</x:v>
      </x:c>
      <x:c r="G55" s="433" t="n">
        <x:v>47848</x:v>
      </x:c>
      <x:c r="H55" s="421" t="str">
        <x:v>Source / logic</x:v>
      </x:c>
      <x:c r="I55" s="421" t="str">
        <x:v>Data class</x:v>
      </x:c>
      <x:c r="J55" s="421" t="str">
        <x:v>Analyst note</x:v>
      </x:c>
    </x:row>
    <x:row r="56" ht="31" customHeight="1">
      <x:c r="A56" s="85" t="str">
        <x:v>National container throughput growth</x:v>
      </x:c>
      <x:c r="B56" s="86" t="str">
        <x:v>%</x:v>
      </x:c>
      <x:c r="C56" s="436" t="n">
        <x:v>0.14</x:v>
      </x:c>
      <x:c r="D56" s="436" t="n">
        <x:v>0.12</x:v>
      </x:c>
      <x:c r="E56" s="436" t="n">
        <x:v>0.1</x:v>
      </x:c>
      <x:c r="F56" s="436" t="n">
        <x:v>0.08</x:v>
      </x:c>
      <x:c r="G56" s="436" t="n">
        <x:v>0.07</x:v>
      </x:c>
      <x:c r="H56" s="86" t="str">
        <x:v>Historical + macro + disclosed capacity</x:v>
      </x:c>
      <x:c r="I56" s="86" t="str">
        <x:v>Analyst assumption</x:v>
      </x:c>
      <x:c r="J56" s="87" t="str">
        <x:v>Macro-to-volume assumption; deliberately below 1H2026 trade-value growth.</x:v>
      </x:c>
    </x:row>
    <x:row r="57" ht="31" customHeight="1">
      <x:c r="A57" s="88" t="str">
        <x:v>GMD share of national throughput</x:v>
      </x:c>
      <x:c r="B57" s="89" t="str">
        <x:v>%</x:v>
      </x:c>
      <x:c r="C57" s="439" t="n">
        <x:v>0.154</x:v>
      </x:c>
      <x:c r="D57" s="439" t="n">
        <x:v>0.16</x:v>
      </x:c>
      <x:c r="E57" s="439" t="n">
        <x:v>0.175</x:v>
      </x:c>
      <x:c r="F57" s="439" t="n">
        <x:v>0.185</x:v>
      </x:c>
      <x:c r="G57" s="439" t="n">
        <x:v>0.19</x:v>
      </x:c>
      <x:c r="H57" s="89" t="str">
        <x:v>Historical + macro + disclosed capacity</x:v>
      </x:c>
      <x:c r="I57" s="89" t="str">
        <x:v>Analyst assumption</x:v>
      </x:c>
      <x:c r="J57" s="90" t="str">
        <x:v>Captures asset position, route wins and Gemalink Phase 2 ramp.</x:v>
      </x:c>
    </x:row>
    <x:row r="58" ht="31" customHeight="1">
      <x:c r="A58" s="88" t="str">
        <x:v>Implied unit/mix/scope proxy growth</x:v>
      </x:c>
      <x:c r="B58" s="89" t="str">
        <x:v>%</x:v>
      </x:c>
      <x:c r="C58" s="439" t="n">
        <x:v>0.04</x:v>
      </x:c>
      <x:c r="D58" s="439" t="n">
        <x:v>0.04</x:v>
      </x:c>
      <x:c r="E58" s="439" t="n">
        <x:v>0.04</x:v>
      </x:c>
      <x:c r="F58" s="439" t="n">
        <x:v>0.035</x:v>
      </x:c>
      <x:c r="G58" s="439" t="n">
        <x:v>0.035</x:v>
      </x:c>
      <x:c r="H58" s="89" t="str">
        <x:v>Historical + macro + disclosed capacity</x:v>
      </x:c>
      <x:c r="I58" s="89" t="str">
        <x:v>Analyst assumption</x:v>
      </x:c>
      <x:c r="J58" s="90" t="str">
        <x:v>Price, cargo mix, service mix and recognition scope; not a pure tariff.</x:v>
      </x:c>
    </x:row>
    <x:row r="59" ht="31" customHeight="1">
      <x:c r="A59" s="88" t="str">
        <x:v>Logistics external revenue growth</x:v>
      </x:c>
      <x:c r="B59" s="89" t="str">
        <x:v>%</x:v>
      </x:c>
      <x:c r="C59" s="439" t="n">
        <x:v>0.07</x:v>
      </x:c>
      <x:c r="D59" s="439" t="n">
        <x:v>0.08</x:v>
      </x:c>
      <x:c r="E59" s="439" t="n">
        <x:v>0.08</x:v>
      </x:c>
      <x:c r="F59" s="439" t="n">
        <x:v>0.07</x:v>
      </x:c>
      <x:c r="G59" s="439" t="n">
        <x:v>0.07</x:v>
      </x:c>
      <x:c r="H59" s="89" t="str">
        <x:v>Historical + macro + disclosed capacity</x:v>
      </x:c>
      <x:c r="I59" s="89" t="str">
        <x:v>Analyst assumption</x:v>
      </x:c>
      <x:c r="J59" s="90" t="str">
        <x:v>Separate from port throughput.</x:v>
      </x:c>
    </x:row>
    <x:row r="60" ht="31" customHeight="1">
      <x:c r="A60" s="88" t="str">
        <x:v>Other external revenue growth</x:v>
      </x:c>
      <x:c r="B60" s="89" t="str">
        <x:v>%</x:v>
      </x:c>
      <x:c r="C60" s="439" t="n">
        <x:v>0</x:v>
      </x:c>
      <x:c r="D60" s="439" t="n">
        <x:v>0</x:v>
      </x:c>
      <x:c r="E60" s="439" t="n">
        <x:v>0</x:v>
      </x:c>
      <x:c r="F60" s="439" t="n">
        <x:v>0</x:v>
      </x:c>
      <x:c r="G60" s="439" t="n">
        <x:v>0</x:v>
      </x:c>
      <x:c r="H60" s="89" t="str">
        <x:v>Historical + macro + disclosed capacity</x:v>
      </x:c>
      <x:c r="I60" s="89" t="str">
        <x:v>Analyst assumption</x:v>
      </x:c>
      <x:c r="J60" s="90" t="str">
        <x:v>Small residual segment; kept conservative.</x:v>
      </x:c>
    </x:row>
    <x:row r="61" ht="31" customHeight="1">
      <x:c r="A61" s="88" t="str">
        <x:v>Consolidated operating margin</x:v>
      </x:c>
      <x:c r="B61" s="89" t="str">
        <x:v>%</x:v>
      </x:c>
      <x:c r="C61" s="439" t="n">
        <x:v>0.285</x:v>
      </x:c>
      <x:c r="D61" s="439" t="n">
        <x:v>0.295</x:v>
      </x:c>
      <x:c r="E61" s="439" t="n">
        <x:v>0.305</x:v>
      </x:c>
      <x:c r="F61" s="439" t="n">
        <x:v>0.31</x:v>
      </x:c>
      <x:c r="G61" s="439" t="n">
        <x:v>0.315</x:v>
      </x:c>
      <x:c r="H61" s="89" t="str">
        <x:v>Historical + macro + disclosed capacity</x:v>
      </x:c>
      <x:c r="I61" s="89" t="str">
        <x:v>Analyst assumption</x:v>
      </x:c>
      <x:c r="J61" s="90" t="str">
        <x:v>Before financial, associate and other items.</x:v>
      </x:c>
    </x:row>
    <x:row r="62" ht="31" customHeight="1">
      <x:c r="A62" s="88" t="str">
        <x:v>Financial income</x:v>
      </x:c>
      <x:c r="B62" s="89" t="str">
        <x:v>VND bn</x:v>
      </x:c>
      <x:c r="C62" s="440" t="n">
        <x:v>230</x:v>
      </x:c>
      <x:c r="D62" s="440" t="n">
        <x:v>225</x:v>
      </x:c>
      <x:c r="E62" s="440" t="n">
        <x:v>220</x:v>
      </x:c>
      <x:c r="F62" s="440" t="n">
        <x:v>215</x:v>
      </x:c>
      <x:c r="G62" s="440" t="n">
        <x:v>210</x:v>
      </x:c>
      <x:c r="H62" s="89" t="str">
        <x:v>Historical + macro + disclosed capacity</x:v>
      </x:c>
      <x:c r="I62" s="89" t="str">
        <x:v>Analyst assumption</x:v>
      </x:c>
      <x:c r="J62" s="90" t="str">
        <x:v>Cash-yield assumption linked to balance-sheet liquidity.</x:v>
      </x:c>
    </x:row>
    <x:row r="63" ht="31" customHeight="1">
      <x:c r="A63" s="88" t="str">
        <x:v>Financial expense</x:v>
      </x:c>
      <x:c r="B63" s="89" t="str">
        <x:v>VND bn</x:v>
      </x:c>
      <x:c r="C63" s="440" t="n">
        <x:v>115</x:v>
      </x:c>
      <x:c r="D63" s="440" t="n">
        <x:v>115</x:v>
      </x:c>
      <x:c r="E63" s="440" t="n">
        <x:v>120</x:v>
      </x:c>
      <x:c r="F63" s="440" t="n">
        <x:v>125</x:v>
      </x:c>
      <x:c r="G63" s="440" t="n">
        <x:v>130</x:v>
      </x:c>
      <x:c r="H63" s="89" t="str">
        <x:v>Historical + macro + disclosed capacity</x:v>
      </x:c>
      <x:c r="I63" s="89" t="str">
        <x:v>Analyst assumption</x:v>
      </x:c>
      <x:c r="J63" s="90" t="str">
        <x:v>Gross-financing cost assumption.</x:v>
      </x:c>
    </x:row>
    <x:row r="64" ht="31" customHeight="1">
      <x:c r="A64" s="88" t="str">
        <x:v>Other profit/(loss)</x:v>
      </x:c>
      <x:c r="B64" s="89" t="str">
        <x:v>VND bn</x:v>
      </x:c>
      <x:c r="C64" s="440" t="n">
        <x:v>-220</x:v>
      </x:c>
      <x:c r="D64" s="440" t="n">
        <x:v>-220</x:v>
      </x:c>
      <x:c r="E64" s="440" t="n">
        <x:v>-220</x:v>
      </x:c>
      <x:c r="F64" s="440" t="n">
        <x:v>-220</x:v>
      </x:c>
      <x:c r="G64" s="440" t="n">
        <x:v>-220</x:v>
      </x:c>
      <x:c r="H64" s="89" t="str">
        <x:v>Historical + macro + disclosed capacity</x:v>
      </x:c>
      <x:c r="I64" s="89" t="str">
        <x:v>Analyst assumption</x:v>
      </x:c>
      <x:c r="J64" s="90" t="str">
        <x:v>Recurring conservative loss allowance.</x:v>
      </x:c>
    </x:row>
    <x:row r="65" ht="31" customHeight="1">
      <x:c r="A65" s="88" t="str">
        <x:v>Gemalink associate-profit growth</x:v>
      </x:c>
      <x:c r="B65" s="89" t="str">
        <x:v>%</x:v>
      </x:c>
      <x:c r="C65" s="439" t="n">
        <x:v>0.15</x:v>
      </x:c>
      <x:c r="D65" s="439" t="n">
        <x:v>0.15</x:v>
      </x:c>
      <x:c r="E65" s="439" t="n">
        <x:v>0.35</x:v>
      </x:c>
      <x:c r="F65" s="439" t="n">
        <x:v>0.22</x:v>
      </x:c>
      <x:c r="G65" s="439" t="n">
        <x:v>0.15</x:v>
      </x:c>
      <x:c r="H65" s="89" t="str">
        <x:v>Historical + macro + disclosed capacity</x:v>
      </x:c>
      <x:c r="I65" s="89" t="str">
        <x:v>Analyst assumption</x:v>
      </x:c>
      <x:c r="J65" s="90" t="str">
        <x:v>Phase 2 operation assumed from Q4 2027, with material ramp from 2028.</x:v>
      </x:c>
    </x:row>
    <x:row r="66" ht="31" customHeight="1">
      <x:c r="A66" s="88" t="str">
        <x:v>SCS associate-profit growth</x:v>
      </x:c>
      <x:c r="B66" s="89" t="str">
        <x:v>%</x:v>
      </x:c>
      <x:c r="C66" s="439" t="n">
        <x:v>0.09</x:v>
      </x:c>
      <x:c r="D66" s="439" t="n">
        <x:v>0.09</x:v>
      </x:c>
      <x:c r="E66" s="439" t="n">
        <x:v>0.09</x:v>
      </x:c>
      <x:c r="F66" s="439" t="n">
        <x:v>0.08</x:v>
      </x:c>
      <x:c r="G66" s="439" t="n">
        <x:v>0.08</x:v>
      </x:c>
      <x:c r="H66" s="89" t="str">
        <x:v>Historical + macro + disclosed capacity</x:v>
      </x:c>
      <x:c r="I66" s="89" t="str">
        <x:v>Analyst assumption</x:v>
      </x:c>
      <x:c r="J66" s="90" t="str">
        <x:v>Air-cargo associate growth.</x:v>
      </x:c>
    </x:row>
    <x:row r="67" ht="31" customHeight="1">
      <x:c r="A67" s="88" t="str">
        <x:v>CJ Gemadept Logistics profit growth</x:v>
      </x:c>
      <x:c r="B67" s="89" t="str">
        <x:v>%</x:v>
      </x:c>
      <x:c r="C67" s="439" t="n">
        <x:v>0.08</x:v>
      </x:c>
      <x:c r="D67" s="439" t="n">
        <x:v>0.08</x:v>
      </x:c>
      <x:c r="E67" s="439" t="n">
        <x:v>0.08</x:v>
      </x:c>
      <x:c r="F67" s="439" t="n">
        <x:v>0.08</x:v>
      </x:c>
      <x:c r="G67" s="439" t="n">
        <x:v>0.08</x:v>
      </x:c>
      <x:c r="H67" s="89" t="str">
        <x:v>Historical + macro + disclosed capacity</x:v>
      </x:c>
      <x:c r="I67" s="89" t="str">
        <x:v>Analyst assumption</x:v>
      </x:c>
      <x:c r="J67" s="90" t="str">
        <x:v>Logistics-associate growth.</x:v>
      </x:c>
    </x:row>
    <x:row r="68" ht="31" customHeight="1">
      <x:c r="A68" s="88" t="str">
        <x:v>Other associate-profit growth</x:v>
      </x:c>
      <x:c r="B68" s="89" t="str">
        <x:v>%</x:v>
      </x:c>
      <x:c r="C68" s="439" t="n">
        <x:v>0.06</x:v>
      </x:c>
      <x:c r="D68" s="439" t="n">
        <x:v>0.06</x:v>
      </x:c>
      <x:c r="E68" s="439" t="n">
        <x:v>0.06</x:v>
      </x:c>
      <x:c r="F68" s="439" t="n">
        <x:v>0.06</x:v>
      </x:c>
      <x:c r="G68" s="439" t="n">
        <x:v>0.06</x:v>
      </x:c>
      <x:c r="H68" s="89" t="str">
        <x:v>Historical + macro + disclosed capacity</x:v>
      </x:c>
      <x:c r="I68" s="89" t="str">
        <x:v>Analyst assumption</x:v>
      </x:c>
      <x:c r="J68" s="90" t="str">
        <x:v>Residual associate bucket.</x:v>
      </x:c>
    </x:row>
    <x:row r="69" ht="31" customHeight="1">
      <x:c r="A69" s="88" t="str">
        <x:v>Effective PBT tax rate</x:v>
      </x:c>
      <x:c r="B69" s="89" t="str">
        <x:v>%</x:v>
      </x:c>
      <x:c r="C69" s="439" t="n">
        <x:v>0.09</x:v>
      </x:c>
      <x:c r="D69" s="439" t="n">
        <x:v>0.09</x:v>
      </x:c>
      <x:c r="E69" s="439" t="n">
        <x:v>0.09</x:v>
      </x:c>
      <x:c r="F69" s="439" t="n">
        <x:v>0.09</x:v>
      </x:c>
      <x:c r="G69" s="439" t="n">
        <x:v>0.09</x:v>
      </x:c>
      <x:c r="H69" s="89" t="str">
        <x:v>Historical + macro + disclosed capacity</x:v>
      </x:c>
      <x:c r="I69" s="89" t="str">
        <x:v>Analyst assumption</x:v>
      </x:c>
      <x:c r="J69" s="90" t="str">
        <x:v>Lower than statutory rate because associate income is after tax.</x:v>
      </x:c>
    </x:row>
    <x:row r="70" ht="31" customHeight="1">
      <x:c r="A70" s="88" t="str">
        <x:v>NCI share of consolidated PAT</x:v>
      </x:c>
      <x:c r="B70" s="89" t="str">
        <x:v>%</x:v>
      </x:c>
      <x:c r="C70" s="439" t="n">
        <x:v>0.2</x:v>
      </x:c>
      <x:c r="D70" s="439" t="n">
        <x:v>0.2</x:v>
      </x:c>
      <x:c r="E70" s="439" t="n">
        <x:v>0.2</x:v>
      </x:c>
      <x:c r="F70" s="439" t="n">
        <x:v>0.2</x:v>
      </x:c>
      <x:c r="G70" s="439" t="n">
        <x:v>0.2</x:v>
      </x:c>
      <x:c r="H70" s="89" t="str">
        <x:v>Historical + macro + disclosed capacity</x:v>
      </x:c>
      <x:c r="I70" s="89" t="str">
        <x:v>Analyst assumption</x:v>
      </x:c>
      <x:c r="J70" s="90" t="str">
        <x:v>Attribution assumption.</x:v>
      </x:c>
    </x:row>
    <x:row r="71" ht="31" customHeight="1">
      <x:c r="A71" s="88" t="str">
        <x:v>D&amp;A</x:v>
      </x:c>
      <x:c r="B71" s="89" t="str">
        <x:v>VND bn</x:v>
      </x:c>
      <x:c r="C71" s="440" t="n">
        <x:v>520</x:v>
      </x:c>
      <x:c r="D71" s="440" t="n">
        <x:v>620</x:v>
      </x:c>
      <x:c r="E71" s="440" t="n">
        <x:v>750</x:v>
      </x:c>
      <x:c r="F71" s="440" t="n">
        <x:v>850</x:v>
      </x:c>
      <x:c r="G71" s="440" t="n">
        <x:v>920</x:v>
      </x:c>
      <x:c r="H71" s="89" t="str">
        <x:v>Historical + macro + disclosed capacity</x:v>
      </x:c>
      <x:c r="I71" s="89" t="str">
        <x:v>Analyst assumption</x:v>
      </x:c>
      <x:c r="J71" s="90" t="str">
        <x:v>Ramps with new consolidated assets.</x:v>
      </x:c>
    </x:row>
    <x:row r="72" ht="31" customHeight="1">
      <x:c r="A72" s="88" t="str">
        <x:v>Cash capex</x:v>
      </x:c>
      <x:c r="B72" s="89" t="str">
        <x:v>VND bn</x:v>
      </x:c>
      <x:c r="C72" s="440" t="n">
        <x:v>1450</x:v>
      </x:c>
      <x:c r="D72" s="440" t="n">
        <x:v>1250</x:v>
      </x:c>
      <x:c r="E72" s="440" t="n">
        <x:v>1050</x:v>
      </x:c>
      <x:c r="F72" s="440" t="n">
        <x:v>900</x:v>
      </x:c>
      <x:c r="G72" s="440" t="n">
        <x:v>850</x:v>
      </x:c>
      <x:c r="H72" s="89" t="str">
        <x:v>Historical + macro + disclosed capacity</x:v>
      </x:c>
      <x:c r="I72" s="89" t="str">
        <x:v>Analyst assumption</x:v>
      </x:c>
      <x:c r="J72" s="90" t="str">
        <x:v>Elevated through the expansion cycle, then normalizes.</x:v>
      </x:c>
    </x:row>
    <x:row r="73" ht="31" customHeight="1">
      <x:c r="A73" s="88" t="str">
        <x:v>NWC investment / incremental revenue</x:v>
      </x:c>
      <x:c r="B73" s="89" t="str">
        <x:v>%</x:v>
      </x:c>
      <x:c r="C73" s="439" t="n">
        <x:v>0.025</x:v>
      </x:c>
      <x:c r="D73" s="439" t="n">
        <x:v>0.025</x:v>
      </x:c>
      <x:c r="E73" s="439" t="n">
        <x:v>0.025</x:v>
      </x:c>
      <x:c r="F73" s="439" t="n">
        <x:v>0.025</x:v>
      </x:c>
      <x:c r="G73" s="439" t="n">
        <x:v>0.025</x:v>
      </x:c>
      <x:c r="H73" s="89" t="str">
        <x:v>Historical + macro + disclosed capacity</x:v>
      </x:c>
      <x:c r="I73" s="89" t="str">
        <x:v>Analyst assumption</x:v>
      </x:c>
      <x:c r="J73" s="90" t="str">
        <x:v>Simplified cash working-capital assumption.</x:v>
      </x:c>
    </x:row>
    <x:row r="74" ht="31" customHeight="1">
      <x:c r="A74" s="91" t="str">
        <x:v>Statutory tax rate on consolidated EBIT</x:v>
      </x:c>
      <x:c r="B74" s="92" t="str">
        <x:v>%</x:v>
      </x:c>
      <x:c r="C74" s="443" t="n">
        <x:v>0.2</x:v>
      </x:c>
      <x:c r="D74" s="443" t="n">
        <x:v>0.2</x:v>
      </x:c>
      <x:c r="E74" s="443" t="n">
        <x:v>0.2</x:v>
      </x:c>
      <x:c r="F74" s="443" t="n">
        <x:v>0.2</x:v>
      </x:c>
      <x:c r="G74" s="443" t="n">
        <x:v>0.2</x:v>
      </x:c>
      <x:c r="H74" s="92" t="str">
        <x:v>Historical + macro + disclosed capacity</x:v>
      </x:c>
      <x:c r="I74" s="92" t="str">
        <x:v>Analyst assumption</x:v>
      </x:c>
      <x:c r="J74" s="93" t="str">
        <x:v>Used in FCFF; separate from consolidated effective tax.</x:v>
      </x:c>
    </x:row>
    <x:row r="78" ht="22" customHeight="1">
      <x:c r="A78" s="449" t="str">
        <x:v>Bear case — editable forecast drivers</x:v>
      </x:c>
      <x:c r="B78" s="449" t="str">
        <x:v>Bear case — editable forecast drivers</x:v>
      </x:c>
      <x:c r="C78" s="449" t="str">
        <x:v>Bear case — editable forecast drivers</x:v>
      </x:c>
      <x:c r="D78" s="449" t="str">
        <x:v>Bear case — editable forecast drivers</x:v>
      </x:c>
      <x:c r="E78" s="449" t="str">
        <x:v>Bear case — editable forecast drivers</x:v>
      </x:c>
      <x:c r="F78" s="449" t="str">
        <x:v>Bear case — editable forecast drivers</x:v>
      </x:c>
      <x:c r="G78" s="449" t="str">
        <x:v>Bear case — editable forecast drivers</x:v>
      </x:c>
      <x:c r="H78" s="449" t="str">
        <x:v>Bear case — editable forecast drivers</x:v>
      </x:c>
      <x:c r="I78" s="449" t="str">
        <x:v>Bear case — editable forecast drivers</x:v>
      </x:c>
      <x:c r="J78" s="449" t="str">
        <x:v>Bear case — editable forecast drivers</x:v>
      </x:c>
    </x:row>
    <x:row r="79" ht="32" customHeight="1">
      <x:c r="A79" s="421" t="str">
        <x:v>Driver</x:v>
      </x:c>
      <x:c r="B79" s="421" t="str">
        <x:v>Unit</x:v>
      </x:c>
      <x:c r="C79" s="433" t="n">
        <x:v>46387</x:v>
      </x:c>
      <x:c r="D79" s="433" t="n">
        <x:v>46752</x:v>
      </x:c>
      <x:c r="E79" s="433" t="n">
        <x:v>47118</x:v>
      </x:c>
      <x:c r="F79" s="433" t="n">
        <x:v>47483</x:v>
      </x:c>
      <x:c r="G79" s="433" t="n">
        <x:v>47848</x:v>
      </x:c>
      <x:c r="H79" s="421" t="str">
        <x:v>Source / logic</x:v>
      </x:c>
      <x:c r="I79" s="421" t="str">
        <x:v>Data class</x:v>
      </x:c>
      <x:c r="J79" s="421" t="str">
        <x:v>Analyst note</x:v>
      </x:c>
    </x:row>
    <x:row r="80" ht="31" customHeight="1">
      <x:c r="A80" s="85" t="str">
        <x:v>National container throughput growth</x:v>
      </x:c>
      <x:c r="B80" s="86" t="str">
        <x:v>%</x:v>
      </x:c>
      <x:c r="C80" s="436" t="n">
        <x:v>0.05</x:v>
      </x:c>
      <x:c r="D80" s="436" t="n">
        <x:v>0.03</x:v>
      </x:c>
      <x:c r="E80" s="436" t="n">
        <x:v>0.02</x:v>
      </x:c>
      <x:c r="F80" s="436" t="n">
        <x:v>0.03</x:v>
      </x:c>
      <x:c r="G80" s="436" t="n">
        <x:v>0.04</x:v>
      </x:c>
      <x:c r="H80" s="86" t="str">
        <x:v>Historical + macro + disclosed capacity</x:v>
      </x:c>
      <x:c r="I80" s="86" t="str">
        <x:v>Analyst assumption</x:v>
      </x:c>
      <x:c r="J80" s="87" t="str">
        <x:v>Macro-to-volume assumption; deliberately below 1H2026 trade-value growth.</x:v>
      </x:c>
    </x:row>
    <x:row r="81" ht="31" customHeight="1">
      <x:c r="A81" s="88" t="str">
        <x:v>GMD share of national throughput</x:v>
      </x:c>
      <x:c r="B81" s="89" t="str">
        <x:v>%</x:v>
      </x:c>
      <x:c r="C81" s="439" t="n">
        <x:v>0.148</x:v>
      </x:c>
      <x:c r="D81" s="439" t="n">
        <x:v>0.146</x:v>
      </x:c>
      <x:c r="E81" s="439" t="n">
        <x:v>0.148</x:v>
      </x:c>
      <x:c r="F81" s="439" t="n">
        <x:v>0.15</x:v>
      </x:c>
      <x:c r="G81" s="439" t="n">
        <x:v>0.152</x:v>
      </x:c>
      <x:c r="H81" s="89" t="str">
        <x:v>Historical + macro + disclosed capacity</x:v>
      </x:c>
      <x:c r="I81" s="89" t="str">
        <x:v>Analyst assumption</x:v>
      </x:c>
      <x:c r="J81" s="90" t="str">
        <x:v>Captures asset position, route wins and Gemalink Phase 2 ramp.</x:v>
      </x:c>
    </x:row>
    <x:row r="82" ht="31" customHeight="1">
      <x:c r="A82" s="88" t="str">
        <x:v>Implied unit/mix/scope proxy growth</x:v>
      </x:c>
      <x:c r="B82" s="89" t="str">
        <x:v>%</x:v>
      </x:c>
      <x:c r="C82" s="439" t="n">
        <x:v>-0.01</x:v>
      </x:c>
      <x:c r="D82" s="439" t="n">
        <x:v>0</x:v>
      </x:c>
      <x:c r="E82" s="439" t="n">
        <x:v>0.01</x:v>
      </x:c>
      <x:c r="F82" s="439" t="n">
        <x:v>0.02</x:v>
      </x:c>
      <x:c r="G82" s="439" t="n">
        <x:v>0.02</x:v>
      </x:c>
      <x:c r="H82" s="89" t="str">
        <x:v>Historical + macro + disclosed capacity</x:v>
      </x:c>
      <x:c r="I82" s="89" t="str">
        <x:v>Analyst assumption</x:v>
      </x:c>
      <x:c r="J82" s="90" t="str">
        <x:v>Price, cargo mix, service mix and recognition scope; not a pure tariff.</x:v>
      </x:c>
    </x:row>
    <x:row r="83" ht="31" customHeight="1">
      <x:c r="A83" s="88" t="str">
        <x:v>Logistics external revenue growth</x:v>
      </x:c>
      <x:c r="B83" s="89" t="str">
        <x:v>%</x:v>
      </x:c>
      <x:c r="C83" s="439" t="n">
        <x:v>0</x:v>
      </x:c>
      <x:c r="D83" s="439" t="n">
        <x:v>0.02</x:v>
      </x:c>
      <x:c r="E83" s="439" t="n">
        <x:v>0.03</x:v>
      </x:c>
      <x:c r="F83" s="439" t="n">
        <x:v>0.04</x:v>
      </x:c>
      <x:c r="G83" s="439" t="n">
        <x:v>0.04</x:v>
      </x:c>
      <x:c r="H83" s="89" t="str">
        <x:v>Historical + macro + disclosed capacity</x:v>
      </x:c>
      <x:c r="I83" s="89" t="str">
        <x:v>Analyst assumption</x:v>
      </x:c>
      <x:c r="J83" s="90" t="str">
        <x:v>Separate from port throughput.</x:v>
      </x:c>
    </x:row>
    <x:row r="84" ht="31" customHeight="1">
      <x:c r="A84" s="88" t="str">
        <x:v>Other external revenue growth</x:v>
      </x:c>
      <x:c r="B84" s="89" t="str">
        <x:v>%</x:v>
      </x:c>
      <x:c r="C84" s="439" t="n">
        <x:v>0</x:v>
      </x:c>
      <x:c r="D84" s="439" t="n">
        <x:v>0</x:v>
      </x:c>
      <x:c r="E84" s="439" t="n">
        <x:v>0</x:v>
      </x:c>
      <x:c r="F84" s="439" t="n">
        <x:v>0</x:v>
      </x:c>
      <x:c r="G84" s="439" t="n">
        <x:v>0</x:v>
      </x:c>
      <x:c r="H84" s="89" t="str">
        <x:v>Historical + macro + disclosed capacity</x:v>
      </x:c>
      <x:c r="I84" s="89" t="str">
        <x:v>Analyst assumption</x:v>
      </x:c>
      <x:c r="J84" s="90" t="str">
        <x:v>Small residual segment; kept conservative.</x:v>
      </x:c>
    </x:row>
    <x:row r="85" ht="31" customHeight="1">
      <x:c r="A85" s="88" t="str">
        <x:v>Consolidated operating margin</x:v>
      </x:c>
      <x:c r="B85" s="89" t="str">
        <x:v>%</x:v>
      </x:c>
      <x:c r="C85" s="439" t="n">
        <x:v>0.26</x:v>
      </x:c>
      <x:c r="D85" s="439" t="n">
        <x:v>0.255</x:v>
      </x:c>
      <x:c r="E85" s="439" t="n">
        <x:v>0.26</x:v>
      </x:c>
      <x:c r="F85" s="439" t="n">
        <x:v>0.265</x:v>
      </x:c>
      <x:c r="G85" s="439" t="n">
        <x:v>0.27</x:v>
      </x:c>
      <x:c r="H85" s="89" t="str">
        <x:v>Historical + macro + disclosed capacity</x:v>
      </x:c>
      <x:c r="I85" s="89" t="str">
        <x:v>Analyst assumption</x:v>
      </x:c>
      <x:c r="J85" s="90" t="str">
        <x:v>Before financial, associate and other items.</x:v>
      </x:c>
    </x:row>
    <x:row r="86" ht="31" customHeight="1">
      <x:c r="A86" s="88" t="str">
        <x:v>Financial income</x:v>
      </x:c>
      <x:c r="B86" s="89" t="str">
        <x:v>VND bn</x:v>
      </x:c>
      <x:c r="C86" s="440" t="n">
        <x:v>210</x:v>
      </x:c>
      <x:c r="D86" s="440" t="n">
        <x:v>190</x:v>
      </x:c>
      <x:c r="E86" s="440" t="n">
        <x:v>175</x:v>
      </x:c>
      <x:c r="F86" s="440" t="n">
        <x:v>170</x:v>
      </x:c>
      <x:c r="G86" s="440" t="n">
        <x:v>165</x:v>
      </x:c>
      <x:c r="H86" s="89" t="str">
        <x:v>Historical + macro + disclosed capacity</x:v>
      </x:c>
      <x:c r="I86" s="89" t="str">
        <x:v>Analyst assumption</x:v>
      </x:c>
      <x:c r="J86" s="90" t="str">
        <x:v>Cash-yield assumption linked to balance-sheet liquidity.</x:v>
      </x:c>
    </x:row>
    <x:row r="87" ht="31" customHeight="1">
      <x:c r="A87" s="88" t="str">
        <x:v>Financial expense</x:v>
      </x:c>
      <x:c r="B87" s="89" t="str">
        <x:v>VND bn</x:v>
      </x:c>
      <x:c r="C87" s="440" t="n">
        <x:v>130</x:v>
      </x:c>
      <x:c r="D87" s="440" t="n">
        <x:v>145</x:v>
      </x:c>
      <x:c r="E87" s="440" t="n">
        <x:v>160</x:v>
      </x:c>
      <x:c r="F87" s="440" t="n">
        <x:v>165</x:v>
      </x:c>
      <x:c r="G87" s="440" t="n">
        <x:v>170</x:v>
      </x:c>
      <x:c r="H87" s="89" t="str">
        <x:v>Historical + macro + disclosed capacity</x:v>
      </x:c>
      <x:c r="I87" s="89" t="str">
        <x:v>Analyst assumption</x:v>
      </x:c>
      <x:c r="J87" s="90" t="str">
        <x:v>Gross-financing cost assumption.</x:v>
      </x:c>
    </x:row>
    <x:row r="88" ht="31" customHeight="1">
      <x:c r="A88" s="88" t="str">
        <x:v>Other profit/(loss)</x:v>
      </x:c>
      <x:c r="B88" s="89" t="str">
        <x:v>VND bn</x:v>
      </x:c>
      <x:c r="C88" s="440" t="n">
        <x:v>-300</x:v>
      </x:c>
      <x:c r="D88" s="440" t="n">
        <x:v>-320</x:v>
      </x:c>
      <x:c r="E88" s="440" t="n">
        <x:v>-320</x:v>
      </x:c>
      <x:c r="F88" s="440" t="n">
        <x:v>-300</x:v>
      </x:c>
      <x:c r="G88" s="440" t="n">
        <x:v>-280</x:v>
      </x:c>
      <x:c r="H88" s="89" t="str">
        <x:v>Historical + macro + disclosed capacity</x:v>
      </x:c>
      <x:c r="I88" s="89" t="str">
        <x:v>Analyst assumption</x:v>
      </x:c>
      <x:c r="J88" s="90" t="str">
        <x:v>Recurring conservative loss allowance.</x:v>
      </x:c>
    </x:row>
    <x:row r="89" ht="31" customHeight="1">
      <x:c r="A89" s="88" t="str">
        <x:v>Gemalink associate-profit growth</x:v>
      </x:c>
      <x:c r="B89" s="89" t="str">
        <x:v>%</x:v>
      </x:c>
      <x:c r="C89" s="439" t="n">
        <x:v>0.02</x:v>
      </x:c>
      <x:c r="D89" s="439" t="n">
        <x:v>0</x:v>
      </x:c>
      <x:c r="E89" s="439" t="n">
        <x:v>0.08</x:v>
      </x:c>
      <x:c r="F89" s="439" t="n">
        <x:v>0.1</x:v>
      </x:c>
      <x:c r="G89" s="439" t="n">
        <x:v>0.08</x:v>
      </x:c>
      <x:c r="H89" s="89" t="str">
        <x:v>Historical + macro + disclosed capacity</x:v>
      </x:c>
      <x:c r="I89" s="89" t="str">
        <x:v>Analyst assumption</x:v>
      </x:c>
      <x:c r="J89" s="90" t="str">
        <x:v>Phase 2 operation assumed from Q4 2027, with material ramp from 2028.</x:v>
      </x:c>
    </x:row>
    <x:row r="90" ht="31" customHeight="1">
      <x:c r="A90" s="88" t="str">
        <x:v>SCS associate-profit growth</x:v>
      </x:c>
      <x:c r="B90" s="89" t="str">
        <x:v>%</x:v>
      </x:c>
      <x:c r="C90" s="439" t="n">
        <x:v>0.02</x:v>
      </x:c>
      <x:c r="D90" s="439" t="n">
        <x:v>0.03</x:v>
      </x:c>
      <x:c r="E90" s="439" t="n">
        <x:v>0.04</x:v>
      </x:c>
      <x:c r="F90" s="439" t="n">
        <x:v>0.05</x:v>
      </x:c>
      <x:c r="G90" s="439" t="n">
        <x:v>0.05</x:v>
      </x:c>
      <x:c r="H90" s="89" t="str">
        <x:v>Historical + macro + disclosed capacity</x:v>
      </x:c>
      <x:c r="I90" s="89" t="str">
        <x:v>Analyst assumption</x:v>
      </x:c>
      <x:c r="J90" s="90" t="str">
        <x:v>Air-cargo associate growth.</x:v>
      </x:c>
    </x:row>
    <x:row r="91" ht="31" customHeight="1">
      <x:c r="A91" s="88" t="str">
        <x:v>CJ Gemadept Logistics profit growth</x:v>
      </x:c>
      <x:c r="B91" s="89" t="str">
        <x:v>%</x:v>
      </x:c>
      <x:c r="C91" s="439" t="n">
        <x:v>0</x:v>
      </x:c>
      <x:c r="D91" s="439" t="n">
        <x:v>0.02</x:v>
      </x:c>
      <x:c r="E91" s="439" t="n">
        <x:v>0.03</x:v>
      </x:c>
      <x:c r="F91" s="439" t="n">
        <x:v>0.04</x:v>
      </x:c>
      <x:c r="G91" s="439" t="n">
        <x:v>0.04</x:v>
      </x:c>
      <x:c r="H91" s="89" t="str">
        <x:v>Historical + macro + disclosed capacity</x:v>
      </x:c>
      <x:c r="I91" s="89" t="str">
        <x:v>Analyst assumption</x:v>
      </x:c>
      <x:c r="J91" s="90" t="str">
        <x:v>Logistics-associate growth.</x:v>
      </x:c>
    </x:row>
    <x:row r="92" ht="31" customHeight="1">
      <x:c r="A92" s="88" t="str">
        <x:v>Other associate-profit growth</x:v>
      </x:c>
      <x:c r="B92" s="89" t="str">
        <x:v>%</x:v>
      </x:c>
      <x:c r="C92" s="439" t="n">
        <x:v>0</x:v>
      </x:c>
      <x:c r="D92" s="439" t="n">
        <x:v>0</x:v>
      </x:c>
      <x:c r="E92" s="439" t="n">
        <x:v>0</x:v>
      </x:c>
      <x:c r="F92" s="439" t="n">
        <x:v>0</x:v>
      </x:c>
      <x:c r="G92" s="439" t="n">
        <x:v>0</x:v>
      </x:c>
      <x:c r="H92" s="89" t="str">
        <x:v>Historical + macro + disclosed capacity</x:v>
      </x:c>
      <x:c r="I92" s="89" t="str">
        <x:v>Analyst assumption</x:v>
      </x:c>
      <x:c r="J92" s="90" t="str">
        <x:v>Residual associate bucket.</x:v>
      </x:c>
    </x:row>
    <x:row r="93" ht="31" customHeight="1">
      <x:c r="A93" s="88" t="str">
        <x:v>Effective PBT tax rate</x:v>
      </x:c>
      <x:c r="B93" s="89" t="str">
        <x:v>%</x:v>
      </x:c>
      <x:c r="C93" s="439" t="n">
        <x:v>0.11</x:v>
      </x:c>
      <x:c r="D93" s="439" t="n">
        <x:v>0.11</x:v>
      </x:c>
      <x:c r="E93" s="439" t="n">
        <x:v>0.11</x:v>
      </x:c>
      <x:c r="F93" s="439" t="n">
        <x:v>0.11</x:v>
      </x:c>
      <x:c r="G93" s="439" t="n">
        <x:v>0.11</x:v>
      </x:c>
      <x:c r="H93" s="89" t="str">
        <x:v>Historical + macro + disclosed capacity</x:v>
      </x:c>
      <x:c r="I93" s="89" t="str">
        <x:v>Analyst assumption</x:v>
      </x:c>
      <x:c r="J93" s="90" t="str">
        <x:v>Lower than statutory rate because associate income is after tax.</x:v>
      </x:c>
    </x:row>
    <x:row r="94" ht="31" customHeight="1">
      <x:c r="A94" s="88" t="str">
        <x:v>NCI share of consolidated PAT</x:v>
      </x:c>
      <x:c r="B94" s="89" t="str">
        <x:v>%</x:v>
      </x:c>
      <x:c r="C94" s="439" t="n">
        <x:v>0.24</x:v>
      </x:c>
      <x:c r="D94" s="439" t="n">
        <x:v>0.24</x:v>
      </x:c>
      <x:c r="E94" s="439" t="n">
        <x:v>0.24</x:v>
      </x:c>
      <x:c r="F94" s="439" t="n">
        <x:v>0.24</x:v>
      </x:c>
      <x:c r="G94" s="439" t="n">
        <x:v>0.24</x:v>
      </x:c>
      <x:c r="H94" s="89" t="str">
        <x:v>Historical + macro + disclosed capacity</x:v>
      </x:c>
      <x:c r="I94" s="89" t="str">
        <x:v>Analyst assumption</x:v>
      </x:c>
      <x:c r="J94" s="90" t="str">
        <x:v>Attribution assumption.</x:v>
      </x:c>
    </x:row>
    <x:row r="95" ht="31" customHeight="1">
      <x:c r="A95" s="88" t="str">
        <x:v>D&amp;A</x:v>
      </x:c>
      <x:c r="B95" s="89" t="str">
        <x:v>VND bn</x:v>
      </x:c>
      <x:c r="C95" s="440" t="n">
        <x:v>500</x:v>
      </x:c>
      <x:c r="D95" s="440" t="n">
        <x:v>570</x:v>
      </x:c>
      <x:c r="E95" s="440" t="n">
        <x:v>640</x:v>
      </x:c>
      <x:c r="F95" s="440" t="n">
        <x:v>700</x:v>
      </x:c>
      <x:c r="G95" s="440" t="n">
        <x:v>750</x:v>
      </x:c>
      <x:c r="H95" s="89" t="str">
        <x:v>Historical + macro + disclosed capacity</x:v>
      </x:c>
      <x:c r="I95" s="89" t="str">
        <x:v>Analyst assumption</x:v>
      </x:c>
      <x:c r="J95" s="90" t="str">
        <x:v>Ramps with new consolidated assets.</x:v>
      </x:c>
    </x:row>
    <x:row r="96" ht="31" customHeight="1">
      <x:c r="A96" s="88" t="str">
        <x:v>Cash capex</x:v>
      </x:c>
      <x:c r="B96" s="89" t="str">
        <x:v>VND bn</x:v>
      </x:c>
      <x:c r="C96" s="440" t="n">
        <x:v>1500</x:v>
      </x:c>
      <x:c r="D96" s="440" t="n">
        <x:v>1350</x:v>
      </x:c>
      <x:c r="E96" s="440" t="n">
        <x:v>1200</x:v>
      </x:c>
      <x:c r="F96" s="440" t="n">
        <x:v>950</x:v>
      </x:c>
      <x:c r="G96" s="440" t="n">
        <x:v>850</x:v>
      </x:c>
      <x:c r="H96" s="89" t="str">
        <x:v>Historical + macro + disclosed capacity</x:v>
      </x:c>
      <x:c r="I96" s="89" t="str">
        <x:v>Analyst assumption</x:v>
      </x:c>
      <x:c r="J96" s="90" t="str">
        <x:v>Elevated through the expansion cycle, then normalizes.</x:v>
      </x:c>
    </x:row>
    <x:row r="97" ht="31" customHeight="1">
      <x:c r="A97" s="88" t="str">
        <x:v>NWC investment / incremental revenue</x:v>
      </x:c>
      <x:c r="B97" s="89" t="str">
        <x:v>%</x:v>
      </x:c>
      <x:c r="C97" s="439" t="n">
        <x:v>0.015</x:v>
      </x:c>
      <x:c r="D97" s="439" t="n">
        <x:v>0.015</x:v>
      </x:c>
      <x:c r="E97" s="439" t="n">
        <x:v>0.015</x:v>
      </x:c>
      <x:c r="F97" s="439" t="n">
        <x:v>0.015</x:v>
      </x:c>
      <x:c r="G97" s="439" t="n">
        <x:v>0.015</x:v>
      </x:c>
      <x:c r="H97" s="89" t="str">
        <x:v>Historical + macro + disclosed capacity</x:v>
      </x:c>
      <x:c r="I97" s="89" t="str">
        <x:v>Analyst assumption</x:v>
      </x:c>
      <x:c r="J97" s="90" t="str">
        <x:v>Simplified cash working-capital assumption.</x:v>
      </x:c>
    </x:row>
    <x:row r="98" ht="31" customHeight="1">
      <x:c r="A98" s="91" t="str">
        <x:v>Statutory tax rate on consolidated EBIT</x:v>
      </x:c>
      <x:c r="B98" s="92" t="str">
        <x:v>%</x:v>
      </x:c>
      <x:c r="C98" s="443" t="n">
        <x:v>0.2</x:v>
      </x:c>
      <x:c r="D98" s="443" t="n">
        <x:v>0.2</x:v>
      </x:c>
      <x:c r="E98" s="443" t="n">
        <x:v>0.2</x:v>
      </x:c>
      <x:c r="F98" s="443" t="n">
        <x:v>0.2</x:v>
      </x:c>
      <x:c r="G98" s="443" t="n">
        <x:v>0.2</x:v>
      </x:c>
      <x:c r="H98" s="92" t="str">
        <x:v>Historical + macro + disclosed capacity</x:v>
      </x:c>
      <x:c r="I98" s="92" t="str">
        <x:v>Analyst assumption</x:v>
      </x:c>
      <x:c r="J98" s="93" t="str">
        <x:v>Used in FCFF; separate from consolidated effective tax.</x:v>
      </x:c>
    </x:row>
    <x:row r="102" ht="22" customHeight="1">
      <x:c r="A102" s="415" t="str">
        <x:v>Valuation assumptions and rating policy</x:v>
      </x:c>
      <x:c r="B102" s="415" t="str">
        <x:v>Valuation assumptions and rating policy</x:v>
      </x:c>
      <x:c r="C102" s="415" t="str">
        <x:v>Valuation assumptions and rating policy</x:v>
      </x:c>
      <x:c r="D102" s="415" t="str">
        <x:v>Valuation assumptions and rating policy</x:v>
      </x:c>
      <x:c r="E102" s="415" t="str">
        <x:v>Valuation assumptions and rating policy</x:v>
      </x:c>
      <x:c r="F102" s="415" t="str">
        <x:v>Valuation assumptions and rating policy</x:v>
      </x:c>
      <x:c r="G102" s="415" t="str">
        <x:v>Valuation assumptions and rating policy</x:v>
      </x:c>
      <x:c r="H102" s="415" t="str">
        <x:v>Valuation assumptions and rating policy</x:v>
      </x:c>
      <x:c r="I102" s="415" t="str">
        <x:v>Valuation assumptions and rating policy</x:v>
      </x:c>
      <x:c r="J102" s="415" t="str">
        <x:v>Valuation assumptions and rating policy</x:v>
      </x:c>
    </x:row>
    <x:row r="103" ht="32" customHeight="1">
      <x:c r="A103" s="421" t="str">
        <x:v>Valuation driver</x:v>
      </x:c>
      <x:c r="B103" s="421" t="str">
        <x:v>Unit</x:v>
      </x:c>
      <x:c r="C103" s="421" t="str">
        <x:v>Base</x:v>
      </x:c>
      <x:c r="D103" s="421" t="str">
        <x:v>Bull</x:v>
      </x:c>
      <x:c r="E103" s="421" t="str">
        <x:v>Bear</x:v>
      </x:c>
      <x:c r="F103" s="421" t="str">
        <x:v>Rationale</x:v>
      </x:c>
    </x:row>
    <x:row r="104" ht="31" customHeight="1">
      <x:c r="A104" s="85" t="str">
        <x:v>Risk-free rate</x:v>
      </x:c>
      <x:c r="B104" s="86" t="str">
        <x:v>%</x:v>
      </x:c>
      <x:c r="C104" s="436" t="n">
        <x:v>0.045</x:v>
      </x:c>
      <x:c r="D104" s="436" t="n">
        <x:v>0.045</x:v>
      </x:c>
      <x:c r="E104" s="436" t="n">
        <x:v>0.045</x:v>
      </x:c>
      <x:c r="F104" s="87" t="str">
        <x:v>Rounded from the 4.409% Vietnam 10-year government bond yield.</x:v>
      </x:c>
    </x:row>
    <x:row r="105" ht="31" customHeight="1">
      <x:c r="A105" s="88" t="str">
        <x:v>Equity risk premium</x:v>
      </x:c>
      <x:c r="B105" s="89" t="str">
        <x:v>%</x:v>
      </x:c>
      <x:c r="C105" s="439" t="n">
        <x:v>0.08</x:v>
      </x:c>
      <x:c r="D105" s="439" t="n">
        <x:v>0.075</x:v>
      </x:c>
      <x:c r="E105" s="439" t="n">
        <x:v>0.085</x:v>
      </x:c>
      <x:c r="F105" s="90" t="str">
        <x:v>Analyst assumption for Vietnam equity risk.</x:v>
      </x:c>
    </x:row>
    <x:row r="106" ht="31" customHeight="1">
      <x:c r="A106" s="88" t="str">
        <x:v>Beta</x:v>
      </x:c>
      <x:c r="B106" s="89" t="str">
        <x:v>x</x:v>
      </x:c>
      <x:c r="C106" s="1109" t="n">
        <x:f>'P4 Beta'!E6</x:f>
        <x:v>0.95</x:v>
      </x:c>
      <x:c r="D106" s="1109" t="n">
        <x:f>'P4 Beta'!F6</x:f>
        <x:v>0.85</x:v>
      </x:c>
      <x:c r="E106" s="1109" t="n">
        <x:f>'P4 Beta'!G6</x:f>
        <x:v>1.05</x:v>
      </x:c>
      <x:c r="F106" s="90" t="str">
        <x:v>Linked to P4 Beta: five-year weekly GMD–VN-Index regression evidence plus explicit conservative valuation stress.</x:v>
      </x:c>
    </x:row>
    <x:row r="107" ht="31" customHeight="1">
      <x:c r="A107" s="88" t="str">
        <x:v>Cost of equity</x:v>
      </x:c>
      <x:c r="B107" s="89" t="str">
        <x:v>%</x:v>
      </x:c>
      <x:c r="C107" s="109" t="n">
        <x:f>C104+C106*C105</x:f>
        <x:v>0.121</x:v>
      </x:c>
      <x:c r="D107" s="109" t="n">
        <x:f>D104+D106*D105</x:f>
        <x:v>0.10875</x:v>
      </x:c>
      <x:c r="E107" s="109" t="n">
        <x:f>E104+E106*E105</x:f>
        <x:v>0.13425</x:v>
      </x:c>
      <x:c r="F107" s="90" t="str">
        <x:v>Risk-free rate + beta × equity risk premium.</x:v>
      </x:c>
    </x:row>
    <x:row r="108" ht="31" customHeight="1">
      <x:c r="A108" s="88" t="str">
        <x:v>Pre-tax cost of debt</x:v>
      </x:c>
      <x:c r="B108" s="89" t="str">
        <x:v>%</x:v>
      </x:c>
      <x:c r="C108" s="439" t="n">
        <x:v>0.06</x:v>
      </x:c>
      <x:c r="D108" s="439" t="n">
        <x:v>0.055</x:v>
      </x:c>
      <x:c r="E108" s="439" t="n">
        <x:v>0.07</x:v>
      </x:c>
      <x:c r="F108" s="90" t="str">
        <x:v>Scenario-specific refinancing assumption.</x:v>
      </x:c>
    </x:row>
    <x:row r="109" ht="31" customHeight="1">
      <x:c r="A109" s="88" t="str">
        <x:v>Statutory tax rate</x:v>
      </x:c>
      <x:c r="B109" s="89" t="str">
        <x:v>%</x:v>
      </x:c>
      <x:c r="C109" s="439" t="n">
        <x:v>0.2</x:v>
      </x:c>
      <x:c r="D109" s="439" t="n">
        <x:v>0.2</x:v>
      </x:c>
      <x:c r="E109" s="439" t="n">
        <x:v>0.2</x:v>
      </x:c>
      <x:c r="F109" s="90" t="str">
        <x:v>Tax shield in WACC.</x:v>
      </x:c>
    </x:row>
    <x:row r="110" ht="31" customHeight="1">
      <x:c r="A110" s="88" t="str">
        <x:v>Debt weight</x:v>
      </x:c>
      <x:c r="B110" s="89" t="str">
        <x:v>%</x:v>
      </x:c>
      <x:c r="C110" s="439" t="n">
        <x:v>0.071</x:v>
      </x:c>
      <x:c r="D110" s="439" t="n">
        <x:v>0.065</x:v>
      </x:c>
      <x:c r="E110" s="439" t="n">
        <x:v>0.085</x:v>
      </x:c>
      <x:c r="F110" s="90" t="str">
        <x:v>Anchored to FY2025 gross debt versus market value.</x:v>
      </x:c>
    </x:row>
    <x:row r="111" ht="31" customHeight="1">
      <x:c r="A111" s="88" t="str">
        <x:v>Equity weight</x:v>
      </x:c>
      <x:c r="B111" s="89" t="str">
        <x:v>%</x:v>
      </x:c>
      <x:c r="C111" s="109" t="n">
        <x:f>1-C110</x:f>
        <x:v>0.929</x:v>
      </x:c>
      <x:c r="D111" s="109" t="n">
        <x:f>1-D110</x:f>
        <x:v>0.935</x:v>
      </x:c>
      <x:c r="E111" s="109" t="n">
        <x:f>1-E110</x:f>
        <x:v>0.915</x:v>
      </x:c>
      <x:c r="F111" s="90" t="str">
        <x:v>One less debt weight.</x:v>
      </x:c>
    </x:row>
    <x:row r="112" ht="31" customHeight="1">
      <x:c r="A112" s="459" t="str">
        <x:v>WACC</x:v>
      </x:c>
      <x:c r="B112" s="460" t="str">
        <x:v>%</x:v>
      </x:c>
      <x:c r="C112" s="461" t="n">
        <x:f>C107*C111+C108*(1-C109)*C110</x:f>
        <x:v>0.115817</x:v>
      </x:c>
      <x:c r="D112" s="461" t="n">
        <x:f>D107*D111+D108*(1-D109)*D110</x:f>
        <x:v>0.10454125</x:v>
      </x:c>
      <x:c r="E112" s="461" t="n">
        <x:f>E107*E111+E108*(1-E109)*E110</x:f>
        <x:v>0.12759875</x:v>
      </x:c>
      <x:c r="F112" s="460" t="str">
        <x:v>Formula-driven cost of capital.</x:v>
      </x:c>
    </x:row>
    <x:row r="113" ht="31" customHeight="1">
      <x:c r="A113" s="88" t="str">
        <x:v>Terminal growth</x:v>
      </x:c>
      <x:c r="B113" s="89" t="str">
        <x:v>%</x:v>
      </x:c>
      <x:c r="C113" s="439" t="n">
        <x:v>0.04</x:v>
      </x:c>
      <x:c r="D113" s="439" t="n">
        <x:v>0.045</x:v>
      </x:c>
      <x:c r="E113" s="439" t="n">
        <x:v>0.03</x:v>
      </x:c>
      <x:c r="F113" s="90" t="str">
        <x:v>Long-run nominal growth; must remain below WACC.</x:v>
      </x:c>
    </x:row>
    <x:row r="114" ht="31" customHeight="1">
      <x:c r="A114" s="88" t="str">
        <x:v>Associate earnings multiple</x:v>
      </x:c>
      <x:c r="B114" s="89" t="str">
        <x:v>x</x:v>
      </x:c>
      <x:c r="C114" s="450" t="n">
        <x:v>14</x:v>
      </x:c>
      <x:c r="D114" s="450" t="n">
        <x:v>15</x:v>
      </x:c>
      <x:c r="E114" s="450" t="n">
        <x:v>12</x:v>
      </x:c>
      <x:c r="F114" s="90" t="str">
        <x:v>Equity-accounted assets valued separately from consolidated operations.</x:v>
      </x:c>
    </x:row>
    <x:row r="115" ht="31" customHeight="1">
      <x:c r="A115" s="88" t="str">
        <x:v>NCI earnings multiple</x:v>
      </x:c>
      <x:c r="B115" s="89" t="str">
        <x:v>x</x:v>
      </x:c>
      <x:c r="C115" s="450" t="n">
        <x:v>14</x:v>
      </x:c>
      <x:c r="D115" s="450" t="n">
        <x:v>15</x:v>
      </x:c>
      <x:c r="E115" s="450" t="n">
        <x:v>12</x:v>
      </x:c>
      <x:c r="F115" s="90" t="str">
        <x:v>Deducts the value attributable to minority owners.</x:v>
      </x:c>
    </x:row>
    <x:row r="116" ht="31" customHeight="1">
      <x:c r="A116" s="88" t="str">
        <x:v>Target 2026E P/E</x:v>
      </x:c>
      <x:c r="B116" s="89" t="str">
        <x:v>x</x:v>
      </x:c>
      <x:c r="C116" s="450" t="n">
        <x:v>16</x:v>
      </x:c>
      <x:c r="D116" s="450" t="n">
        <x:v>17</x:v>
      </x:c>
      <x:c r="E116" s="450" t="n">
        <x:v>13</x:v>
      </x:c>
      <x:c r="F116" s="90" t="str">
        <x:v>Trading-multiple cross-check.</x:v>
      </x:c>
    </x:row>
    <x:row r="117" ht="31" customHeight="1">
      <x:c r="A117" s="88" t="str">
        <x:v>P/E valuation weight</x:v>
      </x:c>
      <x:c r="B117" s="89" t="str">
        <x:v>%</x:v>
      </x:c>
      <x:c r="C117" s="439" t="n">
        <x:v>0.5</x:v>
      </x:c>
      <x:c r="D117" s="439" t="n">
        <x:v>0.5</x:v>
      </x:c>
      <x:c r="E117" s="439" t="n">
        <x:v>0.5</x:v>
      </x:c>
      <x:c r="F117" s="90" t="str">
        <x:v>Equal weight with DCF.</x:v>
      </x:c>
    </x:row>
    <x:row r="118" ht="31" customHeight="1">
      <x:c r="A118" s="88" t="str">
        <x:v>DCF valuation weight</x:v>
      </x:c>
      <x:c r="B118" s="89" t="str">
        <x:v>%</x:v>
      </x:c>
      <x:c r="C118" s="439" t="n">
        <x:v>0.5</x:v>
      </x:c>
      <x:c r="D118" s="439" t="n">
        <x:v>0.5</x:v>
      </x:c>
      <x:c r="E118" s="439" t="n">
        <x:v>0.5</x:v>
      </x:c>
      <x:c r="F118" s="90" t="str">
        <x:v>Equal weight with P/E.</x:v>
      </x:c>
    </x:row>
    <x:row r="119" ht="31" customHeight="1">
      <x:c r="A119" s="88" t="str">
        <x:v>Scenario probability</x:v>
      </x:c>
      <x:c r="B119" s="89" t="str">
        <x:v>%</x:v>
      </x:c>
      <x:c r="C119" s="439" t="n">
        <x:v>0.6</x:v>
      </x:c>
      <x:c r="D119" s="439" t="n">
        <x:v>0.2</x:v>
      </x:c>
      <x:c r="E119" s="439" t="n">
        <x:v>0.2</x:v>
      </x:c>
      <x:c r="F119" s="90" t="str">
        <x:v>Probability-weighted target-price cross-check.</x:v>
      </x:c>
    </x:row>
    <x:row r="120" ht="31" customHeight="1">
      <x:c r="A120" s="88" t="str">
        <x:v>BUY threshold</x:v>
      </x:c>
      <x:c r="B120" s="89" t="str">
        <x:v>%</x:v>
      </x:c>
      <x:c r="C120" s="439" t="n">
        <x:v>0.15</x:v>
      </x:c>
      <x:c r="D120" s="439" t="n">
        <x:v>0.15</x:v>
      </x:c>
      <x:c r="E120" s="439" t="n">
        <x:v>0.15</x:v>
      </x:c>
      <x:c r="F120" s="90" t="str">
        <x:v>Price upside required for BUY.</x:v>
      </x:c>
    </x:row>
    <x:row r="121" ht="31" customHeight="1">
      <x:c r="A121" s="91" t="str">
        <x:v>SELL threshold</x:v>
      </x:c>
      <x:c r="B121" s="92" t="str">
        <x:v>%</x:v>
      </x:c>
      <x:c r="C121" s="443" t="n">
        <x:v>-0.1</x:v>
      </x:c>
      <x:c r="D121" s="443" t="n">
        <x:v>-0.1</x:v>
      </x:c>
      <x:c r="E121" s="443" t="n">
        <x:v>-0.1</x:v>
      </x:c>
      <x:c r="F121" s="93" t="str">
        <x:v>Price downside required for SELL.</x:v>
      </x:c>
    </x:row>
    <x:row r="123" ht="25" customHeight="1">
      <x:c r="A123" s="482" t="str">
        <x:v>Interpretation guardrail: the 2026 Base case is deliberately calibrated near management's stretch revenue/PBT targets, but it is generated from volume, share, unit/mix, margin and associate assumptions. Management guidance remains a benchmark, not a hardcoded forecast.</x:v>
      </x:c>
      <x:c r="B123" s="483" t="str">
        <x:v>Interpretation guardrail: the 2026 Base case is deliberately calibrated near management's stretch revenue/PBT targets, but it is generated from volume, share, unit/mix, margin and associate assumptions. Management guidance remains a benchmark, not a hardcoded forecast.</x:v>
      </x:c>
      <x:c r="C123" s="483" t="str">
        <x:v>Interpretation guardrail: the 2026 Base case is deliberately calibrated near management's stretch revenue/PBT targets, but it is generated from volume, share, unit/mix, margin and associate assumptions. Management guidance remains a benchmark, not a hardcoded forecast.</x:v>
      </x:c>
      <x:c r="D123" s="483" t="str">
        <x:v>Interpretation guardrail: the 2026 Base case is deliberately calibrated near management's stretch revenue/PBT targets, but it is generated from volume, share, unit/mix, margin and associate assumptions. Management guidance remains a benchmark, not a hardcoded forecast.</x:v>
      </x:c>
      <x:c r="E123" s="483" t="str">
        <x:v>Interpretation guardrail: the 2026 Base case is deliberately calibrated near management's stretch revenue/PBT targets, but it is generated from volume, share, unit/mix, margin and associate assumptions. Management guidance remains a benchmark, not a hardcoded forecast.</x:v>
      </x:c>
      <x:c r="F123" s="483" t="str">
        <x:v>Interpretation guardrail: the 2026 Base case is deliberately calibrated near management's stretch revenue/PBT targets, but it is generated from volume, share, unit/mix, margin and associate assumptions. Management guidance remains a benchmark, not a hardcoded forecast.</x:v>
      </x:c>
      <x:c r="G123" s="483" t="str">
        <x:v>Interpretation guardrail: the 2026 Base case is deliberately calibrated near management's stretch revenue/PBT targets, but it is generated from volume, share, unit/mix, margin and associate assumptions. Management guidance remains a benchmark, not a hardcoded forecast.</x:v>
      </x:c>
      <x:c r="H123" s="483" t="str">
        <x:v>Interpretation guardrail: the 2026 Base case is deliberately calibrated near management's stretch revenue/PBT targets, but it is generated from volume, share, unit/mix, margin and associate assumptions. Management guidance remains a benchmark, not a hardcoded forecast.</x:v>
      </x:c>
      <x:c r="I123" s="483" t="str">
        <x:v>Interpretation guardrail: the 2026 Base case is deliberately calibrated near management's stretch revenue/PBT targets, but it is generated from volume, share, unit/mix, margin and associate assumptions. Management guidance remains a benchmark, not a hardcoded forecast.</x:v>
      </x:c>
      <x:c r="J123" s="484" t="str">
        <x:v>Interpretation guardrail: the 2026 Base case is deliberately calibrated near management's stretch revenue/PBT targets, but it is generated from volume, share, unit/mix, margin and associate assumptions. Management guidance remains a benchmark, not a hardcoded forecast.</x:v>
      </x:c>
    </x:row>
    <x:row r="124" ht="25" customHeight="1">
      <x:c r="A124" s="485" t="str">
        <x:v>Interpretation guardrail: the 2026 Base case is deliberately calibrated near management's stretch revenue/PBT targets, but it is generated from volume, share, unit/mix, margin and associate assumptions. Management guidance remains a benchmark, not a hardcoded forecast.</x:v>
      </x:c>
      <x:c r="B124" s="486" t="str">
        <x:v>Interpretation guardrail: the 2026 Base case is deliberately calibrated near management's stretch revenue/PBT targets, but it is generated from volume, share, unit/mix, margin and associate assumptions. Management guidance remains a benchmark, not a hardcoded forecast.</x:v>
      </x:c>
      <x:c r="C124" s="486" t="str">
        <x:v>Interpretation guardrail: the 2026 Base case is deliberately calibrated near management's stretch revenue/PBT targets, but it is generated from volume, share, unit/mix, margin and associate assumptions. Management guidance remains a benchmark, not a hardcoded forecast.</x:v>
      </x:c>
      <x:c r="D124" s="486" t="str">
        <x:v>Interpretation guardrail: the 2026 Base case is deliberately calibrated near management's stretch revenue/PBT targets, but it is generated from volume, share, unit/mix, margin and associate assumptions. Management guidance remains a benchmark, not a hardcoded forecast.</x:v>
      </x:c>
      <x:c r="E124" s="486" t="str">
        <x:v>Interpretation guardrail: the 2026 Base case is deliberately calibrated near management's stretch revenue/PBT targets, but it is generated from volume, share, unit/mix, margin and associate assumptions. Management guidance remains a benchmark, not a hardcoded forecast.</x:v>
      </x:c>
      <x:c r="F124" s="486" t="str">
        <x:v>Interpretation guardrail: the 2026 Base case is deliberately calibrated near management's stretch revenue/PBT targets, but it is generated from volume, share, unit/mix, margin and associate assumptions. Management guidance remains a benchmark, not a hardcoded forecast.</x:v>
      </x:c>
      <x:c r="G124" s="486" t="str">
        <x:v>Interpretation guardrail: the 2026 Base case is deliberately calibrated near management's stretch revenue/PBT targets, but it is generated from volume, share, unit/mix, margin and associate assumptions. Management guidance remains a benchmark, not a hardcoded forecast.</x:v>
      </x:c>
      <x:c r="H124" s="486" t="str">
        <x:v>Interpretation guardrail: the 2026 Base case is deliberately calibrated near management's stretch revenue/PBT targets, but it is generated from volume, share, unit/mix, margin and associate assumptions. Management guidance remains a benchmark, not a hardcoded forecast.</x:v>
      </x:c>
      <x:c r="I124" s="486" t="str">
        <x:v>Interpretation guardrail: the 2026 Base case is deliberately calibrated near management's stretch revenue/PBT targets, but it is generated from volume, share, unit/mix, margin and associate assumptions. Management guidance remains a benchmark, not a hardcoded forecast.</x:v>
      </x:c>
      <x:c r="J124" s="487" t="str">
        <x:v>Interpretation guardrail: the 2026 Base case is deliberately calibrated near management's stretch revenue/PBT targets, but it is generated from volume, share, unit/mix, margin and associate assumptions. Management guidance remains a benchmark, not a hardcoded forecast.</x:v>
      </x:c>
    </x:row>
    <x:row r="125" ht="25" customHeight="1">
      <x:c r="A125" s="488" t="str">
        <x:v>Interpretation guardrail: the 2026 Base case is deliberately calibrated near management's stretch revenue/PBT targets, but it is generated from volume, share, unit/mix, margin and associate assumptions. Management guidance remains a benchmark, not a hardcoded forecast.</x:v>
      </x:c>
      <x:c r="B125" s="489" t="str">
        <x:v>Interpretation guardrail: the 2026 Base case is deliberately calibrated near management's stretch revenue/PBT targets, but it is generated from volume, share, unit/mix, margin and associate assumptions. Management guidance remains a benchmark, not a hardcoded forecast.</x:v>
      </x:c>
      <x:c r="C125" s="489" t="str">
        <x:v>Interpretation guardrail: the 2026 Base case is deliberately calibrated near management's stretch revenue/PBT targets, but it is generated from volume, share, unit/mix, margin and associate assumptions. Management guidance remains a benchmark, not a hardcoded forecast.</x:v>
      </x:c>
      <x:c r="D125" s="489" t="str">
        <x:v>Interpretation guardrail: the 2026 Base case is deliberately calibrated near management's stretch revenue/PBT targets, but it is generated from volume, share, unit/mix, margin and associate assumptions. Management guidance remains a benchmark, not a hardcoded forecast.</x:v>
      </x:c>
      <x:c r="E125" s="489" t="str">
        <x:v>Interpretation guardrail: the 2026 Base case is deliberately calibrated near management's stretch revenue/PBT targets, but it is generated from volume, share, unit/mix, margin and associate assumptions. Management guidance remains a benchmark, not a hardcoded forecast.</x:v>
      </x:c>
      <x:c r="F125" s="489" t="str">
        <x:v>Interpretation guardrail: the 2026 Base case is deliberately calibrated near management's stretch revenue/PBT targets, but it is generated from volume, share, unit/mix, margin and associate assumptions. Management guidance remains a benchmark, not a hardcoded forecast.</x:v>
      </x:c>
      <x:c r="G125" s="489" t="str">
        <x:v>Interpretation guardrail: the 2026 Base case is deliberately calibrated near management's stretch revenue/PBT targets, but it is generated from volume, share, unit/mix, margin and associate assumptions. Management guidance remains a benchmark, not a hardcoded forecast.</x:v>
      </x:c>
      <x:c r="H125" s="489" t="str">
        <x:v>Interpretation guardrail: the 2026 Base case is deliberately calibrated near management's stretch revenue/PBT targets, but it is generated from volume, share, unit/mix, margin and associate assumptions. Management guidance remains a benchmark, not a hardcoded forecast.</x:v>
      </x:c>
      <x:c r="I125" s="489" t="str">
        <x:v>Interpretation guardrail: the 2026 Base case is deliberately calibrated near management's stretch revenue/PBT targets, but it is generated from volume, share, unit/mix, margin and associate assumptions. Management guidance remains a benchmark, not a hardcoded forecast.</x:v>
      </x:c>
      <x:c r="J125" s="490" t="str">
        <x:v>Interpretation guardrail: the 2026 Base case is deliberately calibrated near management's stretch revenue/PBT targets, but it is generated from volume, share, unit/mix, margin and associate assumptions. Management guidance remains a benchmark, not a hardcoded forecast.</x:v>
      </x:c>
    </x:row>
  </x:sheetData>
  <x:mergeCells>
    <x:mergeCell ref="A1:J1"/>
    <x:mergeCell ref="A2:J2"/>
    <x:mergeCell ref="A4:J4"/>
    <x:mergeCell ref="A30:J30"/>
    <x:mergeCell ref="A54:J54"/>
    <x:mergeCell ref="A78:J78"/>
    <x:mergeCell ref="A102:J102"/>
    <x:mergeCell ref="A123:J125"/>
  </x:mergeCells>
  <x:pageMargins left="0.7" right="0.7" top="0.75" bottom="0.75" header="0.3" footer="0.3"/>
  <x:legacyDrawing xmlns:r="http://schemas.openxmlformats.org/officeDocument/2006/relationships" r:id="R38927b8844654c7e"/>
</x:worksheet>
</file>

<file path=xl/worksheets/sheet29.xml><?xml version="1.0" encoding="utf-8"?>
<x:worksheet xmlns:x="http://schemas.openxmlformats.org/spreadsheetml/2006/main">
  <x:sheetViews>
    <x:sheetView showGridLines="0" workbookViewId="0"/>
  </x:sheetViews>
  <x:sheetFormatPr defaultRowHeight="15"/>
  <x:cols>
    <x:col min="1" max="1" width="52" hidden="0" customWidth="1"/>
    <x:col min="2" max="2" width="19" hidden="0" customWidth="1"/>
    <x:col min="3" max="3" width="15" hidden="0" customWidth="1"/>
    <x:col min="4" max="4" width="15" hidden="0" customWidth="1"/>
    <x:col min="5" max="5" width="15" hidden="0" customWidth="1"/>
    <x:col min="6" max="6" width="15" hidden="0" customWidth="1"/>
    <x:col min="7" max="7" width="15" hidden="0" customWidth="1"/>
    <x:col min="8" max="8" width="15" hidden="0" customWidth="1"/>
    <x:col min="9" max="9" width="35" hidden="0" customWidth="1"/>
    <x:col min="10" max="10" width="25" hidden="0" customWidth="1"/>
    <x:col min="11" max="11" width="58" hidden="0" customWidth="1"/>
  </x:cols>
  <x:sheetData>
    <x:row r="1" ht="30" customHeight="1">
      <x:c r="A1" s="408" t="str">
        <x:v>Phase 4 — Top-Down Operating &amp; Earnings Forecast</x:v>
      </x:c>
      <x:c r="B1" s="408" t="str">
        <x:v>Phase 4 — Top-Down Operating &amp; Earnings Forecast</x:v>
      </x:c>
      <x:c r="C1" s="408" t="str">
        <x:v>Phase 4 — Top-Down Operating &amp; Earnings Forecast</x:v>
      </x:c>
      <x:c r="D1" s="408" t="str">
        <x:v>Phase 4 — Top-Down Operating &amp; Earnings Forecast</x:v>
      </x:c>
      <x:c r="E1" s="408" t="str">
        <x:v>Phase 4 — Top-Down Operating &amp; Earnings Forecast</x:v>
      </x:c>
      <x:c r="F1" s="408" t="str">
        <x:v>Phase 4 — Top-Down Operating &amp; Earnings Forecast</x:v>
      </x:c>
      <x:c r="G1" s="408" t="str">
        <x:v>Phase 4 — Top-Down Operating &amp; Earnings Forecast</x:v>
      </x:c>
      <x:c r="H1" s="408" t="str">
        <x:v>Phase 4 — Top-Down Operating &amp; Earnings Forecast</x:v>
      </x:c>
      <x:c r="I1" s="408" t="str">
        <x:v>Phase 4 — Top-Down Operating &amp; Earnings Forecast</x:v>
      </x:c>
      <x:c r="J1" s="408" t="str">
        <x:v>Phase 4 — Top-Down Operating &amp; Earnings Forecast</x:v>
      </x:c>
      <x:c r="K1" s="408" t="str">
        <x:v>Phase 4 — Top-Down Operating &amp; Earnings Forecast</x:v>
      </x:c>
    </x:row>
    <x:row r="2" ht="34" customHeight="1">
      <x:c r="A2" s="412" t="str">
        <x:v>2025A is linked to Phase 3. Forecast chain: national TEU × GMD share → system throughput × unit/mix proxy → segment revenue → consolidated EBIT + associates → parent PAT and FCFF.</x:v>
      </x:c>
      <x:c r="B2" s="412" t="str">
        <x:v>2025A is linked to Phase 3. Forecast chain: national TEU × GMD share → system throughput × unit/mix proxy → segment revenue → consolidated EBIT + associates → parent PAT and FCFF.</x:v>
      </x:c>
      <x:c r="C2" s="412" t="str">
        <x:v>2025A is linked to Phase 3. Forecast chain: national TEU × GMD share → system throughput × unit/mix proxy → segment revenue → consolidated EBIT + associates → parent PAT and FCFF.</x:v>
      </x:c>
      <x:c r="D2" s="412" t="str">
        <x:v>2025A is linked to Phase 3. Forecast chain: national TEU × GMD share → system throughput × unit/mix proxy → segment revenue → consolidated EBIT + associates → parent PAT and FCFF.</x:v>
      </x:c>
      <x:c r="E2" s="412" t="str">
        <x:v>2025A is linked to Phase 3. Forecast chain: national TEU × GMD share → system throughput × unit/mix proxy → segment revenue → consolidated EBIT + associates → parent PAT and FCFF.</x:v>
      </x:c>
      <x:c r="F2" s="412" t="str">
        <x:v>2025A is linked to Phase 3. Forecast chain: national TEU × GMD share → system throughput × unit/mix proxy → segment revenue → consolidated EBIT + associates → parent PAT and FCFF.</x:v>
      </x:c>
      <x:c r="G2" s="412" t="str">
        <x:v>2025A is linked to Phase 3. Forecast chain: national TEU × GMD share → system throughput × unit/mix proxy → segment revenue → consolidated EBIT + associates → parent PAT and FCFF.</x:v>
      </x:c>
      <x:c r="H2" s="412" t="str">
        <x:v>2025A is linked to Phase 3. Forecast chain: national TEU × GMD share → system throughput × unit/mix proxy → segment revenue → consolidated EBIT + associates → parent PAT and FCFF.</x:v>
      </x:c>
      <x:c r="I2" s="412" t="str">
        <x:v>2025A is linked to Phase 3. Forecast chain: national TEU × GMD share → system throughput × unit/mix proxy → segment revenue → consolidated EBIT + associates → parent PAT and FCFF.</x:v>
      </x:c>
      <x:c r="J2" s="412" t="str">
        <x:v>2025A is linked to Phase 3. Forecast chain: national TEU × GMD share → system throughput × unit/mix proxy → segment revenue → consolidated EBIT + associates → parent PAT and FCFF.</x:v>
      </x:c>
      <x:c r="K2" s="412" t="str">
        <x:v>2025A is linked to Phase 3. Forecast chain: national TEU × GMD share → system throughput × unit/mix proxy → segment revenue → consolidated EBIT + associates → parent PAT and FCFF.</x:v>
      </x:c>
    </x:row>
    <x:row r="4" ht="22" customHeight="1">
      <x:c r="A4" s="415" t="str">
        <x:v>Base case — 2025A to 2030E</x:v>
      </x:c>
      <x:c r="B4" s="415" t="str">
        <x:v>Base case — 2025A to 2030E</x:v>
      </x:c>
      <x:c r="C4" s="415" t="str">
        <x:v>Base case — 2025A to 2030E</x:v>
      </x:c>
      <x:c r="D4" s="415" t="str">
        <x:v>Base case — 2025A to 2030E</x:v>
      </x:c>
      <x:c r="E4" s="415" t="str">
        <x:v>Base case — 2025A to 2030E</x:v>
      </x:c>
      <x:c r="F4" s="415" t="str">
        <x:v>Base case — 2025A to 2030E</x:v>
      </x:c>
      <x:c r="G4" s="415" t="str">
        <x:v>Base case — 2025A to 2030E</x:v>
      </x:c>
      <x:c r="H4" s="415" t="str">
        <x:v>Base case — 2025A to 2030E</x:v>
      </x:c>
      <x:c r="I4" s="415" t="str">
        <x:v>Base case — 2025A to 2030E</x:v>
      </x:c>
      <x:c r="J4" s="415" t="str">
        <x:v>Base case — 2025A to 2030E</x:v>
      </x:c>
      <x:c r="K4" s="415" t="str">
        <x:v>Base case — 2025A to 2030E</x:v>
      </x:c>
    </x:row>
    <x:row r="5" ht="32" customHeight="1">
      <x:c r="A5" s="421" t="str">
        <x:v>Metric</x:v>
      </x:c>
      <x:c r="B5" s="421" t="str">
        <x:v>Unit</x:v>
      </x:c>
      <x:c r="C5" s="491" t="n">
        <x:v>46022</x:v>
      </x:c>
      <x:c r="D5" s="433" t="n">
        <x:v>46387</x:v>
      </x:c>
      <x:c r="E5" s="433" t="n">
        <x:v>46752</x:v>
      </x:c>
      <x:c r="F5" s="433" t="n">
        <x:v>47118</x:v>
      </x:c>
      <x:c r="G5" s="433" t="n">
        <x:v>47483</x:v>
      </x:c>
      <x:c r="H5" s="433" t="n">
        <x:v>47848</x:v>
      </x:c>
      <x:c r="I5" s="421" t="str">
        <x:v>Source / driver</x:v>
      </x:c>
      <x:c r="J5" s="421" t="str">
        <x:v>Data class</x:v>
      </x:c>
      <x:c r="K5" s="421" t="str">
        <x:v>Audit note</x:v>
      </x:c>
    </x:row>
    <x:row r="6" ht="29" customHeight="1">
      <x:c r="A6" s="85" t="str">
        <x:v>National container throughput</x:v>
      </x:c>
      <x:c r="B6" s="86" t="str">
        <x:v>m TEU</x:v>
      </x:c>
      <x:c r="C6" s="317" t="n">
        <x:f>'P4 Assumptions'!C6</x:f>
        <x:v>34</x:v>
      </x:c>
      <x:c r="D6" s="133" t="n">
        <x:f>C6*(1+D7)</x:f>
        <x:v>37.400000000000006</x:v>
      </x:c>
      <x:c r="E6" s="133" t="n">
        <x:f>D6*(1+E7)</x:f>
        <x:v>40.39200000000001</x:v>
      </x:c>
      <x:c r="F6" s="133" t="n">
        <x:f>E6*(1+F7)</x:f>
        <x:v>43.21944000000001</x:v>
      </x:c>
      <x:c r="G6" s="133" t="n">
        <x:f>F6*(1+G7)</x:f>
        <x:v>46.028703600000014</x:v>
      </x:c>
      <x:c r="H6" s="133" t="n">
        <x:f>G6*(1+H7)</x:f>
        <x:v>48.79042581600002</x:v>
      </x:c>
      <x:c r="I6" s="86" t="str">
        <x:v>Macro-to-volume</x:v>
      </x:c>
      <x:c r="J6" s="86" t="str">
        <x:v>Model output</x:v>
      </x:c>
      <x:c r="K6" s="87" t="str">
        <x:v>Macro-to-volume</x:v>
      </x:c>
    </x:row>
    <x:row r="7" ht="29" customHeight="1">
      <x:c r="A7" s="88" t="str">
        <x:v>National throughput growth</x:v>
      </x:c>
      <x:c r="B7" s="89" t="str">
        <x:v>%</x:v>
      </x:c>
      <x:c r="C7" s="125"/>
      <x:c r="D7" s="109" t="n">
        <x:f>'P4 Assumptions'!C32</x:f>
        <x:v>0.1</x:v>
      </x:c>
      <x:c r="E7" s="109" t="n">
        <x:f>'P4 Assumptions'!D32</x:f>
        <x:v>0.08</x:v>
      </x:c>
      <x:c r="F7" s="109" t="n">
        <x:f>'P4 Assumptions'!E32</x:f>
        <x:v>0.07</x:v>
      </x:c>
      <x:c r="G7" s="109" t="n">
        <x:f>'P4 Assumptions'!F32</x:f>
        <x:v>0.065</x:v>
      </x:c>
      <x:c r="H7" s="109" t="n">
        <x:f>'P4 Assumptions'!G32</x:f>
        <x:v>0.06</x:v>
      </x:c>
      <x:c r="I7" s="89" t="str">
        <x:v>Analyst assumption</x:v>
      </x:c>
      <x:c r="J7" s="89" t="str">
        <x:v>Historical link / analyst assumption</x:v>
      </x:c>
      <x:c r="K7" s="90" t="str">
        <x:v>Analyst assumption</x:v>
      </x:c>
    </x:row>
    <x:row r="8" ht="29" customHeight="1">
      <x:c r="A8" s="88" t="str">
        <x:v>GMD system throughput</x:v>
      </x:c>
      <x:c r="B8" s="89" t="str">
        <x:v>m TEU</x:v>
      </x:c>
      <x:c r="C8" s="348" t="n">
        <x:f>'P3 Port Drivers'!G6</x:f>
        <x:v>5.079</x:v>
      </x:c>
      <x:c r="D8" s="134" t="n">
        <x:f>D6*D10</x:f>
        <x:v>5.684800000000001</x:v>
      </x:c>
      <x:c r="E8" s="134" t="n">
        <x:f>E6*E10</x:f>
        <x:v>6.260760000000001</x:v>
      </x:c>
      <x:c r="F8" s="134" t="n">
        <x:f>F6*F10</x:f>
        <x:v>7.044768720000002</x:v>
      </x:c>
      <x:c r="G8" s="134" t="n">
        <x:f>G6*G10</x:f>
        <x:v>7.824879612000003</x:v>
      </x:c>
      <x:c r="H8" s="134" t="n">
        <x:f>H6*H10</x:f>
        <x:v>8.538324517800003</x:v>
      </x:c>
      <x:c r="I8" s="89" t="str">
        <x:v>National TEU × GMD share</x:v>
      </x:c>
      <x:c r="J8" s="89" t="str">
        <x:v>Model output</x:v>
      </x:c>
      <x:c r="K8" s="90" t="str">
        <x:v>National TEU × GMD share</x:v>
      </x:c>
    </x:row>
    <x:row r="9" ht="29" customHeight="1">
      <x:c r="A9" s="88" t="str">
        <x:v>GMD throughput growth</x:v>
      </x:c>
      <x:c r="B9" s="89" t="str">
        <x:v>%</x:v>
      </x:c>
      <x:c r="C9" s="125" t="n">
        <x:f>'P3 Port Drivers'!G7</x:f>
        <x:v>0.14520856820744088</x:v>
      </x:c>
      <x:c r="D9" s="109" t="n">
        <x:f>D8/C8-1</x:f>
        <x:v>0.11927544792281974</x:v>
      </x:c>
      <x:c r="E9" s="109" t="n">
        <x:f>E8/D8-1</x:f>
        <x:v>0.10131578947368425</x:v>
      </x:c>
      <x:c r="F9" s="109" t="n">
        <x:f>F8/E8-1</x:f>
        <x:v>0.12522580645161296</x:v>
      </x:c>
      <x:c r="G9" s="109" t="n">
        <x:f>G8/F8-1</x:f>
        <x:v>0.11073619631901854</x:v>
      </x:c>
      <x:c r="H9" s="109" t="n">
        <x:f>H8/G8-1</x:f>
        <x:v>0.09117647058823519</x:v>
      </x:c>
      <x:c r="I9" s="89" t="str">
        <x:v>Model output</x:v>
      </x:c>
      <x:c r="J9" s="89" t="str">
        <x:v>Model output</x:v>
      </x:c>
      <x:c r="K9" s="90" t="str">
        <x:v>Model output</x:v>
      </x:c>
    </x:row>
    <x:row r="10" ht="29" customHeight="1">
      <x:c r="A10" s="88" t="str">
        <x:v>GMD share of national throughput</x:v>
      </x:c>
      <x:c r="B10" s="89" t="str">
        <x:v>%</x:v>
      </x:c>
      <x:c r="C10" s="125" t="n">
        <x:f>C8/C6</x:f>
        <x:v>0.14938235294117647</x:v>
      </x:c>
      <x:c r="D10" s="109" t="n">
        <x:f>'P4 Assumptions'!C33</x:f>
        <x:v>0.152</x:v>
      </x:c>
      <x:c r="E10" s="109" t="n">
        <x:f>'P4 Assumptions'!D33</x:f>
        <x:v>0.155</x:v>
      </x:c>
      <x:c r="F10" s="109" t="n">
        <x:f>'P4 Assumptions'!E33</x:f>
        <x:v>0.163</x:v>
      </x:c>
      <x:c r="G10" s="109" t="n">
        <x:f>'P4 Assumptions'!F33</x:f>
        <x:v>0.17</x:v>
      </x:c>
      <x:c r="H10" s="109" t="n">
        <x:f>'P4 Assumptions'!G33</x:f>
        <x:v>0.175</x:v>
      </x:c>
      <x:c r="I10" s="89" t="str">
        <x:v>Analyst assumption</x:v>
      </x:c>
      <x:c r="J10" s="89" t="str">
        <x:v>Historical link / analyst assumption</x:v>
      </x:c>
      <x:c r="K10" s="90" t="str">
        <x:v>Analyst assumption</x:v>
      </x:c>
    </x:row>
    <x:row r="11" ht="29" customHeight="1">
      <x:c r="A11" s="88" t="str">
        <x:v>Implied port unit/mix/scope proxy</x:v>
      </x:c>
      <x:c r="B11" s="89" t="str">
        <x:v>VND '000/TEU</x:v>
      </x:c>
      <x:c r="C11" s="288" t="n">
        <x:f>'P3 Port Drivers'!G10</x:f>
        <x:v>1034.5004154361095</x:v>
      </x:c>
      <x:c r="D11" s="211" t="n">
        <x:f>C11*(1+D12)</x:f>
        <x:v>1060.3629258220121</x:v>
      </x:c>
      <x:c r="E11" s="211" t="n">
        <x:f>D11*(1+E12)</x:f>
        <x:v>1092.1738135966725</x:v>
      </x:c>
      <x:c r="F11" s="211" t="n">
        <x:f>E11*(1+F12)</x:f>
        <x:v>1124.9390280045727</x:v>
      </x:c>
      <x:c r="G11" s="211" t="n">
        <x:f>F11*(1+G12)</x:f>
        <x:v>1158.6871988447099</x:v>
      </x:c>
      <x:c r="H11" s="211" t="n">
        <x:f>G11*(1+H12)</x:f>
        <x:v>1193.447814810051</x:v>
      </x:c>
      <x:c r="I11" s="89" t="str">
        <x:v>2025 proxy rolled by scenario growth</x:v>
      </x:c>
      <x:c r="J11" s="89" t="str">
        <x:v>Model output</x:v>
      </x:c>
      <x:c r="K11" s="90" t="str">
        <x:v>2025 proxy rolled by scenario growth</x:v>
      </x:c>
    </x:row>
    <x:row r="12" ht="29" customHeight="1">
      <x:c r="A12" s="88" t="str">
        <x:v>Unit/mix/scope proxy growth</x:v>
      </x:c>
      <x:c r="B12" s="89" t="str">
        <x:v>%</x:v>
      </x:c>
      <x:c r="C12" s="125" t="n">
        <x:f>'P3 Port Drivers'!G11</x:f>
        <x:v>0.09478481195255428</x:v>
      </x:c>
      <x:c r="D12" s="109" t="n">
        <x:f>'P4 Assumptions'!C34</x:f>
        <x:v>0.025</x:v>
      </x:c>
      <x:c r="E12" s="109" t="n">
        <x:f>'P4 Assumptions'!D34</x:f>
        <x:v>0.03</x:v>
      </x:c>
      <x:c r="F12" s="109" t="n">
        <x:f>'P4 Assumptions'!E34</x:f>
        <x:v>0.03</x:v>
      </x:c>
      <x:c r="G12" s="109" t="n">
        <x:f>'P4 Assumptions'!F34</x:f>
        <x:v>0.03</x:v>
      </x:c>
      <x:c r="H12" s="109" t="n">
        <x:f>'P4 Assumptions'!G34</x:f>
        <x:v>0.03</x:v>
      </x:c>
      <x:c r="I12" s="89" t="str">
        <x:v>Analyst assumption</x:v>
      </x:c>
      <x:c r="J12" s="89" t="str">
        <x:v>Historical link / analyst assumption</x:v>
      </x:c>
      <x:c r="K12" s="90" t="str">
        <x:v>Analyst assumption</x:v>
      </x:c>
    </x:row>
    <x:row r="13" ht="29" customHeight="1">
      <x:c r="A13" s="88" t="str">
        <x:v>Port external revenue</x:v>
      </x:c>
      <x:c r="B13" s="89" t="str">
        <x:v>VND bn</x:v>
      </x:c>
      <x:c r="C13" s="288" t="n">
        <x:f>'P3 Port Drivers'!G8</x:f>
        <x:v>5254.22761</x:v>
      </x:c>
      <x:c r="D13" s="211" t="n">
        <x:f>D8*D11</x:f>
        <x:v>6027.951160712975</x:v>
      </x:c>
      <x:c r="E13" s="211" t="n">
        <x:f>E8*E11</x:f>
        <x:v>6837.838125213505</x:v>
      </x:c>
      <x:c r="F13" s="211" t="n">
        <x:f>F8*F11</x:f>
        <x:v>7924.9352763938205</x:v>
      </x:c>
      <x:c r="G13" s="211" t="n">
        <x:f>G8*G11</x:f>
        <x:v>9066.587838925363</x:v>
      </x:c>
      <x:c r="H13" s="211" t="n">
        <x:f>H8*H11</x:f>
        <x:v>10190.044737907498</x:v>
      </x:c>
      <x:c r="I13" s="89" t="str">
        <x:v>Throughput × unit/mix proxy</x:v>
      </x:c>
      <x:c r="J13" s="89" t="str">
        <x:v>Model output</x:v>
      </x:c>
      <x:c r="K13" s="90" t="str">
        <x:v>Throughput × unit/mix proxy</x:v>
      </x:c>
    </x:row>
    <x:row r="14" ht="29" customHeight="1">
      <x:c r="A14" s="88" t="str">
        <x:v>Logistics external revenue</x:v>
      </x:c>
      <x:c r="B14" s="89" t="str">
        <x:v>VND bn</x:v>
      </x:c>
      <x:c r="C14" s="288" t="n">
        <x:f>'P3 Historical IS'!G50</x:f>
        <x:v>693.74057</x:v>
      </x:c>
      <x:c r="D14" s="211" t="n">
        <x:f>C14*(1+'P4 Assumptions'!C35)</x:f>
        <x:v>721.4901928</x:v>
      </x:c>
      <x:c r="E14" s="211" t="n">
        <x:f>D14*(1+'P4 Assumptions'!D35)</x:f>
        <x:v>757.5647024400001</x:v>
      </x:c>
      <x:c r="F14" s="211" t="n">
        <x:f>E14*(1+'P4 Assumptions'!E35)</x:f>
        <x:v>803.0185845864002</x:v>
      </x:c>
      <x:c r="G14" s="211" t="n">
        <x:f>F14*(1+'P4 Assumptions'!F35)</x:f>
        <x:v>851.1996996615842</x:v>
      </x:c>
      <x:c r="H14" s="211" t="n">
        <x:f>G14*(1+'P4 Assumptions'!G35)</x:f>
        <x:v>902.2716816412793</x:v>
      </x:c>
      <x:c r="I14" s="89" t="str">
        <x:v>Separate segment growth</x:v>
      </x:c>
      <x:c r="J14" s="89" t="str">
        <x:v>Model output</x:v>
      </x:c>
      <x:c r="K14" s="90" t="str">
        <x:v>Separate segment growth</x:v>
      </x:c>
    </x:row>
    <x:row r="15" ht="29" customHeight="1">
      <x:c r="A15" s="88" t="str">
        <x:v>Other external revenue</x:v>
      </x:c>
      <x:c r="B15" s="89" t="str">
        <x:v>VND bn</x:v>
      </x:c>
      <x:c r="C15" s="288" t="n">
        <x:f>'P3 Historical IS'!G51</x:f>
        <x:v>8.057116</x:v>
      </x:c>
      <x:c r="D15" s="211" t="n">
        <x:f>C15*(1+'P4 Assumptions'!C36)</x:f>
        <x:v>8.057116</x:v>
      </x:c>
      <x:c r="E15" s="211" t="n">
        <x:f>D15*(1+'P4 Assumptions'!D36)</x:f>
        <x:v>8.057116</x:v>
      </x:c>
      <x:c r="F15" s="211" t="n">
        <x:f>E15*(1+'P4 Assumptions'!E36)</x:f>
        <x:v>8.057116</x:v>
      </x:c>
      <x:c r="G15" s="211" t="n">
        <x:f>F15*(1+'P4 Assumptions'!F36)</x:f>
        <x:v>8.057116</x:v>
      </x:c>
      <x:c r="H15" s="211" t="n">
        <x:f>G15*(1+'P4 Assumptions'!G36)</x:f>
        <x:v>8.057116</x:v>
      </x:c>
      <x:c r="I15" s="89" t="str">
        <x:v>Residual segment</x:v>
      </x:c>
      <x:c r="J15" s="89" t="str">
        <x:v>Model output</x:v>
      </x:c>
      <x:c r="K15" s="90" t="str">
        <x:v>Residual segment</x:v>
      </x:c>
    </x:row>
    <x:row r="16" ht="29" customHeight="1">
      <x:c r="A16" s="459" t="str">
        <x:v>Consolidated net revenue</x:v>
      </x:c>
      <x:c r="B16" s="460" t="str">
        <x:v>VND bn</x:v>
      </x:c>
      <x:c r="C16" s="495" t="n">
        <x:f>'P3 Historical IS'!G6</x:f>
        <x:v>5956.025297015</x:v>
      </x:c>
      <x:c r="D16" s="495" t="n">
        <x:f>SUM(D13:D15)</x:f>
        <x:v>6757.498469512975</x:v>
      </x:c>
      <x:c r="E16" s="495" t="n">
        <x:f>SUM(E13:E15)</x:f>
        <x:v>7603.459943653505</x:v>
      </x:c>
      <x:c r="F16" s="495" t="n">
        <x:f>SUM(F13:F15)</x:f>
        <x:v>8736.01097698022</x:v>
      </x:c>
      <x:c r="G16" s="495" t="n">
        <x:f>SUM(G13:G15)</x:f>
        <x:v>9925.844654586946</x:v>
      </x:c>
      <x:c r="H16" s="495" t="n">
        <x:f>SUM(H13:H15)</x:f>
        <x:v>11100.373535548777</x:v>
      </x:c>
      <x:c r="I16" s="460" t="str">
        <x:v>Sum of external segment revenue</x:v>
      </x:c>
      <x:c r="J16" s="460" t="str">
        <x:v>Model output</x:v>
      </x:c>
      <x:c r="K16" s="460" t="str">
        <x:v>Sum of external segment revenue</x:v>
      </x:c>
    </x:row>
    <x:row r="17" ht="29" customHeight="1">
      <x:c r="A17" s="88" t="str">
        <x:v>Revenue growth</x:v>
      </x:c>
      <x:c r="B17" s="89" t="str">
        <x:v>%</x:v>
      </x:c>
      <x:c r="C17" s="125" t="n">
        <x:f>'GMD Historical'!B12/'GMD Historical'!B11-1</x:f>
        <x:v>0.23261480327991846</x:v>
      </x:c>
      <x:c r="D17" s="109" t="n">
        <x:f>D16/C16-1</x:f>
        <x:v>0.13456510550746836</x:v>
      </x:c>
      <x:c r="E17" s="109" t="n">
        <x:f>E16/D16-1</x:f>
        <x:v>0.12518855578838184</x:v>
      </x:c>
      <x:c r="F17" s="109" t="n">
        <x:f>F16/E16-1</x:f>
        <x:v>0.14895206152457452</x:v>
      </x:c>
      <x:c r="G17" s="109" t="n">
        <x:f>G16/F16-1</x:f>
        <x:v>0.13619873884568046</x:v>
      </x:c>
      <x:c r="H17" s="109" t="n">
        <x:f>H16/G16-1</x:f>
        <x:v>0.11833037104998967</x:v>
      </x:c>
      <x:c r="I17" s="89" t="str">
        <x:v>Model output</x:v>
      </x:c>
      <x:c r="J17" s="89" t="str">
        <x:v>Model output</x:v>
      </x:c>
      <x:c r="K17" s="90" t="str">
        <x:v>Model output</x:v>
      </x:c>
    </x:row>
    <x:row r="18" ht="29" customHeight="1">
      <x:c r="A18" s="88" t="str">
        <x:v>Consolidated operating margin</x:v>
      </x:c>
      <x:c r="B18" s="89" t="str">
        <x:v>%</x:v>
      </x:c>
      <x:c r="C18" s="125" t="n">
        <x:f>'P3 Historical IS'!G13</x:f>
        <x:v>0.27652039677743034</x:v>
      </x:c>
      <x:c r="D18" s="109" t="n">
        <x:f>'P4 Assumptions'!C37</x:f>
        <x:v>0.28</x:v>
      </x:c>
      <x:c r="E18" s="109" t="n">
        <x:f>'P4 Assumptions'!D37</x:f>
        <x:v>0.285</x:v>
      </x:c>
      <x:c r="F18" s="109" t="n">
        <x:f>'P4 Assumptions'!E37</x:f>
        <x:v>0.29</x:v>
      </x:c>
      <x:c r="G18" s="109" t="n">
        <x:f>'P4 Assumptions'!F37</x:f>
        <x:v>0.295</x:v>
      </x:c>
      <x:c r="H18" s="109" t="n">
        <x:f>'P4 Assumptions'!G37</x:f>
        <x:v>0.3</x:v>
      </x:c>
      <x:c r="I18" s="89" t="str">
        <x:v>Before financial/associate/other items</x:v>
      </x:c>
      <x:c r="J18" s="89" t="str">
        <x:v>Historical link / analyst assumption</x:v>
      </x:c>
      <x:c r="K18" s="90" t="str">
        <x:v>Before financial/associate/other items</x:v>
      </x:c>
    </x:row>
    <x:row r="19" ht="29" customHeight="1">
      <x:c r="A19" s="88" t="str">
        <x:v>Consolidated EBIT before financial/associate/other</x:v>
      </x:c>
      <x:c r="B19" s="89" t="str">
        <x:v>VND bn</x:v>
      </x:c>
      <x:c r="C19" s="288" t="n">
        <x:f>'P3 Historical IS'!G12</x:f>
        <x:v>1646.9624783470003</x:v>
      </x:c>
      <x:c r="D19" s="211" t="n">
        <x:f>D16*D18</x:f>
        <x:v>1892.0995714636333</x:v>
      </x:c>
      <x:c r="E19" s="211" t="n">
        <x:f>E16*E18</x:f>
        <x:v>2166.986083941249</x:v>
      </x:c>
      <x:c r="F19" s="211" t="n">
        <x:f>F16*F18</x:f>
        <x:v>2533.443183324264</x:v>
      </x:c>
      <x:c r="G19" s="211" t="n">
        <x:f>G16*G18</x:f>
        <x:v>2928.124173103149</x:v>
      </x:c>
      <x:c r="H19" s="211" t="n">
        <x:f>H16*H18</x:f>
        <x:v>3330.112060664633</x:v>
      </x:c>
      <x:c r="I19" s="89" t="str">
        <x:v>Revenue × operating margin</x:v>
      </x:c>
      <x:c r="J19" s="89" t="str">
        <x:v>Model output</x:v>
      </x:c>
      <x:c r="K19" s="90" t="str">
        <x:v>Revenue × operating margin</x:v>
      </x:c>
    </x:row>
    <x:row r="20" ht="29" customHeight="1">
      <x:c r="A20" s="88" t="str">
        <x:v>Financial income</x:v>
      </x:c>
      <x:c r="B20" s="89" t="str">
        <x:v>VND bn</x:v>
      </x:c>
      <x:c r="C20" s="288" t="n">
        <x:f>'P3 Historical IS'!G17</x:f>
        <x:v>228.485206429</x:v>
      </x:c>
      <x:c r="D20" s="211" t="n">
        <x:f>'P4 Assumptions'!C38</x:f>
        <x:v>225</x:v>
      </x:c>
      <x:c r="E20" s="211" t="n">
        <x:f>'P4 Assumptions'!D38</x:f>
        <x:v>220</x:v>
      </x:c>
      <x:c r="F20" s="211" t="n">
        <x:f>'P4 Assumptions'!E38</x:f>
        <x:v>210</x:v>
      </x:c>
      <x:c r="G20" s="211" t="n">
        <x:f>'P4 Assumptions'!F38</x:f>
        <x:v>200</x:v>
      </x:c>
      <x:c r="H20" s="211" t="n">
        <x:f>'P4 Assumptions'!G38</x:f>
        <x:v>190</x:v>
      </x:c>
      <x:c r="I20" s="89" t="str">
        <x:v>Analyst assumption</x:v>
      </x:c>
      <x:c r="J20" s="89" t="str">
        <x:v>Historical link / analyst assumption</x:v>
      </x:c>
      <x:c r="K20" s="90" t="str">
        <x:v>Analyst assumption</x:v>
      </x:c>
    </x:row>
    <x:row r="21" ht="29" customHeight="1">
      <x:c r="A21" s="88" t="str">
        <x:v>Financial expense</x:v>
      </x:c>
      <x:c r="B21" s="89" t="str">
        <x:v>VND bn</x:v>
      </x:c>
      <x:c r="C21" s="288" t="n">
        <x:f>'P3 Historical IS'!G18</x:f>
        <x:v>118.711817693</x:v>
      </x:c>
      <x:c r="D21" s="211" t="n">
        <x:f>'P4 Assumptions'!C39</x:f>
        <x:v>120</x:v>
      </x:c>
      <x:c r="E21" s="211" t="n">
        <x:f>'P4 Assumptions'!D39</x:f>
        <x:v>125</x:v>
      </x:c>
      <x:c r="F21" s="211" t="n">
        <x:f>'P4 Assumptions'!E39</x:f>
        <x:v>130</x:v>
      </x:c>
      <x:c r="G21" s="211" t="n">
        <x:f>'P4 Assumptions'!F39</x:f>
        <x:v>135</x:v>
      </x:c>
      <x:c r="H21" s="211" t="n">
        <x:f>'P4 Assumptions'!G39</x:f>
        <x:v>140</x:v>
      </x:c>
      <x:c r="I21" s="89" t="str">
        <x:v>Analyst assumption</x:v>
      </x:c>
      <x:c r="J21" s="89" t="str">
        <x:v>Historical link / analyst assumption</x:v>
      </x:c>
      <x:c r="K21" s="90" t="str">
        <x:v>Analyst assumption</x:v>
      </x:c>
    </x:row>
    <x:row r="22" ht="29" customHeight="1">
      <x:c r="A22" s="88" t="str">
        <x:v>Gemalink associate contribution</x:v>
      </x:c>
      <x:c r="B22" s="89" t="str">
        <x:v>VND bn</x:v>
      </x:c>
      <x:c r="C22" s="288" t="n">
        <x:f>'P3 Associates'!G7</x:f>
        <x:v>826.81</x:v>
      </x:c>
      <x:c r="D22" s="211" t="n">
        <x:f>C22*(1+'P4 Assumptions'!C41)</x:f>
        <x:v>909.491</x:v>
      </x:c>
      <x:c r="E22" s="211" t="n">
        <x:f>D22*(1+'P4 Assumptions'!D41)</x:f>
        <x:v>1000.4401</x:v>
      </x:c>
      <x:c r="F22" s="211" t="n">
        <x:f>E22*(1+'P4 Assumptions'!E41)</x:f>
        <x:v>1250.550125</x:v>
      </x:c>
      <x:c r="G22" s="211" t="n">
        <x:f>F22*(1+'P4 Assumptions'!F41)</x:f>
        <x:v>1475.6491474999998</x:v>
      </x:c>
      <x:c r="H22" s="211" t="n">
        <x:f>G22*(1+'P4 Assumptions'!G41)</x:f>
        <x:v>1652.7270452</x:v>
      </x:c>
      <x:c r="I22" s="89" t="str">
        <x:v>Separate equity-accounted forecast</x:v>
      </x:c>
      <x:c r="J22" s="89" t="str">
        <x:v>Model output</x:v>
      </x:c>
      <x:c r="K22" s="90" t="str">
        <x:v>Separate equity-accounted forecast</x:v>
      </x:c>
    </x:row>
    <x:row r="23" ht="29" customHeight="1">
      <x:c r="A23" s="88" t="str">
        <x:v>SCS associate contribution</x:v>
      </x:c>
      <x:c r="B23" s="89" t="str">
        <x:v>VND bn</x:v>
      </x:c>
      <x:c r="C23" s="288" t="n">
        <x:f>'P3 Associates'!G8</x:f>
        <x:v>258.588</x:v>
      </x:c>
      <x:c r="D23" s="211" t="n">
        <x:f>C23*(1+'P4 Assumptions'!C42)</x:f>
        <x:v>276.68916</x:v>
      </x:c>
      <x:c r="E23" s="211" t="n">
        <x:f>D23*(1+'P4 Assumptions'!D42)</x:f>
        <x:v>296.0574012</x:v>
      </x:c>
      <x:c r="F23" s="211" t="n">
        <x:f>E23*(1+'P4 Assumptions'!E42)</x:f>
        <x:v>316.78141928400004</x:v>
      </x:c>
      <x:c r="G23" s="211" t="n">
        <x:f>F23*(1+'P4 Assumptions'!F42)</x:f>
        <x:v>338.95611863388007</x:v>
      </x:c>
      <x:c r="H23" s="211" t="n">
        <x:f>G23*(1+'P4 Assumptions'!G42)</x:f>
        <x:v>362.6830469382517</x:v>
      </x:c>
      <x:c r="I23" s="89" t="str">
        <x:v>Separate equity-accounted forecast</x:v>
      </x:c>
      <x:c r="J23" s="89" t="str">
        <x:v>Model output</x:v>
      </x:c>
      <x:c r="K23" s="90" t="str">
        <x:v>Separate equity-accounted forecast</x:v>
      </x:c>
    </x:row>
    <x:row r="24" ht="29" customHeight="1">
      <x:c r="A24" s="88" t="str">
        <x:v>CJ Gemadept Logistics contribution</x:v>
      </x:c>
      <x:c r="B24" s="89" t="str">
        <x:v>VND bn</x:v>
      </x:c>
      <x:c r="C24" s="288" t="n">
        <x:f>'P3 Associates'!G9</x:f>
        <x:v>46.182</x:v>
      </x:c>
      <x:c r="D24" s="211" t="n">
        <x:f>C24*(1+'P4 Assumptions'!C43)</x:f>
        <x:v>48.952920000000006</x:v>
      </x:c>
      <x:c r="E24" s="211" t="n">
        <x:f>D24*(1+'P4 Assumptions'!D43)</x:f>
        <x:v>51.89009520000001</x:v>
      </x:c>
      <x:c r="F24" s="211" t="n">
        <x:f>E24*(1+'P4 Assumptions'!E43)</x:f>
        <x:v>55.003500912000014</x:v>
      </x:c>
      <x:c r="G24" s="211" t="n">
        <x:f>F24*(1+'P4 Assumptions'!F43)</x:f>
        <x:v>58.30371096672002</x:v>
      </x:c>
      <x:c r="H24" s="211" t="n">
        <x:f>G24*(1+'P4 Assumptions'!G43)</x:f>
        <x:v>61.801933624723226</x:v>
      </x:c>
      <x:c r="I24" s="89" t="str">
        <x:v>Separate equity-accounted forecast</x:v>
      </x:c>
      <x:c r="J24" s="89" t="str">
        <x:v>Model output</x:v>
      </x:c>
      <x:c r="K24" s="90" t="str">
        <x:v>Separate equity-accounted forecast</x:v>
      </x:c>
    </x:row>
    <x:row r="25" ht="29" customHeight="1">
      <x:c r="A25" s="88" t="str">
        <x:v>Other associate contribution</x:v>
      </x:c>
      <x:c r="B25" s="89" t="str">
        <x:v>VND bn</x:v>
      </x:c>
      <x:c r="C25" s="288" t="n">
        <x:f>'P3 Associates'!G10</x:f>
        <x:v>26.07937794700001</x:v>
      </x:c>
      <x:c r="D25" s="211" t="n">
        <x:f>C25*(1+'P4 Assumptions'!C44)</x:f>
        <x:v>27.122553064880012</x:v>
      </x:c>
      <x:c r="E25" s="211" t="n">
        <x:f>D25*(1+'P4 Assumptions'!D44)</x:f>
        <x:v>28.207455187475215</x:v>
      </x:c>
      <x:c r="F25" s="211" t="n">
        <x:f>E25*(1+'P4 Assumptions'!E44)</x:f>
        <x:v>29.335753394974226</x:v>
      </x:c>
      <x:c r="G25" s="211" t="n">
        <x:f>F25*(1+'P4 Assumptions'!F44)</x:f>
        <x:v>30.509183530773196</x:v>
      </x:c>
      <x:c r="H25" s="211" t="n">
        <x:f>G25*(1+'P4 Assumptions'!G44)</x:f>
        <x:v>31.729550872004125</x:v>
      </x:c>
      <x:c r="I25" s="89" t="str">
        <x:v>Residual associate forecast</x:v>
      </x:c>
      <x:c r="J25" s="89" t="str">
        <x:v>Model output</x:v>
      </x:c>
      <x:c r="K25" s="90" t="str">
        <x:v>Residual associate forecast</x:v>
      </x:c>
    </x:row>
    <x:row r="26" ht="29" customHeight="1">
      <x:c r="A26" s="88" t="str">
        <x:v>Total associates/JV profit</x:v>
      </x:c>
      <x:c r="B26" s="89" t="str">
        <x:v>VND bn</x:v>
      </x:c>
      <x:c r="C26" s="288" t="n">
        <x:f>'P3 Associates'!G6</x:f>
        <x:v>1157.659377947</x:v>
      </x:c>
      <x:c r="D26" s="211" t="n">
        <x:f>SUM(D22:D25)</x:f>
        <x:v>1262.25563306488</x:v>
      </x:c>
      <x:c r="E26" s="211" t="n">
        <x:f>SUM(E22:E25)</x:f>
        <x:v>1376.5950515874752</x:v>
      </x:c>
      <x:c r="F26" s="211" t="n">
        <x:f>SUM(F22:F25)</x:f>
        <x:v>1651.6707985909743</x:v>
      </x:c>
      <x:c r="G26" s="211" t="n">
        <x:f>SUM(G22:G25)</x:f>
        <x:v>1903.4181606313732</x:v>
      </x:c>
      <x:c r="H26" s="211" t="n">
        <x:f>SUM(H22:H25)</x:f>
        <x:v>2108.941576634979</x:v>
      </x:c>
      <x:c r="I26" s="89" t="str">
        <x:v>Sum of associate components</x:v>
      </x:c>
      <x:c r="J26" s="89" t="str">
        <x:v>Model output</x:v>
      </x:c>
      <x:c r="K26" s="90" t="str">
        <x:v>Sum of associate components</x:v>
      </x:c>
    </x:row>
    <x:row r="27" ht="29" customHeight="1">
      <x:c r="A27" s="88" t="str">
        <x:v>Other profit/(loss)</x:v>
      </x:c>
      <x:c r="B27" s="89" t="str">
        <x:v>VND bn</x:v>
      </x:c>
      <x:c r="C27" s="288" t="n">
        <x:f>'P3 Historical IS'!G21</x:f>
        <x:v>-393.56809844</x:v>
      </x:c>
      <x:c r="D27" s="211" t="n">
        <x:f>'P4 Assumptions'!C40</x:f>
        <x:v>-250</x:v>
      </x:c>
      <x:c r="E27" s="211" t="n">
        <x:f>'P4 Assumptions'!D40</x:f>
        <x:v>-250</x:v>
      </x:c>
      <x:c r="F27" s="211" t="n">
        <x:f>'P4 Assumptions'!E40</x:f>
        <x:v>-250</x:v>
      </x:c>
      <x:c r="G27" s="211" t="n">
        <x:f>'P4 Assumptions'!F40</x:f>
        <x:v>-250</x:v>
      </x:c>
      <x:c r="H27" s="211" t="n">
        <x:f>'P4 Assumptions'!G40</x:f>
        <x:v>-250</x:v>
      </x:c>
      <x:c r="I27" s="89" t="str">
        <x:v>Analyst assumption</x:v>
      </x:c>
      <x:c r="J27" s="89" t="str">
        <x:v>Historical link / analyst assumption</x:v>
      </x:c>
      <x:c r="K27" s="90" t="str">
        <x:v>Analyst assumption</x:v>
      </x:c>
    </x:row>
    <x:row r="28" ht="29" customHeight="1">
      <x:c r="A28" s="459" t="str">
        <x:v>Core PBT</x:v>
      </x:c>
      <x:c r="B28" s="460" t="str">
        <x:v>VND bn</x:v>
      </x:c>
      <x:c r="C28" s="495" t="n">
        <x:f>'P3 Historical IS'!G25</x:f>
        <x:v>2520.827</x:v>
      </x:c>
      <x:c r="D28" s="495" t="n">
        <x:f>D19+D20-D21+D26+D27</x:f>
        <x:v>3009.3552045285132</x:v>
      </x:c>
      <x:c r="E28" s="495" t="n">
        <x:f>E19+E20-E21+E26+E27</x:f>
        <x:v>3388.581135528724</x:v>
      </x:c>
      <x:c r="F28" s="495" t="n">
        <x:f>F19+F20-F21+F26+F27</x:f>
        <x:v>4015.1139819152377</x:v>
      </x:c>
      <x:c r="G28" s="495" t="n">
        <x:f>G19+G20-G21+G26+G27</x:f>
        <x:v>4646.542333734522</x:v>
      </x:c>
      <x:c r="H28" s="495" t="n">
        <x:f>H19+H20-H21+H26+H27</x:f>
        <x:v>5239.053637299612</x:v>
      </x:c>
      <x:c r="I28" s="460" t="str">
        <x:v>EBIT + net finance + associates + other</x:v>
      </x:c>
      <x:c r="J28" s="460" t="str">
        <x:v>Model output</x:v>
      </x:c>
      <x:c r="K28" s="460" t="str">
        <x:v>EBIT + net finance + associates + other</x:v>
      </x:c>
    </x:row>
    <x:row r="29" ht="29" customHeight="1">
      <x:c r="A29" s="88" t="str">
        <x:v>Core PBT margin</x:v>
      </x:c>
      <x:c r="B29" s="89" t="str">
        <x:v>%</x:v>
      </x:c>
      <x:c r="C29" s="125" t="n">
        <x:f>'P3 Historical IS'!G27</x:f>
        <x:v>0.42323980747082635</x:v>
      </x:c>
      <x:c r="D29" s="109" t="n">
        <x:f>D28/D16</x:f>
        <x:v>0.4453356842188679</x:v>
      </x:c>
      <x:c r="E29" s="109" t="n">
        <x:f>E28/E16</x:f>
        <x:v>0.44566304822281894</x:v>
      </x:c>
      <x:c r="F29" s="109" t="n">
        <x:f>F28/F16</x:f>
        <x:v>0.4596049607189417</x:v>
      </x:c>
      <x:c r="G29" s="109" t="n">
        <x:f>G28/G16</x:f>
        <x:v>0.4681256351908807</x:v>
      </x:c>
      <x:c r="H29" s="109" t="n">
        <x:f>H28/H16</x:f>
        <x:v>0.4719709314755601</x:v>
      </x:c>
      <x:c r="I29" s="89" t="str">
        <x:v>Model output</x:v>
      </x:c>
      <x:c r="J29" s="89" t="str">
        <x:v>Model output</x:v>
      </x:c>
      <x:c r="K29" s="90" t="str">
        <x:v>Model output</x:v>
      </x:c>
    </x:row>
    <x:row r="30" ht="29" customHeight="1">
      <x:c r="A30" s="88" t="str">
        <x:v>Effective PBT tax rate</x:v>
      </x:c>
      <x:c r="B30" s="89" t="str">
        <x:v>%</x:v>
      </x:c>
      <x:c r="C30" s="125" t="n">
        <x:f>('P3 Historical IS'!G38-'P3 Historical IS'!G39)/'P3 Historical IS'!G25</x:f>
        <x:v>0.0866001376683128</x:v>
      </x:c>
      <x:c r="D30" s="109" t="n">
        <x:f>'P4 Assumptions'!C45</x:f>
        <x:v>0.095</x:v>
      </x:c>
      <x:c r="E30" s="109" t="n">
        <x:f>'P4 Assumptions'!D45</x:f>
        <x:v>0.095</x:v>
      </x:c>
      <x:c r="F30" s="109" t="n">
        <x:f>'P4 Assumptions'!E45</x:f>
        <x:v>0.1</x:v>
      </x:c>
      <x:c r="G30" s="109" t="n">
        <x:f>'P4 Assumptions'!F45</x:f>
        <x:v>0.1</x:v>
      </x:c>
      <x:c r="H30" s="109" t="n">
        <x:f>'P4 Assumptions'!G45</x:f>
        <x:v>0.1</x:v>
      </x:c>
      <x:c r="I30" s="89" t="str">
        <x:v>Analyst assumption</x:v>
      </x:c>
      <x:c r="J30" s="89" t="str">
        <x:v>Historical link / analyst assumption</x:v>
      </x:c>
      <x:c r="K30" s="90" t="str">
        <x:v>Analyst assumption</x:v>
      </x:c>
    </x:row>
    <x:row r="31" ht="29" customHeight="1">
      <x:c r="A31" s="88" t="str">
        <x:v>Consolidated PAT</x:v>
      </x:c>
      <x:c r="B31" s="89" t="str">
        <x:v>VND bn</x:v>
      </x:c>
      <x:c r="C31" s="288" t="n">
        <x:f>'P3 Historical IS'!G41</x:f>
        <x:v>2302.523181352</x:v>
      </x:c>
      <x:c r="D31" s="211" t="n">
        <x:f>D28*(1-D30)</x:f>
        <x:v>2723.4664600983047</x:v>
      </x:c>
      <x:c r="E31" s="211" t="n">
        <x:f>E28*(1-E30)</x:f>
        <x:v>3066.6659276534956</x:v>
      </x:c>
      <x:c r="F31" s="211" t="n">
        <x:f>F28*(1-F30)</x:f>
        <x:v>3613.602583723714</x:v>
      </x:c>
      <x:c r="G31" s="211" t="n">
        <x:f>G28*(1-G30)</x:f>
        <x:v>4181.8881003610695</x:v>
      </x:c>
      <x:c r="H31" s="211" t="n">
        <x:f>H28*(1-H30)</x:f>
        <x:v>4715.148273569651</x:v>
      </x:c>
      <x:c r="I31" s="89" t="str">
        <x:v>PBT after effective tax</x:v>
      </x:c>
      <x:c r="J31" s="89" t="str">
        <x:v>Model output</x:v>
      </x:c>
      <x:c r="K31" s="90" t="str">
        <x:v>PBT after effective tax</x:v>
      </x:c>
    </x:row>
    <x:row r="32" ht="29" customHeight="1">
      <x:c r="A32" s="88" t="str">
        <x:v>NCI share of PAT</x:v>
      </x:c>
      <x:c r="B32" s="89" t="str">
        <x:v>%</x:v>
      </x:c>
      <x:c r="C32" s="125" t="n">
        <x:f>'P3 Historical IS'!G44/'P3 Historical IS'!G41</x:f>
        <x:v>0.23751915311222802</x:v>
      </x:c>
      <x:c r="D32" s="109" t="n">
        <x:f>'P4 Assumptions'!C46</x:f>
        <x:v>0.22</x:v>
      </x:c>
      <x:c r="E32" s="109" t="n">
        <x:f>'P4 Assumptions'!D46</x:f>
        <x:v>0.22</x:v>
      </x:c>
      <x:c r="F32" s="109" t="n">
        <x:f>'P4 Assumptions'!E46</x:f>
        <x:v>0.22</x:v>
      </x:c>
      <x:c r="G32" s="109" t="n">
        <x:f>'P4 Assumptions'!F46</x:f>
        <x:v>0.22</x:v>
      </x:c>
      <x:c r="H32" s="109" t="n">
        <x:f>'P4 Assumptions'!G46</x:f>
        <x:v>0.22</x:v>
      </x:c>
      <x:c r="I32" s="89" t="str">
        <x:v>Analyst assumption</x:v>
      </x:c>
      <x:c r="J32" s="89" t="str">
        <x:v>Historical link / analyst assumption</x:v>
      </x:c>
      <x:c r="K32" s="90" t="str">
        <x:v>Analyst assumption</x:v>
      </x:c>
    </x:row>
    <x:row r="33" ht="29" customHeight="1">
      <x:c r="A33" s="88" t="str">
        <x:v>NCI PAT</x:v>
      </x:c>
      <x:c r="B33" s="89" t="str">
        <x:v>VND bn</x:v>
      </x:c>
      <x:c r="C33" s="288" t="n">
        <x:f>'P3 Historical IS'!G44</x:f>
        <x:v>546.893356056</x:v>
      </x:c>
      <x:c r="D33" s="211" t="n">
        <x:f>D31*D32</x:f>
        <x:v>599.162621221627</x:v>
      </x:c>
      <x:c r="E33" s="211" t="n">
        <x:f>E31*E32</x:f>
        <x:v>674.666504083769</x:v>
      </x:c>
      <x:c r="F33" s="211" t="n">
        <x:f>F31*F32</x:f>
        <x:v>794.992568419217</x:v>
      </x:c>
      <x:c r="G33" s="211" t="n">
        <x:f>G31*G32</x:f>
        <x:v>920.0153820794353</x:v>
      </x:c>
      <x:c r="H33" s="211" t="n">
        <x:f>H31*H32</x:f>
        <x:v>1037.332620185323</x:v>
      </x:c>
      <x:c r="I33" s="89" t="str">
        <x:v>PAT × NCI share</x:v>
      </x:c>
      <x:c r="J33" s="89" t="str">
        <x:v>Model output</x:v>
      </x:c>
      <x:c r="K33" s="90" t="str">
        <x:v>PAT × NCI share</x:v>
      </x:c>
    </x:row>
    <x:row r="34" ht="29" customHeight="1">
      <x:c r="A34" s="499" t="str">
        <x:v>Parent PAT</x:v>
      </x:c>
      <x:c r="B34" s="500" t="str">
        <x:v>VND bn</x:v>
      </x:c>
      <x:c r="C34" s="501" t="n">
        <x:f>'P3 Historical IS'!G43</x:f>
        <x:v>1755.629825296</x:v>
      </x:c>
      <x:c r="D34" s="501" t="n">
        <x:f>D31-D33</x:f>
        <x:v>2124.3038388766777</x:v>
      </x:c>
      <x:c r="E34" s="501" t="n">
        <x:f>E31-E33</x:f>
        <x:v>2391.999423569727</x:v>
      </x:c>
      <x:c r="F34" s="501" t="n">
        <x:f>F31-F33</x:f>
        <x:v>2818.6100153044968</x:v>
      </x:c>
      <x:c r="G34" s="501" t="n">
        <x:f>G31-G33</x:f>
        <x:v>3261.872718281634</x:v>
      </x:c>
      <x:c r="H34" s="501" t="n">
        <x:f>H31-H33</x:f>
        <x:v>3677.8156533843276</x:v>
      </x:c>
      <x:c r="I34" s="500" t="str">
        <x:v>PAT less NCI</x:v>
      </x:c>
      <x:c r="J34" s="500" t="str">
        <x:v>Model output</x:v>
      </x:c>
      <x:c r="K34" s="500" t="str">
        <x:v>PAT less NCI</x:v>
      </x:c>
    </x:row>
    <x:row r="35" ht="29" customHeight="1">
      <x:c r="A35" s="502" t="str">
        <x:v>EPS</x:v>
      </x:c>
      <x:c r="B35" s="503" t="str">
        <x:v>VND/share</x:v>
      </x:c>
      <x:c r="C35" s="504" t="n">
        <x:f>C34*1000/'P4 Assumptions'!$C$18</x:f>
        <x:v>4116.412564290392</x:v>
      </x:c>
      <x:c r="D35" s="504" t="n">
        <x:f>D34*1000/'P4 Assumptions'!$C$18</x:f>
        <x:v>4980.839859705584</x:v>
      </x:c>
      <x:c r="E35" s="504" t="n">
        <x:f>E34*1000/'P4 Assumptions'!$C$18</x:f>
        <x:v>5608.503762629847</x:v>
      </x:c>
      <x:c r="F35" s="504" t="n">
        <x:f>F34*1000/'P4 Assumptions'!$C$18</x:f>
        <x:v>6608.7745341635255</x:v>
      </x:c>
      <x:c r="G35" s="504" t="n">
        <x:f>G34*1000/'P4 Assumptions'!$C$18</x:f>
        <x:v>7648.089390590489</x:v>
      </x:c>
      <x:c r="H35" s="504" t="n">
        <x:f>H34*1000/'P4 Assumptions'!$C$18</x:f>
        <x:v>8623.347784708893</x:v>
      </x:c>
      <x:c r="I35" s="503" t="str">
        <x:v>Parent PAT divided by listed shares</x:v>
      </x:c>
      <x:c r="J35" s="503" t="str">
        <x:v>Model output</x:v>
      </x:c>
      <x:c r="K35" s="503" t="str">
        <x:v>Parent PAT divided by listed shares</x:v>
      </x:c>
    </x:row>
    <x:row r="36" ht="29" customHeight="1">
      <x:c r="A36" s="88" t="str">
        <x:v>D&amp;A</x:v>
      </x:c>
      <x:c r="B36" s="89" t="str">
        <x:v>VND bn</x:v>
      </x:c>
      <x:c r="C36" s="288" t="n">
        <x:f>'P3 Cash Flow'!G7</x:f>
        <x:v>415.219036556</x:v>
      </x:c>
      <x:c r="D36" s="211" t="n">
        <x:f>'P4 Assumptions'!C47</x:f>
        <x:v>500</x:v>
      </x:c>
      <x:c r="E36" s="211" t="n">
        <x:f>'P4 Assumptions'!D47</x:f>
        <x:v>580</x:v>
      </x:c>
      <x:c r="F36" s="211" t="n">
        <x:f>'P4 Assumptions'!E47</x:f>
        <x:v>680</x:v>
      </x:c>
      <x:c r="G36" s="211" t="n">
        <x:f>'P4 Assumptions'!F47</x:f>
        <x:v>750</x:v>
      </x:c>
      <x:c r="H36" s="211" t="n">
        <x:f>'P4 Assumptions'!G47</x:f>
        <x:v>820</x:v>
      </x:c>
      <x:c r="I36" s="89" t="str">
        <x:v>Analyst assumption</x:v>
      </x:c>
      <x:c r="J36" s="89" t="str">
        <x:v>Historical link / analyst assumption</x:v>
      </x:c>
      <x:c r="K36" s="90" t="str">
        <x:v>Analyst assumption</x:v>
      </x:c>
    </x:row>
    <x:row r="37" ht="29" customHeight="1">
      <x:c r="A37" s="88" t="str">
        <x:v>Cash capex</x:v>
      </x:c>
      <x:c r="B37" s="89" t="str">
        <x:v>VND bn</x:v>
      </x:c>
      <x:c r="C37" s="288" t="n">
        <x:f>'P3 Cash Flow'!G8</x:f>
        <x:v>1676.123112351</x:v>
      </x:c>
      <x:c r="D37" s="211" t="n">
        <x:f>'P4 Assumptions'!C48</x:f>
        <x:v>1400</x:v>
      </x:c>
      <x:c r="E37" s="211" t="n">
        <x:f>'P4 Assumptions'!D48</x:f>
        <x:v>1200</x:v>
      </x:c>
      <x:c r="F37" s="211" t="n">
        <x:f>'P4 Assumptions'!E48</x:f>
        <x:v>1000</x:v>
      </x:c>
      <x:c r="G37" s="211" t="n">
        <x:f>'P4 Assumptions'!F48</x:f>
        <x:v>850</x:v>
      </x:c>
      <x:c r="H37" s="211" t="n">
        <x:f>'P4 Assumptions'!G48</x:f>
        <x:v>800</x:v>
      </x:c>
      <x:c r="I37" s="89" t="str">
        <x:v>Analyst assumption</x:v>
      </x:c>
      <x:c r="J37" s="89" t="str">
        <x:v>Historical link / analyst assumption</x:v>
      </x:c>
      <x:c r="K37" s="90" t="str">
        <x:v>Analyst assumption</x:v>
      </x:c>
    </x:row>
    <x:row r="38" ht="29" customHeight="1">
      <x:c r="A38" s="88" t="str">
        <x:v>Cash investment in NWC</x:v>
      </x:c>
      <x:c r="B38" s="89" t="str">
        <x:v>VND bn</x:v>
      </x:c>
      <x:c r="C38" s="288"/>
      <x:c r="D38" s="211" t="n">
        <x:f>MAX(D16-C16,0)*'P4 Assumptions'!C49</x:f>
        <x:v>16.029463449959493</x:v>
      </x:c>
      <x:c r="E38" s="211" t="n">
        <x:f>MAX(E16-D16,0)*'P4 Assumptions'!D49</x:f>
        <x:v>16.919229482810607</x:v>
      </x:c>
      <x:c r="F38" s="211" t="n">
        <x:f>MAX(F16-E16,0)*'P4 Assumptions'!E49</x:f>
        <x:v>22.651020666534297</x:v>
      </x:c>
      <x:c r="G38" s="211" t="n">
        <x:f>MAX(G16-F16,0)*'P4 Assumptions'!F49</x:f>
        <x:v>23.796673552134525</x:v>
      </x:c>
      <x:c r="H38" s="211" t="n">
        <x:f>MAX(H16-G16,0)*'P4 Assumptions'!G49</x:f>
        <x:v>23.49057761923661</x:v>
      </x:c>
      <x:c r="I38" s="89" t="str">
        <x:v>Incremental revenue × NWC rate</x:v>
      </x:c>
      <x:c r="J38" s="89" t="str">
        <x:v>Model output</x:v>
      </x:c>
      <x:c r="K38" s="90" t="str">
        <x:v>Incremental revenue × NWC rate</x:v>
      </x:c>
    </x:row>
    <x:row r="39" ht="29" customHeight="1">
      <x:c r="A39" s="88" t="str">
        <x:v>Statutory tax rate on EBIT</x:v>
      </x:c>
      <x:c r="B39" s="89" t="str">
        <x:v>%</x:v>
      </x:c>
      <x:c r="C39" s="125" t="n">
        <x:f>'P4 Assumptions'!C50</x:f>
        <x:v>0.2</x:v>
      </x:c>
      <x:c r="D39" s="109" t="n">
        <x:f>'P4 Assumptions'!C50</x:f>
        <x:v>0.2</x:v>
      </x:c>
      <x:c r="E39" s="109" t="n">
        <x:f>'P4 Assumptions'!D50</x:f>
        <x:v>0.2</x:v>
      </x:c>
      <x:c r="F39" s="109" t="n">
        <x:f>'P4 Assumptions'!E50</x:f>
        <x:v>0.2</x:v>
      </x:c>
      <x:c r="G39" s="109" t="n">
        <x:f>'P4 Assumptions'!F50</x:f>
        <x:v>0.2</x:v>
      </x:c>
      <x:c r="H39" s="109" t="n">
        <x:f>'P4 Assumptions'!G50</x:f>
        <x:v>0.2</x:v>
      </x:c>
      <x:c r="I39" s="89" t="str">
        <x:v>FCFF tax assumption</x:v>
      </x:c>
      <x:c r="J39" s="89" t="str">
        <x:v>Historical link / analyst assumption</x:v>
      </x:c>
      <x:c r="K39" s="90" t="str">
        <x:v>FCFF tax assumption</x:v>
      </x:c>
    </x:row>
    <x:row r="40" ht="29" customHeight="1">
      <x:c r="A40" s="499" t="str">
        <x:v>FCFF</x:v>
      </x:c>
      <x:c r="B40" s="500" t="str">
        <x:v>VND bn</x:v>
      </x:c>
      <x:c r="C40" s="501"/>
      <x:c r="D40" s="501" t="n">
        <x:f>D19*(1-D39)+D36-D37-D38</x:f>
        <x:v>597.6501937209472</x:v>
      </x:c>
      <x:c r="E40" s="501" t="n">
        <x:f>E19*(1-E39)+E36-E37-E38</x:f>
        <x:v>1096.6696376701886</x:v>
      </x:c>
      <x:c r="F40" s="501" t="n">
        <x:f>F19*(1-F39)+F36-F37-F38</x:f>
        <x:v>1684.1035259928767</x:v>
      </x:c>
      <x:c r="G40" s="501" t="n">
        <x:f>G19*(1-G39)+G36-G37-G38</x:f>
        <x:v>2218.702664930385</x:v>
      </x:c>
      <x:c r="H40" s="501" t="n">
        <x:f>H19*(1-H39)+H36-H37-H38</x:f>
        <x:v>2660.59907091247</x:v>
      </x:c>
      <x:c r="I40" s="500" t="str">
        <x:v>EBIT after statutory tax + D&amp;A - capex - NWC</x:v>
      </x:c>
      <x:c r="J40" s="500" t="str">
        <x:v>Model output</x:v>
      </x:c>
      <x:c r="K40" s="500" t="str">
        <x:v>EBIT after statutory tax + D&amp;A - capex - NWC</x:v>
      </x:c>
    </x:row>
    <x:row r="41" ht="29" customHeight="1">
      <x:c r="A41" s="502" t="str">
        <x:v>FCFF margin</x:v>
      </x:c>
      <x:c r="B41" s="503" t="str">
        <x:v>%</x:v>
      </x:c>
      <x:c r="C41" s="514"/>
      <x:c r="D41" s="514" t="n">
        <x:f>D40/D16</x:f>
        <x:v>0.08844252002679638</x:v>
      </x:c>
      <x:c r="E41" s="514" t="n">
        <x:f>E40/E16</x:f>
        <x:v>0.14423297364584164</x:v>
      </x:c>
      <x:c r="F41" s="514" t="n">
        <x:f>F40/F16</x:f>
        <x:v>0.19277717603956368</x:v>
      </x:c>
      <x:c r="G41" s="514" t="n">
        <x:f>G40/G16</x:f>
        <x:v>0.22352784494819536</x:v>
      </x:c>
      <x:c r="H41" s="514" t="n">
        <x:f>H40/H16</x:f>
        <x:v>0.2396855441298387</x:v>
      </x:c>
      <x:c r="I41" s="503" t="str">
        <x:v>FCFF divided by revenue</x:v>
      </x:c>
      <x:c r="J41" s="503" t="str">
        <x:v>Model output</x:v>
      </x:c>
      <x:c r="K41" s="503" t="str">
        <x:v>FCFF divided by revenue</x:v>
      </x:c>
    </x:row>
    <x:row r="44" ht="22" customHeight="1">
      <x:c r="A44" s="446" t="str">
        <x:v>Bull case — 2025A to 2030E</x:v>
      </x:c>
      <x:c r="B44" s="446" t="str">
        <x:v>Bull case — 2025A to 2030E</x:v>
      </x:c>
      <x:c r="C44" s="446" t="str">
        <x:v>Bull case — 2025A to 2030E</x:v>
      </x:c>
      <x:c r="D44" s="446" t="str">
        <x:v>Bull case — 2025A to 2030E</x:v>
      </x:c>
      <x:c r="E44" s="446" t="str">
        <x:v>Bull case — 2025A to 2030E</x:v>
      </x:c>
      <x:c r="F44" s="446" t="str">
        <x:v>Bull case — 2025A to 2030E</x:v>
      </x:c>
      <x:c r="G44" s="446" t="str">
        <x:v>Bull case — 2025A to 2030E</x:v>
      </x:c>
      <x:c r="H44" s="446" t="str">
        <x:v>Bull case — 2025A to 2030E</x:v>
      </x:c>
      <x:c r="I44" s="446" t="str">
        <x:v>Bull case — 2025A to 2030E</x:v>
      </x:c>
      <x:c r="J44" s="446" t="str">
        <x:v>Bull case — 2025A to 2030E</x:v>
      </x:c>
      <x:c r="K44" s="446" t="str">
        <x:v>Bull case — 2025A to 2030E</x:v>
      </x:c>
    </x:row>
    <x:row r="45" ht="32" customHeight="1">
      <x:c r="A45" s="421" t="str">
        <x:v>Metric</x:v>
      </x:c>
      <x:c r="B45" s="421" t="str">
        <x:v>Unit</x:v>
      </x:c>
      <x:c r="C45" s="491" t="n">
        <x:v>46022</x:v>
      </x:c>
      <x:c r="D45" s="433" t="n">
        <x:v>46387</x:v>
      </x:c>
      <x:c r="E45" s="433" t="n">
        <x:v>46752</x:v>
      </x:c>
      <x:c r="F45" s="433" t="n">
        <x:v>47118</x:v>
      </x:c>
      <x:c r="G45" s="433" t="n">
        <x:v>47483</x:v>
      </x:c>
      <x:c r="H45" s="433" t="n">
        <x:v>47848</x:v>
      </x:c>
      <x:c r="I45" s="421" t="str">
        <x:v>Source / driver</x:v>
      </x:c>
      <x:c r="J45" s="421" t="str">
        <x:v>Data class</x:v>
      </x:c>
      <x:c r="K45" s="421" t="str">
        <x:v>Audit note</x:v>
      </x:c>
    </x:row>
    <x:row r="46" ht="29" customHeight="1">
      <x:c r="A46" s="85" t="str">
        <x:v>National container throughput</x:v>
      </x:c>
      <x:c r="B46" s="86" t="str">
        <x:v>m TEU</x:v>
      </x:c>
      <x:c r="C46" s="317" t="n">
        <x:f>'P4 Assumptions'!C6</x:f>
        <x:v>34</x:v>
      </x:c>
      <x:c r="D46" s="133" t="n">
        <x:f>C46*(1+D47)</x:f>
        <x:v>38.760000000000005</x:v>
      </x:c>
      <x:c r="E46" s="133" t="n">
        <x:f>D46*(1+E47)</x:f>
        <x:v>43.41120000000001</x:v>
      </x:c>
      <x:c r="F46" s="133" t="n">
        <x:f>E46*(1+F47)</x:f>
        <x:v>47.75232000000001</x:v>
      </x:c>
      <x:c r="G46" s="133" t="n">
        <x:f>F46*(1+G47)</x:f>
        <x:v>51.572505600000014</x:v>
      </x:c>
      <x:c r="H46" s="133" t="n">
        <x:f>G46*(1+H47)</x:f>
        <x:v>55.18258099200002</x:v>
      </x:c>
      <x:c r="I46" s="86" t="str">
        <x:v>Macro-to-volume</x:v>
      </x:c>
      <x:c r="J46" s="86" t="str">
        <x:v>Model output</x:v>
      </x:c>
      <x:c r="K46" s="87" t="str">
        <x:v>Macro-to-volume</x:v>
      </x:c>
    </x:row>
    <x:row r="47" ht="29" customHeight="1">
      <x:c r="A47" s="88" t="str">
        <x:v>National throughput growth</x:v>
      </x:c>
      <x:c r="B47" s="89" t="str">
        <x:v>%</x:v>
      </x:c>
      <x:c r="C47" s="125"/>
      <x:c r="D47" s="109" t="n">
        <x:f>'P4 Assumptions'!C56</x:f>
        <x:v>0.14</x:v>
      </x:c>
      <x:c r="E47" s="109" t="n">
        <x:f>'P4 Assumptions'!D56</x:f>
        <x:v>0.12</x:v>
      </x:c>
      <x:c r="F47" s="109" t="n">
        <x:f>'P4 Assumptions'!E56</x:f>
        <x:v>0.1</x:v>
      </x:c>
      <x:c r="G47" s="109" t="n">
        <x:f>'P4 Assumptions'!F56</x:f>
        <x:v>0.08</x:v>
      </x:c>
      <x:c r="H47" s="109" t="n">
        <x:f>'P4 Assumptions'!G56</x:f>
        <x:v>0.07</x:v>
      </x:c>
      <x:c r="I47" s="89" t="str">
        <x:v>Analyst assumption</x:v>
      </x:c>
      <x:c r="J47" s="89" t="str">
        <x:v>Historical link / analyst assumption</x:v>
      </x:c>
      <x:c r="K47" s="90" t="str">
        <x:v>Analyst assumption</x:v>
      </x:c>
    </x:row>
    <x:row r="48" ht="29" customHeight="1">
      <x:c r="A48" s="88" t="str">
        <x:v>GMD system throughput</x:v>
      </x:c>
      <x:c r="B48" s="89" t="str">
        <x:v>m TEU</x:v>
      </x:c>
      <x:c r="C48" s="348" t="n">
        <x:f>'P3 Port Drivers'!G6</x:f>
        <x:v>5.079</x:v>
      </x:c>
      <x:c r="D48" s="134" t="n">
        <x:f>D46*D50</x:f>
        <x:v>5.969040000000001</x:v>
      </x:c>
      <x:c r="E48" s="134" t="n">
        <x:f>E46*E50</x:f>
        <x:v>6.945792000000002</x:v>
      </x:c>
      <x:c r="F48" s="134" t="n">
        <x:f>F46*F50</x:f>
        <x:v>8.356656000000001</x:v>
      </x:c>
      <x:c r="G48" s="134" t="n">
        <x:f>G46*G50</x:f>
        <x:v>9.540913536000003</x:v>
      </x:c>
      <x:c r="H48" s="134" t="n">
        <x:f>H46*H50</x:f>
        <x:v>10.484690388480004</x:v>
      </x:c>
      <x:c r="I48" s="89" t="str">
        <x:v>National TEU × GMD share</x:v>
      </x:c>
      <x:c r="J48" s="89" t="str">
        <x:v>Model output</x:v>
      </x:c>
      <x:c r="K48" s="90" t="str">
        <x:v>National TEU × GMD share</x:v>
      </x:c>
    </x:row>
    <x:row r="49" ht="29" customHeight="1">
      <x:c r="A49" s="88" t="str">
        <x:v>GMD throughput growth</x:v>
      </x:c>
      <x:c r="B49" s="89" t="str">
        <x:v>%</x:v>
      </x:c>
      <x:c r="C49" s="125" t="n">
        <x:f>'P3 Port Drivers'!G7</x:f>
        <x:v>0.14520856820744088</x:v>
      </x:c>
      <x:c r="D49" s="109" t="n">
        <x:f>D48/C48-1</x:f>
        <x:v>0.17523922031896055</x:v>
      </x:c>
      <x:c r="E49" s="109" t="n">
        <x:f>E48/D48-1</x:f>
        <x:v>0.1636363636363638</x:v>
      </x:c>
      <x:c r="F49" s="109" t="n">
        <x:f>F48/E48-1</x:f>
        <x:v>0.20312499999999978</x:v>
      </x:c>
      <x:c r="G49" s="109" t="n">
        <x:f>G48/F48-1</x:f>
        <x:v>0.1417142857142859</x:v>
      </x:c>
      <x:c r="H49" s="109" t="n">
        <x:f>H48/G48-1</x:f>
        <x:v>0.09891891891891902</x:v>
      </x:c>
      <x:c r="I49" s="89" t="str">
        <x:v>Model output</x:v>
      </x:c>
      <x:c r="J49" s="89" t="str">
        <x:v>Model output</x:v>
      </x:c>
      <x:c r="K49" s="90" t="str">
        <x:v>Model output</x:v>
      </x:c>
    </x:row>
    <x:row r="50" ht="29" customHeight="1">
      <x:c r="A50" s="88" t="str">
        <x:v>GMD share of national throughput</x:v>
      </x:c>
      <x:c r="B50" s="89" t="str">
        <x:v>%</x:v>
      </x:c>
      <x:c r="C50" s="125" t="n">
        <x:f>C48/C46</x:f>
        <x:v>0.14938235294117647</x:v>
      </x:c>
      <x:c r="D50" s="109" t="n">
        <x:f>'P4 Assumptions'!C57</x:f>
        <x:v>0.154</x:v>
      </x:c>
      <x:c r="E50" s="109" t="n">
        <x:f>'P4 Assumptions'!D57</x:f>
        <x:v>0.16</x:v>
      </x:c>
      <x:c r="F50" s="109" t="n">
        <x:f>'P4 Assumptions'!E57</x:f>
        <x:v>0.175</x:v>
      </x:c>
      <x:c r="G50" s="109" t="n">
        <x:f>'P4 Assumptions'!F57</x:f>
        <x:v>0.185</x:v>
      </x:c>
      <x:c r="H50" s="109" t="n">
        <x:f>'P4 Assumptions'!G57</x:f>
        <x:v>0.19</x:v>
      </x:c>
      <x:c r="I50" s="89" t="str">
        <x:v>Analyst assumption</x:v>
      </x:c>
      <x:c r="J50" s="89" t="str">
        <x:v>Historical link / analyst assumption</x:v>
      </x:c>
      <x:c r="K50" s="90" t="str">
        <x:v>Analyst assumption</x:v>
      </x:c>
    </x:row>
    <x:row r="51" ht="29" customHeight="1">
      <x:c r="A51" s="88" t="str">
        <x:v>Implied port unit/mix/scope proxy</x:v>
      </x:c>
      <x:c r="B51" s="89" t="str">
        <x:v>VND '000/TEU</x:v>
      </x:c>
      <x:c r="C51" s="288" t="n">
        <x:f>'P3 Port Drivers'!G10</x:f>
        <x:v>1034.5004154361095</x:v>
      </x:c>
      <x:c r="D51" s="211" t="n">
        <x:f>C51*(1+D52)</x:f>
        <x:v>1075.880432053554</x:v>
      </x:c>
      <x:c r="E51" s="211" t="n">
        <x:f>D51*(1+E52)</x:f>
        <x:v>1118.9156493356961</x:v>
      </x:c>
      <x:c r="F51" s="211" t="n">
        <x:f>E51*(1+F52)</x:f>
        <x:v>1163.672275309124</x:v>
      </x:c>
      <x:c r="G51" s="211" t="n">
        <x:f>F51*(1+G52)</x:f>
        <x:v>1204.4008049449433</x:v>
      </x:c>
      <x:c r="H51" s="211" t="n">
        <x:f>G51*(1+H52)</x:f>
        <x:v>1246.5548331180162</x:v>
      </x:c>
      <x:c r="I51" s="89" t="str">
        <x:v>2025 proxy rolled by scenario growth</x:v>
      </x:c>
      <x:c r="J51" s="89" t="str">
        <x:v>Model output</x:v>
      </x:c>
      <x:c r="K51" s="90" t="str">
        <x:v>2025 proxy rolled by scenario growth</x:v>
      </x:c>
    </x:row>
    <x:row r="52" ht="29" customHeight="1">
      <x:c r="A52" s="88" t="str">
        <x:v>Unit/mix/scope proxy growth</x:v>
      </x:c>
      <x:c r="B52" s="89" t="str">
        <x:v>%</x:v>
      </x:c>
      <x:c r="C52" s="125" t="n">
        <x:f>'P3 Port Drivers'!G11</x:f>
        <x:v>0.09478481195255428</x:v>
      </x:c>
      <x:c r="D52" s="109" t="n">
        <x:f>'P4 Assumptions'!C58</x:f>
        <x:v>0.04</x:v>
      </x:c>
      <x:c r="E52" s="109" t="n">
        <x:f>'P4 Assumptions'!D58</x:f>
        <x:v>0.04</x:v>
      </x:c>
      <x:c r="F52" s="109" t="n">
        <x:f>'P4 Assumptions'!E58</x:f>
        <x:v>0.04</x:v>
      </x:c>
      <x:c r="G52" s="109" t="n">
        <x:f>'P4 Assumptions'!F58</x:f>
        <x:v>0.035</x:v>
      </x:c>
      <x:c r="H52" s="109" t="n">
        <x:f>'P4 Assumptions'!G58</x:f>
        <x:v>0.035</x:v>
      </x:c>
      <x:c r="I52" s="89" t="str">
        <x:v>Analyst assumption</x:v>
      </x:c>
      <x:c r="J52" s="89" t="str">
        <x:v>Historical link / analyst assumption</x:v>
      </x:c>
      <x:c r="K52" s="90" t="str">
        <x:v>Analyst assumption</x:v>
      </x:c>
    </x:row>
    <x:row r="53" ht="29" customHeight="1">
      <x:c r="A53" s="88" t="str">
        <x:v>Port external revenue</x:v>
      </x:c>
      <x:c r="B53" s="89" t="str">
        <x:v>VND bn</x:v>
      </x:c>
      <x:c r="C53" s="288" t="n">
        <x:f>'P3 Port Drivers'!G8</x:f>
        <x:v>5254.22761</x:v>
      </x:c>
      <x:c r="D53" s="211" t="n">
        <x:f>D48*D51</x:f>
        <x:v>6421.973334144946</x:v>
      </x:c>
      <x:c r="E53" s="211" t="n">
        <x:f>E48*E51</x:f>
        <x:v>7771.755365830685</x:v>
      </x:c>
      <x:c r="F53" s="211" t="n">
        <x:f>F48*F51</x:f>
        <x:v>9724.408901495644</x:v>
      </x:c>
      <x:c r="G53" s="211" t="n">
        <x:f>G48*G51</x:f>
        <x:v>11491.083942668509</x:v>
      </x:c>
      <x:c r="H53" s="211" t="n">
        <x:f>H48*H51</x:f>
        <x:v>13069.74147750576</x:v>
      </x:c>
      <x:c r="I53" s="89" t="str">
        <x:v>Throughput × unit/mix proxy</x:v>
      </x:c>
      <x:c r="J53" s="89" t="str">
        <x:v>Model output</x:v>
      </x:c>
      <x:c r="K53" s="90" t="str">
        <x:v>Throughput × unit/mix proxy</x:v>
      </x:c>
    </x:row>
    <x:row r="54" ht="29" customHeight="1">
      <x:c r="A54" s="88" t="str">
        <x:v>Logistics external revenue</x:v>
      </x:c>
      <x:c r="B54" s="89" t="str">
        <x:v>VND bn</x:v>
      </x:c>
      <x:c r="C54" s="288" t="n">
        <x:f>'P3 Historical IS'!G50</x:f>
        <x:v>693.74057</x:v>
      </x:c>
      <x:c r="D54" s="211" t="n">
        <x:f>C54*(1+'P4 Assumptions'!C59)</x:f>
        <x:v>742.3024099</x:v>
      </x:c>
      <x:c r="E54" s="211" t="n">
        <x:f>D54*(1+'P4 Assumptions'!D59)</x:f>
        <x:v>801.6866026920001</x:v>
      </x:c>
      <x:c r="F54" s="211" t="n">
        <x:f>E54*(1+'P4 Assumptions'!E59)</x:f>
        <x:v>865.8215309073602</x:v>
      </x:c>
      <x:c r="G54" s="211" t="n">
        <x:f>F54*(1+'P4 Assumptions'!F59)</x:f>
        <x:v>926.4290380708754</x:v>
      </x:c>
      <x:c r="H54" s="211" t="n">
        <x:f>G54*(1+'P4 Assumptions'!G59)</x:f>
        <x:v>991.2790707358367</x:v>
      </x:c>
      <x:c r="I54" s="89" t="str">
        <x:v>Separate segment growth</x:v>
      </x:c>
      <x:c r="J54" s="89" t="str">
        <x:v>Model output</x:v>
      </x:c>
      <x:c r="K54" s="90" t="str">
        <x:v>Separate segment growth</x:v>
      </x:c>
    </x:row>
    <x:row r="55" ht="29" customHeight="1">
      <x:c r="A55" s="88" t="str">
        <x:v>Other external revenue</x:v>
      </x:c>
      <x:c r="B55" s="89" t="str">
        <x:v>VND bn</x:v>
      </x:c>
      <x:c r="C55" s="288" t="n">
        <x:f>'P3 Historical IS'!G51</x:f>
        <x:v>8.057116</x:v>
      </x:c>
      <x:c r="D55" s="211" t="n">
        <x:f>C55*(1+'P4 Assumptions'!C60)</x:f>
        <x:v>8.057116</x:v>
      </x:c>
      <x:c r="E55" s="211" t="n">
        <x:f>D55*(1+'P4 Assumptions'!D60)</x:f>
        <x:v>8.057116</x:v>
      </x:c>
      <x:c r="F55" s="211" t="n">
        <x:f>E55*(1+'P4 Assumptions'!E60)</x:f>
        <x:v>8.057116</x:v>
      </x:c>
      <x:c r="G55" s="211" t="n">
        <x:f>F55*(1+'P4 Assumptions'!F60)</x:f>
        <x:v>8.057116</x:v>
      </x:c>
      <x:c r="H55" s="211" t="n">
        <x:f>G55*(1+'P4 Assumptions'!G60)</x:f>
        <x:v>8.057116</x:v>
      </x:c>
      <x:c r="I55" s="89" t="str">
        <x:v>Residual segment</x:v>
      </x:c>
      <x:c r="J55" s="89" t="str">
        <x:v>Model output</x:v>
      </x:c>
      <x:c r="K55" s="90" t="str">
        <x:v>Residual segment</x:v>
      </x:c>
    </x:row>
    <x:row r="56" ht="29" customHeight="1">
      <x:c r="A56" s="459" t="str">
        <x:v>Consolidated net revenue</x:v>
      </x:c>
      <x:c r="B56" s="460" t="str">
        <x:v>VND bn</x:v>
      </x:c>
      <x:c r="C56" s="495" t="n">
        <x:f>'P3 Historical IS'!G6</x:f>
        <x:v>5956.025297015</x:v>
      </x:c>
      <x:c r="D56" s="495" t="n">
        <x:f>SUM(D53:D55)</x:f>
        <x:v>7172.332860044947</x:v>
      </x:c>
      <x:c r="E56" s="495" t="n">
        <x:f>SUM(E53:E55)</x:f>
        <x:v>8581.499084522686</x:v>
      </x:c>
      <x:c r="F56" s="495" t="n">
        <x:f>SUM(F53:F55)</x:f>
        <x:v>10598.287548403005</x:v>
      </x:c>
      <x:c r="G56" s="495" t="n">
        <x:f>SUM(G53:G55)</x:f>
        <x:v>12425.570096739384</x:v>
      </x:c>
      <x:c r="H56" s="495" t="n">
        <x:f>SUM(H53:H55)</x:f>
        <x:v>14069.077664241597</x:v>
      </x:c>
      <x:c r="I56" s="460" t="str">
        <x:v>Sum of external segment revenue</x:v>
      </x:c>
      <x:c r="J56" s="460" t="str">
        <x:v>Model output</x:v>
      </x:c>
      <x:c r="K56" s="460" t="str">
        <x:v>Sum of external segment revenue</x:v>
      </x:c>
    </x:row>
    <x:row r="57" ht="29" customHeight="1">
      <x:c r="A57" s="88" t="str">
        <x:v>Revenue growth</x:v>
      </x:c>
      <x:c r="B57" s="89" t="str">
        <x:v>%</x:v>
      </x:c>
      <x:c r="C57" s="125" t="n">
        <x:f>'GMD Historical'!B12/'GMD Historical'!B11-1</x:f>
        <x:v>0.23261480327991846</x:v>
      </x:c>
      <x:c r="D57" s="109" t="n">
        <x:f>D56/C56-1</x:f>
        <x:v>0.20421464019629454</x:v>
      </x:c>
      <x:c r="E57" s="109" t="n">
        <x:f>E56/D56-1</x:f>
        <x:v>0.1964725078959746</x:v>
      </x:c>
      <x:c r="F57" s="109" t="n">
        <x:f>F56/E56-1</x:f>
        <x:v>0.2350158689077686</x:v>
      </x:c>
      <x:c r="G57" s="109" t="n">
        <x:f>G56/F56-1</x:f>
        <x:v>0.17241299974086122</x:v>
      </x:c>
      <x:c r="H57" s="109" t="n">
        <x:f>H56/G56-1</x:f>
        <x:v>0.13226818203967072</x:v>
      </x:c>
      <x:c r="I57" s="89" t="str">
        <x:v>Model output</x:v>
      </x:c>
      <x:c r="J57" s="89" t="str">
        <x:v>Model output</x:v>
      </x:c>
      <x:c r="K57" s="90" t="str">
        <x:v>Model output</x:v>
      </x:c>
    </x:row>
    <x:row r="58" ht="29" customHeight="1">
      <x:c r="A58" s="88" t="str">
        <x:v>Consolidated operating margin</x:v>
      </x:c>
      <x:c r="B58" s="89" t="str">
        <x:v>%</x:v>
      </x:c>
      <x:c r="C58" s="125" t="n">
        <x:f>'P3 Historical IS'!G13</x:f>
        <x:v>0.27652039677743034</x:v>
      </x:c>
      <x:c r="D58" s="109" t="n">
        <x:f>'P4 Assumptions'!C61</x:f>
        <x:v>0.285</x:v>
      </x:c>
      <x:c r="E58" s="109" t="n">
        <x:f>'P4 Assumptions'!D61</x:f>
        <x:v>0.295</x:v>
      </x:c>
      <x:c r="F58" s="109" t="n">
        <x:f>'P4 Assumptions'!E61</x:f>
        <x:v>0.305</x:v>
      </x:c>
      <x:c r="G58" s="109" t="n">
        <x:f>'P4 Assumptions'!F61</x:f>
        <x:v>0.31</x:v>
      </x:c>
      <x:c r="H58" s="109" t="n">
        <x:f>'P4 Assumptions'!G61</x:f>
        <x:v>0.315</x:v>
      </x:c>
      <x:c r="I58" s="89" t="str">
        <x:v>Before financial/associate/other items</x:v>
      </x:c>
      <x:c r="J58" s="89" t="str">
        <x:v>Historical link / analyst assumption</x:v>
      </x:c>
      <x:c r="K58" s="90" t="str">
        <x:v>Before financial/associate/other items</x:v>
      </x:c>
    </x:row>
    <x:row r="59" ht="29" customHeight="1">
      <x:c r="A59" s="88" t="str">
        <x:v>Consolidated EBIT before financial/associate/other</x:v>
      </x:c>
      <x:c r="B59" s="89" t="str">
        <x:v>VND bn</x:v>
      </x:c>
      <x:c r="C59" s="288" t="n">
        <x:f>'P3 Historical IS'!G12</x:f>
        <x:v>1646.9624783470003</x:v>
      </x:c>
      <x:c r="D59" s="211" t="n">
        <x:f>D56*D58</x:f>
        <x:v>2044.1148651128096</x:v>
      </x:c>
      <x:c r="E59" s="211" t="n">
        <x:f>E56*E58</x:f>
        <x:v>2531.542229934192</x:v>
      </x:c>
      <x:c r="F59" s="211" t="n">
        <x:f>F56*F58</x:f>
        <x:v>3232.4777022629164</x:v>
      </x:c>
      <x:c r="G59" s="211" t="n">
        <x:f>G56*G58</x:f>
        <x:v>3851.926729989209</x:v>
      </x:c>
      <x:c r="H59" s="211" t="n">
        <x:f>H56*H58</x:f>
        <x:v>4431.759464236103</x:v>
      </x:c>
      <x:c r="I59" s="89" t="str">
        <x:v>Revenue × operating margin</x:v>
      </x:c>
      <x:c r="J59" s="89" t="str">
        <x:v>Model output</x:v>
      </x:c>
      <x:c r="K59" s="90" t="str">
        <x:v>Revenue × operating margin</x:v>
      </x:c>
    </x:row>
    <x:row r="60" ht="29" customHeight="1">
      <x:c r="A60" s="88" t="str">
        <x:v>Financial income</x:v>
      </x:c>
      <x:c r="B60" s="89" t="str">
        <x:v>VND bn</x:v>
      </x:c>
      <x:c r="C60" s="288" t="n">
        <x:f>'P3 Historical IS'!G17</x:f>
        <x:v>228.485206429</x:v>
      </x:c>
      <x:c r="D60" s="211" t="n">
        <x:f>'P4 Assumptions'!C62</x:f>
        <x:v>230</x:v>
      </x:c>
      <x:c r="E60" s="211" t="n">
        <x:f>'P4 Assumptions'!D62</x:f>
        <x:v>225</x:v>
      </x:c>
      <x:c r="F60" s="211" t="n">
        <x:f>'P4 Assumptions'!E62</x:f>
        <x:v>220</x:v>
      </x:c>
      <x:c r="G60" s="211" t="n">
        <x:f>'P4 Assumptions'!F62</x:f>
        <x:v>215</x:v>
      </x:c>
      <x:c r="H60" s="211" t="n">
        <x:f>'P4 Assumptions'!G62</x:f>
        <x:v>210</x:v>
      </x:c>
      <x:c r="I60" s="89" t="str">
        <x:v>Analyst assumption</x:v>
      </x:c>
      <x:c r="J60" s="89" t="str">
        <x:v>Historical link / analyst assumption</x:v>
      </x:c>
      <x:c r="K60" s="90" t="str">
        <x:v>Analyst assumption</x:v>
      </x:c>
    </x:row>
    <x:row r="61" ht="29" customHeight="1">
      <x:c r="A61" s="88" t="str">
        <x:v>Financial expense</x:v>
      </x:c>
      <x:c r="B61" s="89" t="str">
        <x:v>VND bn</x:v>
      </x:c>
      <x:c r="C61" s="288" t="n">
        <x:f>'P3 Historical IS'!G18</x:f>
        <x:v>118.711817693</x:v>
      </x:c>
      <x:c r="D61" s="211" t="n">
        <x:f>'P4 Assumptions'!C63</x:f>
        <x:v>115</x:v>
      </x:c>
      <x:c r="E61" s="211" t="n">
        <x:f>'P4 Assumptions'!D63</x:f>
        <x:v>115</x:v>
      </x:c>
      <x:c r="F61" s="211" t="n">
        <x:f>'P4 Assumptions'!E63</x:f>
        <x:v>120</x:v>
      </x:c>
      <x:c r="G61" s="211" t="n">
        <x:f>'P4 Assumptions'!F63</x:f>
        <x:v>125</x:v>
      </x:c>
      <x:c r="H61" s="211" t="n">
        <x:f>'P4 Assumptions'!G63</x:f>
        <x:v>130</x:v>
      </x:c>
      <x:c r="I61" s="89" t="str">
        <x:v>Analyst assumption</x:v>
      </x:c>
      <x:c r="J61" s="89" t="str">
        <x:v>Historical link / analyst assumption</x:v>
      </x:c>
      <x:c r="K61" s="90" t="str">
        <x:v>Analyst assumption</x:v>
      </x:c>
    </x:row>
    <x:row r="62" ht="29" customHeight="1">
      <x:c r="A62" s="88" t="str">
        <x:v>Gemalink associate contribution</x:v>
      </x:c>
      <x:c r="B62" s="89" t="str">
        <x:v>VND bn</x:v>
      </x:c>
      <x:c r="C62" s="288" t="n">
        <x:f>'P3 Associates'!G7</x:f>
        <x:v>826.81</x:v>
      </x:c>
      <x:c r="D62" s="211" t="n">
        <x:f>C62*(1+'P4 Assumptions'!C65)</x:f>
        <x:v>950.8314999999999</x:v>
      </x:c>
      <x:c r="E62" s="211" t="n">
        <x:f>D62*(1+'P4 Assumptions'!D65)</x:f>
        <x:v>1093.456225</x:v>
      </x:c>
      <x:c r="F62" s="211" t="n">
        <x:f>E62*(1+'P4 Assumptions'!E65)</x:f>
        <x:v>1476.1659037499999</x:v>
      </x:c>
      <x:c r="G62" s="211" t="n">
        <x:f>F62*(1+'P4 Assumptions'!F65)</x:f>
        <x:v>1800.9224025749998</x:v>
      </x:c>
      <x:c r="H62" s="211" t="n">
        <x:f>G62*(1+'P4 Assumptions'!G65)</x:f>
        <x:v>2071.0607629612496</x:v>
      </x:c>
      <x:c r="I62" s="89" t="str">
        <x:v>Separate equity-accounted forecast</x:v>
      </x:c>
      <x:c r="J62" s="89" t="str">
        <x:v>Model output</x:v>
      </x:c>
      <x:c r="K62" s="90" t="str">
        <x:v>Separate equity-accounted forecast</x:v>
      </x:c>
    </x:row>
    <x:row r="63" ht="29" customHeight="1">
      <x:c r="A63" s="88" t="str">
        <x:v>SCS associate contribution</x:v>
      </x:c>
      <x:c r="B63" s="89" t="str">
        <x:v>VND bn</x:v>
      </x:c>
      <x:c r="C63" s="288" t="n">
        <x:f>'P3 Associates'!G8</x:f>
        <x:v>258.588</x:v>
      </x:c>
      <x:c r="D63" s="211" t="n">
        <x:f>C63*(1+'P4 Assumptions'!C66)</x:f>
        <x:v>281.86092</x:v>
      </x:c>
      <x:c r="E63" s="211" t="n">
        <x:f>D63*(1+'P4 Assumptions'!D66)</x:f>
        <x:v>307.2284028</x:v>
      </x:c>
      <x:c r="F63" s="211" t="n">
        <x:f>E63*(1+'P4 Assumptions'!E66)</x:f>
        <x:v>334.878959052</x:v>
      </x:c>
      <x:c r="G63" s="211" t="n">
        <x:f>F63*(1+'P4 Assumptions'!F66)</x:f>
        <x:v>361.6692757761601</x:v>
      </x:c>
      <x:c r="H63" s="211" t="n">
        <x:f>G63*(1+'P4 Assumptions'!G66)</x:f>
        <x:v>390.6028178382529</x:v>
      </x:c>
      <x:c r="I63" s="89" t="str">
        <x:v>Separate equity-accounted forecast</x:v>
      </x:c>
      <x:c r="J63" s="89" t="str">
        <x:v>Model output</x:v>
      </x:c>
      <x:c r="K63" s="90" t="str">
        <x:v>Separate equity-accounted forecast</x:v>
      </x:c>
    </x:row>
    <x:row r="64" ht="29" customHeight="1">
      <x:c r="A64" s="88" t="str">
        <x:v>CJ Gemadept Logistics contribution</x:v>
      </x:c>
      <x:c r="B64" s="89" t="str">
        <x:v>VND bn</x:v>
      </x:c>
      <x:c r="C64" s="288" t="n">
        <x:f>'P3 Associates'!G9</x:f>
        <x:v>46.182</x:v>
      </x:c>
      <x:c r="D64" s="211" t="n">
        <x:f>C64*(1+'P4 Assumptions'!C67)</x:f>
        <x:v>49.876560000000005</x:v>
      </x:c>
      <x:c r="E64" s="211" t="n">
        <x:f>D64*(1+'P4 Assumptions'!D67)</x:f>
        <x:v>53.86668480000001</x:v>
      </x:c>
      <x:c r="F64" s="211" t="n">
        <x:f>E64*(1+'P4 Assumptions'!E67)</x:f>
        <x:v>58.17601958400002</x:v>
      </x:c>
      <x:c r="G64" s="211" t="n">
        <x:f>F64*(1+'P4 Assumptions'!F67)</x:f>
        <x:v>62.83010115072002</x:v>
      </x:c>
      <x:c r="H64" s="211" t="n">
        <x:f>G64*(1+'P4 Assumptions'!G67)</x:f>
        <x:v>67.85650924277762</x:v>
      </x:c>
      <x:c r="I64" s="89" t="str">
        <x:v>Separate equity-accounted forecast</x:v>
      </x:c>
      <x:c r="J64" s="89" t="str">
        <x:v>Model output</x:v>
      </x:c>
      <x:c r="K64" s="90" t="str">
        <x:v>Separate equity-accounted forecast</x:v>
      </x:c>
    </x:row>
    <x:row r="65" ht="29" customHeight="1">
      <x:c r="A65" s="88" t="str">
        <x:v>Other associate contribution</x:v>
      </x:c>
      <x:c r="B65" s="89" t="str">
        <x:v>VND bn</x:v>
      </x:c>
      <x:c r="C65" s="288" t="n">
        <x:f>'P3 Associates'!G10</x:f>
        <x:v>26.07937794700001</x:v>
      </x:c>
      <x:c r="D65" s="211" t="n">
        <x:f>C65*(1+'P4 Assumptions'!C68)</x:f>
        <x:v>27.644140623820014</x:v>
      </x:c>
      <x:c r="E65" s="211" t="n">
        <x:f>D65*(1+'P4 Assumptions'!D68)</x:f>
        <x:v>29.302789061249218</x:v>
      </x:c>
      <x:c r="F65" s="211" t="n">
        <x:f>E65*(1+'P4 Assumptions'!E68)</x:f>
        <x:v>31.060956404924173</x:v>
      </x:c>
      <x:c r="G65" s="211" t="n">
        <x:f>F65*(1+'P4 Assumptions'!F68)</x:f>
        <x:v>32.92461378921963</x:v>
      </x:c>
      <x:c r="H65" s="211" t="n">
        <x:f>G65*(1+'P4 Assumptions'!G68)</x:f>
        <x:v>34.900090616572804</x:v>
      </x:c>
      <x:c r="I65" s="89" t="str">
        <x:v>Residual associate forecast</x:v>
      </x:c>
      <x:c r="J65" s="89" t="str">
        <x:v>Model output</x:v>
      </x:c>
      <x:c r="K65" s="90" t="str">
        <x:v>Residual associate forecast</x:v>
      </x:c>
    </x:row>
    <x:row r="66" ht="29" customHeight="1">
      <x:c r="A66" s="88" t="str">
        <x:v>Total associates/JV profit</x:v>
      </x:c>
      <x:c r="B66" s="89" t="str">
        <x:v>VND bn</x:v>
      </x:c>
      <x:c r="C66" s="288" t="n">
        <x:f>'P3 Associates'!G6</x:f>
        <x:v>1157.659377947</x:v>
      </x:c>
      <x:c r="D66" s="211" t="n">
        <x:f>SUM(D62:D65)</x:f>
        <x:v>1310.2131206238198</x:v>
      </x:c>
      <x:c r="E66" s="211" t="n">
        <x:f>SUM(E62:E65)</x:f>
        <x:v>1483.8541016612492</x:v>
      </x:c>
      <x:c r="F66" s="211" t="n">
        <x:f>SUM(F62:F65)</x:f>
        <x:v>1900.281838790924</x:v>
      </x:c>
      <x:c r="G66" s="211" t="n">
        <x:f>SUM(G62:G65)</x:f>
        <x:v>2258.3463932910995</x:v>
      </x:c>
      <x:c r="H66" s="211" t="n">
        <x:f>SUM(H62:H65)</x:f>
        <x:v>2564.420180658853</x:v>
      </x:c>
      <x:c r="I66" s="89" t="str">
        <x:v>Sum of associate components</x:v>
      </x:c>
      <x:c r="J66" s="89" t="str">
        <x:v>Model output</x:v>
      </x:c>
      <x:c r="K66" s="90" t="str">
        <x:v>Sum of associate components</x:v>
      </x:c>
    </x:row>
    <x:row r="67" ht="29" customHeight="1">
      <x:c r="A67" s="88" t="str">
        <x:v>Other profit/(loss)</x:v>
      </x:c>
      <x:c r="B67" s="89" t="str">
        <x:v>VND bn</x:v>
      </x:c>
      <x:c r="C67" s="288" t="n">
        <x:f>'P3 Historical IS'!G21</x:f>
        <x:v>-393.56809844</x:v>
      </x:c>
      <x:c r="D67" s="211" t="n">
        <x:f>'P4 Assumptions'!C64</x:f>
        <x:v>-220</x:v>
      </x:c>
      <x:c r="E67" s="211" t="n">
        <x:f>'P4 Assumptions'!D64</x:f>
        <x:v>-220</x:v>
      </x:c>
      <x:c r="F67" s="211" t="n">
        <x:f>'P4 Assumptions'!E64</x:f>
        <x:v>-220</x:v>
      </x:c>
      <x:c r="G67" s="211" t="n">
        <x:f>'P4 Assumptions'!F64</x:f>
        <x:v>-220</x:v>
      </x:c>
      <x:c r="H67" s="211" t="n">
        <x:f>'P4 Assumptions'!G64</x:f>
        <x:v>-220</x:v>
      </x:c>
      <x:c r="I67" s="89" t="str">
        <x:v>Analyst assumption</x:v>
      </x:c>
      <x:c r="J67" s="89" t="str">
        <x:v>Historical link / analyst assumption</x:v>
      </x:c>
      <x:c r="K67" s="90" t="str">
        <x:v>Analyst assumption</x:v>
      </x:c>
    </x:row>
    <x:row r="68" ht="29" customHeight="1">
      <x:c r="A68" s="459" t="str">
        <x:v>Core PBT</x:v>
      </x:c>
      <x:c r="B68" s="460" t="str">
        <x:v>VND bn</x:v>
      </x:c>
      <x:c r="C68" s="495" t="n">
        <x:f>'P3 Historical IS'!G25</x:f>
        <x:v>2520.827</x:v>
      </x:c>
      <x:c r="D68" s="495" t="n">
        <x:f>D59+D60-D61+D66+D67</x:f>
        <x:v>3249.3279857366297</x:v>
      </x:c>
      <x:c r="E68" s="495" t="n">
        <x:f>E59+E60-E61+E66+E67</x:f>
        <x:v>3905.3963315954416</x:v>
      </x:c>
      <x:c r="F68" s="495" t="n">
        <x:f>F59+F60-F61+F66+F67</x:f>
        <x:v>5012.759541053841</x:v>
      </x:c>
      <x:c r="G68" s="495" t="n">
        <x:f>G59+G60-G61+G66+G67</x:f>
        <x:v>5980.273123280309</x:v>
      </x:c>
      <x:c r="H68" s="495" t="n">
        <x:f>H59+H60-H61+H66+H67</x:f>
        <x:v>6856.179644894955</x:v>
      </x:c>
      <x:c r="I68" s="460" t="str">
        <x:v>EBIT + net finance + associates + other</x:v>
      </x:c>
      <x:c r="J68" s="460" t="str">
        <x:v>Model output</x:v>
      </x:c>
      <x:c r="K68" s="460" t="str">
        <x:v>EBIT + net finance + associates + other</x:v>
      </x:c>
    </x:row>
    <x:row r="69" ht="29" customHeight="1">
      <x:c r="A69" s="88" t="str">
        <x:v>Core PBT margin</x:v>
      </x:c>
      <x:c r="B69" s="89" t="str">
        <x:v>%</x:v>
      </x:c>
      <x:c r="C69" s="125" t="n">
        <x:f>'P3 Historical IS'!G27</x:f>
        <x:v>0.42323980747082635</x:v>
      </x:c>
      <x:c r="D69" s="109" t="n">
        <x:f>D68/D56</x:f>
        <x:v>0.45303641773762676</x:v>
      </x:c>
      <x:c r="E69" s="109" t="n">
        <x:f>E68/E56</x:f>
        <x:v>0.4550948841373284</x:v>
      </x:c>
      <x:c r="F69" s="109" t="n">
        <x:f>F68/F56</x:f>
        <x:v>0.47297825409626526</x:v>
      </x:c>
      <x:c r="G69" s="109" t="n">
        <x:f>G68/G56</x:f>
        <x:v>0.48128762517299734</x:v>
      </x:c>
      <x:c r="H69" s="109" t="n">
        <x:f>H68/H56</x:f>
        <x:v>0.4873226098055336</x:v>
      </x:c>
      <x:c r="I69" s="89" t="str">
        <x:v>Model output</x:v>
      </x:c>
      <x:c r="J69" s="89" t="str">
        <x:v>Model output</x:v>
      </x:c>
      <x:c r="K69" s="90" t="str">
        <x:v>Model output</x:v>
      </x:c>
    </x:row>
    <x:row r="70" ht="29" customHeight="1">
      <x:c r="A70" s="88" t="str">
        <x:v>Effective PBT tax rate</x:v>
      </x:c>
      <x:c r="B70" s="89" t="str">
        <x:v>%</x:v>
      </x:c>
      <x:c r="C70" s="125" t="n">
        <x:f>('P3 Historical IS'!G38-'P3 Historical IS'!G39)/'P3 Historical IS'!G25</x:f>
        <x:v>0.0866001376683128</x:v>
      </x:c>
      <x:c r="D70" s="109" t="n">
        <x:f>'P4 Assumptions'!C69</x:f>
        <x:v>0.09</x:v>
      </x:c>
      <x:c r="E70" s="109" t="n">
        <x:f>'P4 Assumptions'!D69</x:f>
        <x:v>0.09</x:v>
      </x:c>
      <x:c r="F70" s="109" t="n">
        <x:f>'P4 Assumptions'!E69</x:f>
        <x:v>0.09</x:v>
      </x:c>
      <x:c r="G70" s="109" t="n">
        <x:f>'P4 Assumptions'!F69</x:f>
        <x:v>0.09</x:v>
      </x:c>
      <x:c r="H70" s="109" t="n">
        <x:f>'P4 Assumptions'!G69</x:f>
        <x:v>0.09</x:v>
      </x:c>
      <x:c r="I70" s="89" t="str">
        <x:v>Analyst assumption</x:v>
      </x:c>
      <x:c r="J70" s="89" t="str">
        <x:v>Historical link / analyst assumption</x:v>
      </x:c>
      <x:c r="K70" s="90" t="str">
        <x:v>Analyst assumption</x:v>
      </x:c>
    </x:row>
    <x:row r="71" ht="29" customHeight="1">
      <x:c r="A71" s="88" t="str">
        <x:v>Consolidated PAT</x:v>
      </x:c>
      <x:c r="B71" s="89" t="str">
        <x:v>VND bn</x:v>
      </x:c>
      <x:c r="C71" s="288" t="n">
        <x:f>'P3 Historical IS'!G41</x:f>
        <x:v>2302.523181352</x:v>
      </x:c>
      <x:c r="D71" s="211" t="n">
        <x:f>D68*(1-D70)</x:f>
        <x:v>2956.888467020333</x:v>
      </x:c>
      <x:c r="E71" s="211" t="n">
        <x:f>E68*(1-E70)</x:f>
        <x:v>3553.910661751852</x:v>
      </x:c>
      <x:c r="F71" s="211" t="n">
        <x:f>F68*(1-F70)</x:f>
        <x:v>4561.611182358995</x:v>
      </x:c>
      <x:c r="G71" s="211" t="n">
        <x:f>G68*(1-G70)</x:f>
        <x:v>5442.048542185082</x:v>
      </x:c>
      <x:c r="H71" s="211" t="n">
        <x:f>H68*(1-H70)</x:f>
        <x:v>6239.12347685441</x:v>
      </x:c>
      <x:c r="I71" s="89" t="str">
        <x:v>PBT after effective tax</x:v>
      </x:c>
      <x:c r="J71" s="89" t="str">
        <x:v>Model output</x:v>
      </x:c>
      <x:c r="K71" s="90" t="str">
        <x:v>PBT after effective tax</x:v>
      </x:c>
    </x:row>
    <x:row r="72" ht="29" customHeight="1">
      <x:c r="A72" s="88" t="str">
        <x:v>NCI share of PAT</x:v>
      </x:c>
      <x:c r="B72" s="89" t="str">
        <x:v>%</x:v>
      </x:c>
      <x:c r="C72" s="125" t="n">
        <x:f>'P3 Historical IS'!G44/'P3 Historical IS'!G41</x:f>
        <x:v>0.23751915311222802</x:v>
      </x:c>
      <x:c r="D72" s="109" t="n">
        <x:f>'P4 Assumptions'!C70</x:f>
        <x:v>0.2</x:v>
      </x:c>
      <x:c r="E72" s="109" t="n">
        <x:f>'P4 Assumptions'!D70</x:f>
        <x:v>0.2</x:v>
      </x:c>
      <x:c r="F72" s="109" t="n">
        <x:f>'P4 Assumptions'!E70</x:f>
        <x:v>0.2</x:v>
      </x:c>
      <x:c r="G72" s="109" t="n">
        <x:f>'P4 Assumptions'!F70</x:f>
        <x:v>0.2</x:v>
      </x:c>
      <x:c r="H72" s="109" t="n">
        <x:f>'P4 Assumptions'!G70</x:f>
        <x:v>0.2</x:v>
      </x:c>
      <x:c r="I72" s="89" t="str">
        <x:v>Analyst assumption</x:v>
      </x:c>
      <x:c r="J72" s="89" t="str">
        <x:v>Historical link / analyst assumption</x:v>
      </x:c>
      <x:c r="K72" s="90" t="str">
        <x:v>Analyst assumption</x:v>
      </x:c>
    </x:row>
    <x:row r="73" ht="29" customHeight="1">
      <x:c r="A73" s="88" t="str">
        <x:v>NCI PAT</x:v>
      </x:c>
      <x:c r="B73" s="89" t="str">
        <x:v>VND bn</x:v>
      </x:c>
      <x:c r="C73" s="288" t="n">
        <x:f>'P3 Historical IS'!G44</x:f>
        <x:v>546.893356056</x:v>
      </x:c>
      <x:c r="D73" s="211" t="n">
        <x:f>D71*D72</x:f>
        <x:v>591.3776934040666</x:v>
      </x:c>
      <x:c r="E73" s="211" t="n">
        <x:f>E71*E72</x:f>
        <x:v>710.7821323503704</x:v>
      </x:c>
      <x:c r="F73" s="211" t="n">
        <x:f>F71*F72</x:f>
        <x:v>912.3222364717991</x:v>
      </x:c>
      <x:c r="G73" s="211" t="n">
        <x:f>G71*G72</x:f>
        <x:v>1088.4097084370164</x:v>
      </x:c>
      <x:c r="H73" s="211" t="n">
        <x:f>H71*H72</x:f>
        <x:v>1247.8246953708822</x:v>
      </x:c>
      <x:c r="I73" s="89" t="str">
        <x:v>PAT × NCI share</x:v>
      </x:c>
      <x:c r="J73" s="89" t="str">
        <x:v>Model output</x:v>
      </x:c>
      <x:c r="K73" s="90" t="str">
        <x:v>PAT × NCI share</x:v>
      </x:c>
    </x:row>
    <x:row r="74" ht="29" customHeight="1">
      <x:c r="A74" s="499" t="str">
        <x:v>Parent PAT</x:v>
      </x:c>
      <x:c r="B74" s="500" t="str">
        <x:v>VND bn</x:v>
      </x:c>
      <x:c r="C74" s="501" t="n">
        <x:f>'P3 Historical IS'!G43</x:f>
        <x:v>1755.629825296</x:v>
      </x:c>
      <x:c r="D74" s="501" t="n">
        <x:f>D71-D73</x:f>
        <x:v>2365.5107736162663</x:v>
      </x:c>
      <x:c r="E74" s="501" t="n">
        <x:f>E71-E73</x:f>
        <x:v>2843.1285294014815</x:v>
      </x:c>
      <x:c r="F74" s="501" t="n">
        <x:f>F71-F73</x:f>
        <x:v>3649.2889458871964</x:v>
      </x:c>
      <x:c r="G74" s="501" t="n">
        <x:f>G71-G73</x:f>
        <x:v>4353.638833748066</x:v>
      </x:c>
      <x:c r="H74" s="501" t="n">
        <x:f>H71-H73</x:f>
        <x:v>4991.298781483528</x:v>
      </x:c>
      <x:c r="I74" s="500" t="str">
        <x:v>PAT less NCI</x:v>
      </x:c>
      <x:c r="J74" s="500" t="str">
        <x:v>Model output</x:v>
      </x:c>
      <x:c r="K74" s="500" t="str">
        <x:v>PAT less NCI</x:v>
      </x:c>
    </x:row>
    <x:row r="75" ht="29" customHeight="1">
      <x:c r="A75" s="502" t="str">
        <x:v>EPS</x:v>
      </x:c>
      <x:c r="B75" s="503" t="str">
        <x:v>VND/share</x:v>
      </x:c>
      <x:c r="C75" s="504" t="n">
        <x:f>C74*1000/'P4 Assumptions'!$C$18</x:f>
        <x:v>4116.412564290392</x:v>
      </x:c>
      <x:c r="D75" s="504" t="n">
        <x:f>D74*1000/'P4 Assumptions'!$C$18</x:f>
        <x:v>5546.396016504533</x:v>
      </x:c>
      <x:c r="E75" s="504" t="n">
        <x:f>E74*1000/'P4 Assumptions'!$C$18</x:f>
        <x:v>6666.262916983373</x:v>
      </x:c>
      <x:c r="F75" s="504" t="n">
        <x:f>F74*1000/'P4 Assumptions'!$C$18</x:f>
        <x:v>8556.46141978898</x:v>
      </x:c>
      <x:c r="G75" s="504" t="n">
        <x:f>G74*1000/'P4 Assumptions'!$C$18</x:f>
        <x:v>10207.945511862988</x:v>
      </x:c>
      <x:c r="H75" s="504" t="n">
        <x:f>H74*1000/'P4 Assumptions'!$C$18</x:f>
        <x:v>11703.062183260648</x:v>
      </x:c>
      <x:c r="I75" s="503" t="str">
        <x:v>Parent PAT divided by listed shares</x:v>
      </x:c>
      <x:c r="J75" s="503" t="str">
        <x:v>Model output</x:v>
      </x:c>
      <x:c r="K75" s="503" t="str">
        <x:v>Parent PAT divided by listed shares</x:v>
      </x:c>
    </x:row>
    <x:row r="76" ht="29" customHeight="1">
      <x:c r="A76" s="88" t="str">
        <x:v>D&amp;A</x:v>
      </x:c>
      <x:c r="B76" s="89" t="str">
        <x:v>VND bn</x:v>
      </x:c>
      <x:c r="C76" s="288" t="n">
        <x:f>'P3 Cash Flow'!G7</x:f>
        <x:v>415.219036556</x:v>
      </x:c>
      <x:c r="D76" s="211" t="n">
        <x:f>'P4 Assumptions'!C71</x:f>
        <x:v>520</x:v>
      </x:c>
      <x:c r="E76" s="211" t="n">
        <x:f>'P4 Assumptions'!D71</x:f>
        <x:v>620</x:v>
      </x:c>
      <x:c r="F76" s="211" t="n">
        <x:f>'P4 Assumptions'!E71</x:f>
        <x:v>750</x:v>
      </x:c>
      <x:c r="G76" s="211" t="n">
        <x:f>'P4 Assumptions'!F71</x:f>
        <x:v>850</x:v>
      </x:c>
      <x:c r="H76" s="211" t="n">
        <x:f>'P4 Assumptions'!G71</x:f>
        <x:v>920</x:v>
      </x:c>
      <x:c r="I76" s="89" t="str">
        <x:v>Analyst assumption</x:v>
      </x:c>
      <x:c r="J76" s="89" t="str">
        <x:v>Historical link / analyst assumption</x:v>
      </x:c>
      <x:c r="K76" s="90" t="str">
        <x:v>Analyst assumption</x:v>
      </x:c>
    </x:row>
    <x:row r="77" ht="29" customHeight="1">
      <x:c r="A77" s="88" t="str">
        <x:v>Cash capex</x:v>
      </x:c>
      <x:c r="B77" s="89" t="str">
        <x:v>VND bn</x:v>
      </x:c>
      <x:c r="C77" s="288" t="n">
        <x:f>'P3 Cash Flow'!G8</x:f>
        <x:v>1676.123112351</x:v>
      </x:c>
      <x:c r="D77" s="211" t="n">
        <x:f>'P4 Assumptions'!C72</x:f>
        <x:v>1450</x:v>
      </x:c>
      <x:c r="E77" s="211" t="n">
        <x:f>'P4 Assumptions'!D72</x:f>
        <x:v>1250</x:v>
      </x:c>
      <x:c r="F77" s="211" t="n">
        <x:f>'P4 Assumptions'!E72</x:f>
        <x:v>1050</x:v>
      </x:c>
      <x:c r="G77" s="211" t="n">
        <x:f>'P4 Assumptions'!F72</x:f>
        <x:v>900</x:v>
      </x:c>
      <x:c r="H77" s="211" t="n">
        <x:f>'P4 Assumptions'!G72</x:f>
        <x:v>850</x:v>
      </x:c>
      <x:c r="I77" s="89" t="str">
        <x:v>Analyst assumption</x:v>
      </x:c>
      <x:c r="J77" s="89" t="str">
        <x:v>Historical link / analyst assumption</x:v>
      </x:c>
      <x:c r="K77" s="90" t="str">
        <x:v>Analyst assumption</x:v>
      </x:c>
    </x:row>
    <x:row r="78" ht="29" customHeight="1">
      <x:c r="A78" s="88" t="str">
        <x:v>Cash investment in NWC</x:v>
      </x:c>
      <x:c r="B78" s="89" t="str">
        <x:v>VND bn</x:v>
      </x:c>
      <x:c r="C78" s="288"/>
      <x:c r="D78" s="211" t="n">
        <x:f>MAX(D56-C56,0)*'P4 Assumptions'!C73</x:f>
        <x:v>30.40768907574866</x:v>
      </x:c>
      <x:c r="E78" s="211" t="n">
        <x:f>MAX(E56-D56,0)*'P4 Assumptions'!D73</x:f>
        <x:v>35.229155611943476</x:v>
      </x:c>
      <x:c r="F78" s="211" t="n">
        <x:f>MAX(F56-E56,0)*'P4 Assumptions'!E73</x:f>
        <x:v>50.419711597007975</x:v>
      </x:c>
      <x:c r="G78" s="211" t="n">
        <x:f>MAX(G56-F56,0)*'P4 Assumptions'!F73</x:f>
        <x:v>45.68206370840949</x:v>
      </x:c>
      <x:c r="H78" s="211" t="n">
        <x:f>MAX(H56-G56,0)*'P4 Assumptions'!G73</x:f>
        <x:v>41.08768918755532</x:v>
      </x:c>
      <x:c r="I78" s="89" t="str">
        <x:v>Incremental revenue × NWC rate</x:v>
      </x:c>
      <x:c r="J78" s="89" t="str">
        <x:v>Model output</x:v>
      </x:c>
      <x:c r="K78" s="90" t="str">
        <x:v>Incremental revenue × NWC rate</x:v>
      </x:c>
    </x:row>
    <x:row r="79" ht="29" customHeight="1">
      <x:c r="A79" s="88" t="str">
        <x:v>Statutory tax rate on EBIT</x:v>
      </x:c>
      <x:c r="B79" s="89" t="str">
        <x:v>%</x:v>
      </x:c>
      <x:c r="C79" s="125" t="n">
        <x:f>'P4 Assumptions'!C74</x:f>
        <x:v>0.2</x:v>
      </x:c>
      <x:c r="D79" s="109" t="n">
        <x:f>'P4 Assumptions'!C74</x:f>
        <x:v>0.2</x:v>
      </x:c>
      <x:c r="E79" s="109" t="n">
        <x:f>'P4 Assumptions'!D74</x:f>
        <x:v>0.2</x:v>
      </x:c>
      <x:c r="F79" s="109" t="n">
        <x:f>'P4 Assumptions'!E74</x:f>
        <x:v>0.2</x:v>
      </x:c>
      <x:c r="G79" s="109" t="n">
        <x:f>'P4 Assumptions'!F74</x:f>
        <x:v>0.2</x:v>
      </x:c>
      <x:c r="H79" s="109" t="n">
        <x:f>'P4 Assumptions'!G74</x:f>
        <x:v>0.2</x:v>
      </x:c>
      <x:c r="I79" s="89" t="str">
        <x:v>FCFF tax assumption</x:v>
      </x:c>
      <x:c r="J79" s="89" t="str">
        <x:v>Historical link / analyst assumption</x:v>
      </x:c>
      <x:c r="K79" s="90" t="str">
        <x:v>FCFF tax assumption</x:v>
      </x:c>
    </x:row>
    <x:row r="80" ht="29" customHeight="1">
      <x:c r="A80" s="499" t="str">
        <x:v>FCFF</x:v>
      </x:c>
      <x:c r="B80" s="500" t="str">
        <x:v>VND bn</x:v>
      </x:c>
      <x:c r="C80" s="501"/>
      <x:c r="D80" s="501" t="n">
        <x:f>D59*(1-D79)+D76-D77-D78</x:f>
        <x:v>674.8842030144989</x:v>
      </x:c>
      <x:c r="E80" s="501" t="n">
        <x:f>E59*(1-E79)+E76-E77-E78</x:f>
        <x:v>1360.0046283354104</x:v>
      </x:c>
      <x:c r="F80" s="501" t="n">
        <x:f>F59*(1-F79)+F76-F77-F78</x:f>
        <x:v>2235.5624502133255</x:v>
      </x:c>
      <x:c r="G80" s="501" t="n">
        <x:f>G59*(1-G79)+G76-G77-G78</x:f>
        <x:v>2985.859320282958</x:v>
      </x:c>
      <x:c r="H80" s="501" t="n">
        <x:f>H59*(1-H79)+H76-H77-H78</x:f>
        <x:v>3574.319882201327</x:v>
      </x:c>
      <x:c r="I80" s="500" t="str">
        <x:v>EBIT after statutory tax + D&amp;A - capex - NWC</x:v>
      </x:c>
      <x:c r="J80" s="500" t="str">
        <x:v>Model output</x:v>
      </x:c>
      <x:c r="K80" s="500" t="str">
        <x:v>EBIT after statutory tax + D&amp;A - capex - NWC</x:v>
      </x:c>
    </x:row>
    <x:row r="81" ht="29" customHeight="1">
      <x:c r="A81" s="502" t="str">
        <x:v>FCFF margin</x:v>
      </x:c>
      <x:c r="B81" s="503" t="str">
        <x:v>%</x:v>
      </x:c>
      <x:c r="C81" s="514"/>
      <x:c r="D81" s="514" t="n">
        <x:f>D80/D56</x:f>
        <x:v>0.09409549391859508</x:v>
      </x:c>
      <x:c r="E81" s="514" t="n">
        <x:f>E80/E56</x:f>
        <x:v>0.15848100838095652</x:v>
      </x:c>
      <x:c r="F81" s="514" t="n">
        <x:f>F80/F56</x:f>
        <x:v>0.2109361951167469</x:v>
      </x:c>
      <x:c r="G81" s="514" t="n">
        <x:f>G80/G56</x:f>
        <x:v>0.2402995836035308</x:v>
      </x:c>
      <x:c r="H81" s="514" t="n">
        <x:f>H80/H56</x:f>
        <x:v>0.2540550253188188</x:v>
      </x:c>
      <x:c r="I81" s="503" t="str">
        <x:v>FCFF divided by revenue</x:v>
      </x:c>
      <x:c r="J81" s="503" t="str">
        <x:v>Model output</x:v>
      </x:c>
      <x:c r="K81" s="503" t="str">
        <x:v>FCFF divided by revenue</x:v>
      </x:c>
    </x:row>
    <x:row r="84" ht="22" customHeight="1">
      <x:c r="A84" s="449" t="str">
        <x:v>Bear case — 2025A to 2030E</x:v>
      </x:c>
      <x:c r="B84" s="449" t="str">
        <x:v>Bear case — 2025A to 2030E</x:v>
      </x:c>
      <x:c r="C84" s="449" t="str">
        <x:v>Bear case — 2025A to 2030E</x:v>
      </x:c>
      <x:c r="D84" s="449" t="str">
        <x:v>Bear case — 2025A to 2030E</x:v>
      </x:c>
      <x:c r="E84" s="449" t="str">
        <x:v>Bear case — 2025A to 2030E</x:v>
      </x:c>
      <x:c r="F84" s="449" t="str">
        <x:v>Bear case — 2025A to 2030E</x:v>
      </x:c>
      <x:c r="G84" s="449" t="str">
        <x:v>Bear case — 2025A to 2030E</x:v>
      </x:c>
      <x:c r="H84" s="449" t="str">
        <x:v>Bear case — 2025A to 2030E</x:v>
      </x:c>
      <x:c r="I84" s="449" t="str">
        <x:v>Bear case — 2025A to 2030E</x:v>
      </x:c>
      <x:c r="J84" s="449" t="str">
        <x:v>Bear case — 2025A to 2030E</x:v>
      </x:c>
      <x:c r="K84" s="449" t="str">
        <x:v>Bear case — 2025A to 2030E</x:v>
      </x:c>
    </x:row>
    <x:row r="85" ht="32" customHeight="1">
      <x:c r="A85" s="421" t="str">
        <x:v>Metric</x:v>
      </x:c>
      <x:c r="B85" s="421" t="str">
        <x:v>Unit</x:v>
      </x:c>
      <x:c r="C85" s="491" t="n">
        <x:v>46022</x:v>
      </x:c>
      <x:c r="D85" s="433" t="n">
        <x:v>46387</x:v>
      </x:c>
      <x:c r="E85" s="433" t="n">
        <x:v>46752</x:v>
      </x:c>
      <x:c r="F85" s="433" t="n">
        <x:v>47118</x:v>
      </x:c>
      <x:c r="G85" s="433" t="n">
        <x:v>47483</x:v>
      </x:c>
      <x:c r="H85" s="433" t="n">
        <x:v>47848</x:v>
      </x:c>
      <x:c r="I85" s="421" t="str">
        <x:v>Source / driver</x:v>
      </x:c>
      <x:c r="J85" s="421" t="str">
        <x:v>Data class</x:v>
      </x:c>
      <x:c r="K85" s="421" t="str">
        <x:v>Audit note</x:v>
      </x:c>
    </x:row>
    <x:row r="86" ht="29" customHeight="1">
      <x:c r="A86" s="85" t="str">
        <x:v>National container throughput</x:v>
      </x:c>
      <x:c r="B86" s="86" t="str">
        <x:v>m TEU</x:v>
      </x:c>
      <x:c r="C86" s="317" t="n">
        <x:f>'P4 Assumptions'!C6</x:f>
        <x:v>34</x:v>
      </x:c>
      <x:c r="D86" s="133" t="n">
        <x:f>C86*(1+D87)</x:f>
        <x:v>35.7</x:v>
      </x:c>
      <x:c r="E86" s="133" t="n">
        <x:f>D86*(1+E87)</x:f>
        <x:v>36.771</x:v>
      </x:c>
      <x:c r="F86" s="133" t="n">
        <x:f>E86*(1+F87)</x:f>
        <x:v>37.50642</x:v>
      </x:c>
      <x:c r="G86" s="133" t="n">
        <x:f>F86*(1+G87)</x:f>
        <x:v>38.6316126</x:v>
      </x:c>
      <x:c r="H86" s="133" t="n">
        <x:f>G86*(1+H87)</x:f>
        <x:v>40.176877104</x:v>
      </x:c>
      <x:c r="I86" s="86" t="str">
        <x:v>Macro-to-volume</x:v>
      </x:c>
      <x:c r="J86" s="86" t="str">
        <x:v>Model output</x:v>
      </x:c>
      <x:c r="K86" s="87" t="str">
        <x:v>Macro-to-volume</x:v>
      </x:c>
    </x:row>
    <x:row r="87" ht="29" customHeight="1">
      <x:c r="A87" s="88" t="str">
        <x:v>National throughput growth</x:v>
      </x:c>
      <x:c r="B87" s="89" t="str">
        <x:v>%</x:v>
      </x:c>
      <x:c r="C87" s="125"/>
      <x:c r="D87" s="109" t="n">
        <x:f>'P4 Assumptions'!C80</x:f>
        <x:v>0.05</x:v>
      </x:c>
      <x:c r="E87" s="109" t="n">
        <x:f>'P4 Assumptions'!D80</x:f>
        <x:v>0.03</x:v>
      </x:c>
      <x:c r="F87" s="109" t="n">
        <x:f>'P4 Assumptions'!E80</x:f>
        <x:v>0.02</x:v>
      </x:c>
      <x:c r="G87" s="109" t="n">
        <x:f>'P4 Assumptions'!F80</x:f>
        <x:v>0.03</x:v>
      </x:c>
      <x:c r="H87" s="109" t="n">
        <x:f>'P4 Assumptions'!G80</x:f>
        <x:v>0.04</x:v>
      </x:c>
      <x:c r="I87" s="89" t="str">
        <x:v>Analyst assumption</x:v>
      </x:c>
      <x:c r="J87" s="89" t="str">
        <x:v>Historical link / analyst assumption</x:v>
      </x:c>
      <x:c r="K87" s="90" t="str">
        <x:v>Analyst assumption</x:v>
      </x:c>
    </x:row>
    <x:row r="88" ht="29" customHeight="1">
      <x:c r="A88" s="88" t="str">
        <x:v>GMD system throughput</x:v>
      </x:c>
      <x:c r="B88" s="89" t="str">
        <x:v>m TEU</x:v>
      </x:c>
      <x:c r="C88" s="348" t="n">
        <x:f>'P3 Port Drivers'!G6</x:f>
        <x:v>5.079</x:v>
      </x:c>
      <x:c r="D88" s="134" t="n">
        <x:f>D86*D90</x:f>
        <x:v>5.2836</x:v>
      </x:c>
      <x:c r="E88" s="134" t="n">
        <x:f>E86*E90</x:f>
        <x:v>5.3685659999999995</x:v>
      </x:c>
      <x:c r="F88" s="134" t="n">
        <x:f>F86*F90</x:f>
        <x:v>5.550950159999999</x:v>
      </x:c>
      <x:c r="G88" s="134" t="n">
        <x:f>G86*G90</x:f>
        <x:v>5.794741889999999</x:v>
      </x:c>
      <x:c r="H88" s="134" t="n">
        <x:f>H86*H90</x:f>
        <x:v>6.106885319808</x:v>
      </x:c>
      <x:c r="I88" s="89" t="str">
        <x:v>National TEU × GMD share</x:v>
      </x:c>
      <x:c r="J88" s="89" t="str">
        <x:v>Model output</x:v>
      </x:c>
      <x:c r="K88" s="90" t="str">
        <x:v>National TEU × GMD share</x:v>
      </x:c>
    </x:row>
    <x:row r="89" ht="29" customHeight="1">
      <x:c r="A89" s="88" t="str">
        <x:v>GMD throughput growth</x:v>
      </x:c>
      <x:c r="B89" s="89" t="str">
        <x:v>%</x:v>
      </x:c>
      <x:c r="C89" s="125" t="n">
        <x:f>'P3 Port Drivers'!G7</x:f>
        <x:v>0.14520856820744088</x:v>
      </x:c>
      <x:c r="D89" s="109" t="n">
        <x:f>D88/C88-1</x:f>
        <x:v>0.04028352037802718</x:v>
      </x:c>
      <x:c r="E89" s="109" t="n">
        <x:f>E88/D88-1</x:f>
        <x:v>0.016081081081080972</x:v>
      </x:c>
      <x:c r="F89" s="109" t="n">
        <x:f>F88/E88-1</x:f>
        <x:v>0.03397260273972602</x:v>
      </x:c>
      <x:c r="G89" s="109" t="n">
        <x:f>G88/F88-1</x:f>
        <x:v>0.04391891891891886</x:v>
      </x:c>
      <x:c r="H89" s="109" t="n">
        <x:f>H88/G88-1</x:f>
        <x:v>0.05386666666666673</x:v>
      </x:c>
      <x:c r="I89" s="89" t="str">
        <x:v>Model output</x:v>
      </x:c>
      <x:c r="J89" s="89" t="str">
        <x:v>Model output</x:v>
      </x:c>
      <x:c r="K89" s="90" t="str">
        <x:v>Model output</x:v>
      </x:c>
    </x:row>
    <x:row r="90" ht="29" customHeight="1">
      <x:c r="A90" s="88" t="str">
        <x:v>GMD share of national throughput</x:v>
      </x:c>
      <x:c r="B90" s="89" t="str">
        <x:v>%</x:v>
      </x:c>
      <x:c r="C90" s="125" t="n">
        <x:f>C88/C86</x:f>
        <x:v>0.14938235294117647</x:v>
      </x:c>
      <x:c r="D90" s="109" t="n">
        <x:f>'P4 Assumptions'!C81</x:f>
        <x:v>0.148</x:v>
      </x:c>
      <x:c r="E90" s="109" t="n">
        <x:f>'P4 Assumptions'!D81</x:f>
        <x:v>0.146</x:v>
      </x:c>
      <x:c r="F90" s="109" t="n">
        <x:f>'P4 Assumptions'!E81</x:f>
        <x:v>0.148</x:v>
      </x:c>
      <x:c r="G90" s="109" t="n">
        <x:f>'P4 Assumptions'!F81</x:f>
        <x:v>0.15</x:v>
      </x:c>
      <x:c r="H90" s="109" t="n">
        <x:f>'P4 Assumptions'!G81</x:f>
        <x:v>0.152</x:v>
      </x:c>
      <x:c r="I90" s="89" t="str">
        <x:v>Analyst assumption</x:v>
      </x:c>
      <x:c r="J90" s="89" t="str">
        <x:v>Historical link / analyst assumption</x:v>
      </x:c>
      <x:c r="K90" s="90" t="str">
        <x:v>Analyst assumption</x:v>
      </x:c>
    </x:row>
    <x:row r="91" ht="29" customHeight="1">
      <x:c r="A91" s="88" t="str">
        <x:v>Implied port unit/mix/scope proxy</x:v>
      </x:c>
      <x:c r="B91" s="89" t="str">
        <x:v>VND '000/TEU</x:v>
      </x:c>
      <x:c r="C91" s="288" t="n">
        <x:f>'P3 Port Drivers'!G10</x:f>
        <x:v>1034.5004154361095</x:v>
      </x:c>
      <x:c r="D91" s="211" t="n">
        <x:f>C91*(1+D92)</x:f>
        <x:v>1024.1554112817485</x:v>
      </x:c>
      <x:c r="E91" s="211" t="n">
        <x:f>D91*(1+E92)</x:f>
        <x:v>1024.1554112817485</x:v>
      </x:c>
      <x:c r="F91" s="211" t="n">
        <x:f>E91*(1+F92)</x:f>
        <x:v>1034.396965394566</x:v>
      </x:c>
      <x:c r="G91" s="211" t="n">
        <x:f>F91*(1+G92)</x:f>
        <x:v>1055.0849047024574</x:v>
      </x:c>
      <x:c r="H91" s="211" t="n">
        <x:f>G91*(1+H92)</x:f>
        <x:v>1076.1866027965066</x:v>
      </x:c>
      <x:c r="I91" s="89" t="str">
        <x:v>2025 proxy rolled by scenario growth</x:v>
      </x:c>
      <x:c r="J91" s="89" t="str">
        <x:v>Model output</x:v>
      </x:c>
      <x:c r="K91" s="90" t="str">
        <x:v>2025 proxy rolled by scenario growth</x:v>
      </x:c>
    </x:row>
    <x:row r="92" ht="29" customHeight="1">
      <x:c r="A92" s="88" t="str">
        <x:v>Unit/mix/scope proxy growth</x:v>
      </x:c>
      <x:c r="B92" s="89" t="str">
        <x:v>%</x:v>
      </x:c>
      <x:c r="C92" s="125" t="n">
        <x:f>'P3 Port Drivers'!G11</x:f>
        <x:v>0.09478481195255428</x:v>
      </x:c>
      <x:c r="D92" s="109" t="n">
        <x:f>'P4 Assumptions'!C82</x:f>
        <x:v>-0.01</x:v>
      </x:c>
      <x:c r="E92" s="109" t="n">
        <x:f>'P4 Assumptions'!D82</x:f>
        <x:v>0</x:v>
      </x:c>
      <x:c r="F92" s="109" t="n">
        <x:f>'P4 Assumptions'!E82</x:f>
        <x:v>0.01</x:v>
      </x:c>
      <x:c r="G92" s="109" t="n">
        <x:f>'P4 Assumptions'!F82</x:f>
        <x:v>0.02</x:v>
      </x:c>
      <x:c r="H92" s="109" t="n">
        <x:f>'P4 Assumptions'!G82</x:f>
        <x:v>0.02</x:v>
      </x:c>
      <x:c r="I92" s="89" t="str">
        <x:v>Analyst assumption</x:v>
      </x:c>
      <x:c r="J92" s="89" t="str">
        <x:v>Historical link / analyst assumption</x:v>
      </x:c>
      <x:c r="K92" s="90" t="str">
        <x:v>Analyst assumption</x:v>
      </x:c>
    </x:row>
    <x:row r="93" ht="29" customHeight="1">
      <x:c r="A93" s="88" t="str">
        <x:v>Port external revenue</x:v>
      </x:c>
      <x:c r="B93" s="89" t="str">
        <x:v>VND bn</x:v>
      </x:c>
      <x:c r="C93" s="288" t="n">
        <x:f>'P3 Port Drivers'!G8</x:f>
        <x:v>5254.22761</x:v>
      </x:c>
      <x:c r="D93" s="211" t="n">
        <x:f>D88*D91</x:f>
        <x:v>5411.227531048246</x:v>
      </x:c>
      <x:c r="E93" s="211" t="n">
        <x:f>E88*E91</x:f>
        <x:v>5498.245919723211</x:v>
      </x:c>
      <x:c r="F93" s="211" t="n">
        <x:f>F88*F91</x:f>
        <x:v>5741.88600056048</x:v>
      </x:c>
      <x:c r="G93" s="211" t="n">
        <x:f>G88*G91</x:f>
        <x:v>6113.944694785987</x:v>
      </x:c>
      <x:c r="H93" s="211" t="n">
        <x:f>H88*H91</x:f>
        <x:v>6572.148165992029</x:v>
      </x:c>
      <x:c r="I93" s="89" t="str">
        <x:v>Throughput × unit/mix proxy</x:v>
      </x:c>
      <x:c r="J93" s="89" t="str">
        <x:v>Model output</x:v>
      </x:c>
      <x:c r="K93" s="90" t="str">
        <x:v>Throughput × unit/mix proxy</x:v>
      </x:c>
    </x:row>
    <x:row r="94" ht="29" customHeight="1">
      <x:c r="A94" s="88" t="str">
        <x:v>Logistics external revenue</x:v>
      </x:c>
      <x:c r="B94" s="89" t="str">
        <x:v>VND bn</x:v>
      </x:c>
      <x:c r="C94" s="288" t="n">
        <x:f>'P3 Historical IS'!G50</x:f>
        <x:v>693.74057</x:v>
      </x:c>
      <x:c r="D94" s="211" t="n">
        <x:f>C94*(1+'P4 Assumptions'!C83)</x:f>
        <x:v>693.74057</x:v>
      </x:c>
      <x:c r="E94" s="211" t="n">
        <x:f>D94*(1+'P4 Assumptions'!D83)</x:f>
        <x:v>707.6153814</x:v>
      </x:c>
      <x:c r="F94" s="211" t="n">
        <x:f>E94*(1+'P4 Assumptions'!E83)</x:f>
        <x:v>728.8438428420001</x:v>
      </x:c>
      <x:c r="G94" s="211" t="n">
        <x:f>F94*(1+'P4 Assumptions'!F83)</x:f>
        <x:v>757.99759655568</x:v>
      </x:c>
      <x:c r="H94" s="211" t="n">
        <x:f>G94*(1+'P4 Assumptions'!G83)</x:f>
        <x:v>788.3175004179072</x:v>
      </x:c>
      <x:c r="I94" s="89" t="str">
        <x:v>Separate segment growth</x:v>
      </x:c>
      <x:c r="J94" s="89" t="str">
        <x:v>Model output</x:v>
      </x:c>
      <x:c r="K94" s="90" t="str">
        <x:v>Separate segment growth</x:v>
      </x:c>
    </x:row>
    <x:row r="95" ht="29" customHeight="1">
      <x:c r="A95" s="88" t="str">
        <x:v>Other external revenue</x:v>
      </x:c>
      <x:c r="B95" s="89" t="str">
        <x:v>VND bn</x:v>
      </x:c>
      <x:c r="C95" s="288" t="n">
        <x:f>'P3 Historical IS'!G51</x:f>
        <x:v>8.057116</x:v>
      </x:c>
      <x:c r="D95" s="211" t="n">
        <x:f>C95*(1+'P4 Assumptions'!C84)</x:f>
        <x:v>8.057116</x:v>
      </x:c>
      <x:c r="E95" s="211" t="n">
        <x:f>D95*(1+'P4 Assumptions'!D84)</x:f>
        <x:v>8.057116</x:v>
      </x:c>
      <x:c r="F95" s="211" t="n">
        <x:f>E95*(1+'P4 Assumptions'!E84)</x:f>
        <x:v>8.057116</x:v>
      </x:c>
      <x:c r="G95" s="211" t="n">
        <x:f>F95*(1+'P4 Assumptions'!F84)</x:f>
        <x:v>8.057116</x:v>
      </x:c>
      <x:c r="H95" s="211" t="n">
        <x:f>G95*(1+'P4 Assumptions'!G84)</x:f>
        <x:v>8.057116</x:v>
      </x:c>
      <x:c r="I95" s="89" t="str">
        <x:v>Residual segment</x:v>
      </x:c>
      <x:c r="J95" s="89" t="str">
        <x:v>Model output</x:v>
      </x:c>
      <x:c r="K95" s="90" t="str">
        <x:v>Residual segment</x:v>
      </x:c>
    </x:row>
    <x:row r="96" ht="29" customHeight="1">
      <x:c r="A96" s="459" t="str">
        <x:v>Consolidated net revenue</x:v>
      </x:c>
      <x:c r="B96" s="460" t="str">
        <x:v>VND bn</x:v>
      </x:c>
      <x:c r="C96" s="495" t="n">
        <x:f>'P3 Historical IS'!G6</x:f>
        <x:v>5956.025297015</x:v>
      </x:c>
      <x:c r="D96" s="495" t="n">
        <x:f>SUM(D93:D95)</x:f>
        <x:v>6113.025217048246</x:v>
      </x:c>
      <x:c r="E96" s="495" t="n">
        <x:f>SUM(E93:E95)</x:f>
        <x:v>6213.918417123211</x:v>
      </x:c>
      <x:c r="F96" s="495" t="n">
        <x:f>SUM(F93:F95)</x:f>
        <x:v>6478.7869594024805</x:v>
      </x:c>
      <x:c r="G96" s="495" t="n">
        <x:f>SUM(G93:G95)</x:f>
        <x:v>6879.999407341667</x:v>
      </x:c>
      <x:c r="H96" s="495" t="n">
        <x:f>SUM(H93:H95)</x:f>
        <x:v>7368.522782409937</x:v>
      </x:c>
      <x:c r="I96" s="460" t="str">
        <x:v>Sum of external segment revenue</x:v>
      </x:c>
      <x:c r="J96" s="460" t="str">
        <x:v>Model output</x:v>
      </x:c>
      <x:c r="K96" s="460" t="str">
        <x:v>Sum of external segment revenue</x:v>
      </x:c>
    </x:row>
    <x:row r="97" ht="29" customHeight="1">
      <x:c r="A97" s="88" t="str">
        <x:v>Revenue growth</x:v>
      </x:c>
      <x:c r="B97" s="89" t="str">
        <x:v>%</x:v>
      </x:c>
      <x:c r="C97" s="125" t="n">
        <x:f>'GMD Historical'!B12/'GMD Historical'!B11-1</x:f>
        <x:v>0.23261480327991846</x:v>
      </x:c>
      <x:c r="D97" s="109" t="n">
        <x:f>D96/C96-1</x:f>
        <x:v>0.026359847751474375</x:v>
      </x:c>
      <x:c r="E97" s="109" t="n">
        <x:f>E96/D96-1</x:f>
        <x:v>0.016504626840666337</x:v>
      </x:c>
      <x:c r="F97" s="109" t="n">
        <x:f>F96/E96-1</x:f>
        <x:v>0.042625043410513985</x:v>
      </x:c>
      <x:c r="G97" s="109" t="n">
        <x:f>G96/F96-1</x:f>
        <x:v>0.061927093829952096</x:v>
      </x:c>
      <x:c r="H97" s="109" t="n">
        <x:f>H96/G96-1</x:f>
        <x:v>0.07100631063237661</x:v>
      </x:c>
      <x:c r="I97" s="89" t="str">
        <x:v>Model output</x:v>
      </x:c>
      <x:c r="J97" s="89" t="str">
        <x:v>Model output</x:v>
      </x:c>
      <x:c r="K97" s="90" t="str">
        <x:v>Model output</x:v>
      </x:c>
    </x:row>
    <x:row r="98" ht="29" customHeight="1">
      <x:c r="A98" s="88" t="str">
        <x:v>Consolidated operating margin</x:v>
      </x:c>
      <x:c r="B98" s="89" t="str">
        <x:v>%</x:v>
      </x:c>
      <x:c r="C98" s="125" t="n">
        <x:f>'P3 Historical IS'!G13</x:f>
        <x:v>0.27652039677743034</x:v>
      </x:c>
      <x:c r="D98" s="109" t="n">
        <x:f>'P4 Assumptions'!C85</x:f>
        <x:v>0.26</x:v>
      </x:c>
      <x:c r="E98" s="109" t="n">
        <x:f>'P4 Assumptions'!D85</x:f>
        <x:v>0.255</x:v>
      </x:c>
      <x:c r="F98" s="109" t="n">
        <x:f>'P4 Assumptions'!E85</x:f>
        <x:v>0.26</x:v>
      </x:c>
      <x:c r="G98" s="109" t="n">
        <x:f>'P4 Assumptions'!F85</x:f>
        <x:v>0.265</x:v>
      </x:c>
      <x:c r="H98" s="109" t="n">
        <x:f>'P4 Assumptions'!G85</x:f>
        <x:v>0.27</x:v>
      </x:c>
      <x:c r="I98" s="89" t="str">
        <x:v>Before financial/associate/other items</x:v>
      </x:c>
      <x:c r="J98" s="89" t="str">
        <x:v>Historical link / analyst assumption</x:v>
      </x:c>
      <x:c r="K98" s="90" t="str">
        <x:v>Before financial/associate/other items</x:v>
      </x:c>
    </x:row>
    <x:row r="99" ht="29" customHeight="1">
      <x:c r="A99" s="88" t="str">
        <x:v>Consolidated EBIT before financial/associate/other</x:v>
      </x:c>
      <x:c r="B99" s="89" t="str">
        <x:v>VND bn</x:v>
      </x:c>
      <x:c r="C99" s="288" t="n">
        <x:f>'P3 Historical IS'!G12</x:f>
        <x:v>1646.9624783470003</x:v>
      </x:c>
      <x:c r="D99" s="211" t="n">
        <x:f>D96*D98</x:f>
        <x:v>1589.386556432544</x:v>
      </x:c>
      <x:c r="E99" s="211" t="n">
        <x:f>E96*E98</x:f>
        <x:v>1584.5491963664188</x:v>
      </x:c>
      <x:c r="F99" s="211" t="n">
        <x:f>F96*F98</x:f>
        <x:v>1684.484609444645</x:v>
      </x:c>
      <x:c r="G99" s="211" t="n">
        <x:f>G96*G98</x:f>
        <x:v>1823.199842945542</x:v>
      </x:c>
      <x:c r="H99" s="211" t="n">
        <x:f>H96*H98</x:f>
        <x:v>1989.501151250683</x:v>
      </x:c>
      <x:c r="I99" s="89" t="str">
        <x:v>Revenue × operating margin</x:v>
      </x:c>
      <x:c r="J99" s="89" t="str">
        <x:v>Model output</x:v>
      </x:c>
      <x:c r="K99" s="90" t="str">
        <x:v>Revenue × operating margin</x:v>
      </x:c>
    </x:row>
    <x:row r="100" ht="29" customHeight="1">
      <x:c r="A100" s="88" t="str">
        <x:v>Financial income</x:v>
      </x:c>
      <x:c r="B100" s="89" t="str">
        <x:v>VND bn</x:v>
      </x:c>
      <x:c r="C100" s="288" t="n">
        <x:f>'P3 Historical IS'!G17</x:f>
        <x:v>228.485206429</x:v>
      </x:c>
      <x:c r="D100" s="211" t="n">
        <x:f>'P4 Assumptions'!C86</x:f>
        <x:v>210</x:v>
      </x:c>
      <x:c r="E100" s="211" t="n">
        <x:f>'P4 Assumptions'!D86</x:f>
        <x:v>190</x:v>
      </x:c>
      <x:c r="F100" s="211" t="n">
        <x:f>'P4 Assumptions'!E86</x:f>
        <x:v>175</x:v>
      </x:c>
      <x:c r="G100" s="211" t="n">
        <x:f>'P4 Assumptions'!F86</x:f>
        <x:v>170</x:v>
      </x:c>
      <x:c r="H100" s="211" t="n">
        <x:f>'P4 Assumptions'!G86</x:f>
        <x:v>165</x:v>
      </x:c>
      <x:c r="I100" s="89" t="str">
        <x:v>Analyst assumption</x:v>
      </x:c>
      <x:c r="J100" s="89" t="str">
        <x:v>Historical link / analyst assumption</x:v>
      </x:c>
      <x:c r="K100" s="90" t="str">
        <x:v>Analyst assumption</x:v>
      </x:c>
    </x:row>
    <x:row r="101" ht="29" customHeight="1">
      <x:c r="A101" s="88" t="str">
        <x:v>Financial expense</x:v>
      </x:c>
      <x:c r="B101" s="89" t="str">
        <x:v>VND bn</x:v>
      </x:c>
      <x:c r="C101" s="288" t="n">
        <x:f>'P3 Historical IS'!G18</x:f>
        <x:v>118.711817693</x:v>
      </x:c>
      <x:c r="D101" s="211" t="n">
        <x:f>'P4 Assumptions'!C87</x:f>
        <x:v>130</x:v>
      </x:c>
      <x:c r="E101" s="211" t="n">
        <x:f>'P4 Assumptions'!D87</x:f>
        <x:v>145</x:v>
      </x:c>
      <x:c r="F101" s="211" t="n">
        <x:f>'P4 Assumptions'!E87</x:f>
        <x:v>160</x:v>
      </x:c>
      <x:c r="G101" s="211" t="n">
        <x:f>'P4 Assumptions'!F87</x:f>
        <x:v>165</x:v>
      </x:c>
      <x:c r="H101" s="211" t="n">
        <x:f>'P4 Assumptions'!G87</x:f>
        <x:v>170</x:v>
      </x:c>
      <x:c r="I101" s="89" t="str">
        <x:v>Analyst assumption</x:v>
      </x:c>
      <x:c r="J101" s="89" t="str">
        <x:v>Historical link / analyst assumption</x:v>
      </x:c>
      <x:c r="K101" s="90" t="str">
        <x:v>Analyst assumption</x:v>
      </x:c>
    </x:row>
    <x:row r="102" ht="29" customHeight="1">
      <x:c r="A102" s="88" t="str">
        <x:v>Gemalink associate contribution</x:v>
      </x:c>
      <x:c r="B102" s="89" t="str">
        <x:v>VND bn</x:v>
      </x:c>
      <x:c r="C102" s="288" t="n">
        <x:f>'P3 Associates'!G7</x:f>
        <x:v>826.81</x:v>
      </x:c>
      <x:c r="D102" s="211" t="n">
        <x:f>C102*(1+'P4 Assumptions'!C89)</x:f>
        <x:v>843.3462</x:v>
      </x:c>
      <x:c r="E102" s="211" t="n">
        <x:f>D102*(1+'P4 Assumptions'!D89)</x:f>
        <x:v>843.3462</x:v>
      </x:c>
      <x:c r="F102" s="211" t="n">
        <x:f>E102*(1+'P4 Assumptions'!E89)</x:f>
        <x:v>910.813896</x:v>
      </x:c>
      <x:c r="G102" s="211" t="n">
        <x:f>F102*(1+'P4 Assumptions'!F89)</x:f>
        <x:v>1001.8952856000001</x:v>
      </x:c>
      <x:c r="H102" s="211" t="n">
        <x:f>G102*(1+'P4 Assumptions'!G89)</x:f>
        <x:v>1082.046908448</x:v>
      </x:c>
      <x:c r="I102" s="89" t="str">
        <x:v>Separate equity-accounted forecast</x:v>
      </x:c>
      <x:c r="J102" s="89" t="str">
        <x:v>Model output</x:v>
      </x:c>
      <x:c r="K102" s="90" t="str">
        <x:v>Separate equity-accounted forecast</x:v>
      </x:c>
    </x:row>
    <x:row r="103" ht="29" customHeight="1">
      <x:c r="A103" s="88" t="str">
        <x:v>SCS associate contribution</x:v>
      </x:c>
      <x:c r="B103" s="89" t="str">
        <x:v>VND bn</x:v>
      </x:c>
      <x:c r="C103" s="288" t="n">
        <x:f>'P3 Associates'!G8</x:f>
        <x:v>258.588</x:v>
      </x:c>
      <x:c r="D103" s="211" t="n">
        <x:f>C103*(1+'P4 Assumptions'!C90)</x:f>
        <x:v>263.75976</x:v>
      </x:c>
      <x:c r="E103" s="211" t="n">
        <x:f>D103*(1+'P4 Assumptions'!D90)</x:f>
        <x:v>271.67255280000006</x:v>
      </x:c>
      <x:c r="F103" s="211" t="n">
        <x:f>E103*(1+'P4 Assumptions'!E90)</x:f>
        <x:v>282.53945491200005</x:v>
      </x:c>
      <x:c r="G103" s="211" t="n">
        <x:f>F103*(1+'P4 Assumptions'!F90)</x:f>
        <x:v>296.6664276576001</x:v>
      </x:c>
      <x:c r="H103" s="211" t="n">
        <x:f>G103*(1+'P4 Assumptions'!G90)</x:f>
        <x:v>311.4997490404801</x:v>
      </x:c>
      <x:c r="I103" s="89" t="str">
        <x:v>Separate equity-accounted forecast</x:v>
      </x:c>
      <x:c r="J103" s="89" t="str">
        <x:v>Model output</x:v>
      </x:c>
      <x:c r="K103" s="90" t="str">
        <x:v>Separate equity-accounted forecast</x:v>
      </x:c>
    </x:row>
    <x:row r="104" ht="29" customHeight="1">
      <x:c r="A104" s="88" t="str">
        <x:v>CJ Gemadept Logistics contribution</x:v>
      </x:c>
      <x:c r="B104" s="89" t="str">
        <x:v>VND bn</x:v>
      </x:c>
      <x:c r="C104" s="288" t="n">
        <x:f>'P3 Associates'!G9</x:f>
        <x:v>46.182</x:v>
      </x:c>
      <x:c r="D104" s="211" t="n">
        <x:f>C104*(1+'P4 Assumptions'!C91)</x:f>
        <x:v>46.182</x:v>
      </x:c>
      <x:c r="E104" s="211" t="n">
        <x:f>D104*(1+'P4 Assumptions'!D91)</x:f>
        <x:v>47.10564</x:v>
      </x:c>
      <x:c r="F104" s="211" t="n">
        <x:f>E104*(1+'P4 Assumptions'!E91)</x:f>
        <x:v>48.5188092</x:v>
      </x:c>
      <x:c r="G104" s="211" t="n">
        <x:f>F104*(1+'P4 Assumptions'!F91)</x:f>
        <x:v>50.459561568</x:v>
      </x:c>
      <x:c r="H104" s="211" t="n">
        <x:f>G104*(1+'P4 Assumptions'!G91)</x:f>
        <x:v>52.477944030719996</x:v>
      </x:c>
      <x:c r="I104" s="89" t="str">
        <x:v>Separate equity-accounted forecast</x:v>
      </x:c>
      <x:c r="J104" s="89" t="str">
        <x:v>Model output</x:v>
      </x:c>
      <x:c r="K104" s="90" t="str">
        <x:v>Separate equity-accounted forecast</x:v>
      </x:c>
    </x:row>
    <x:row r="105" ht="29" customHeight="1">
      <x:c r="A105" s="88" t="str">
        <x:v>Other associate contribution</x:v>
      </x:c>
      <x:c r="B105" s="89" t="str">
        <x:v>VND bn</x:v>
      </x:c>
      <x:c r="C105" s="288" t="n">
        <x:f>'P3 Associates'!G10</x:f>
        <x:v>26.07937794700001</x:v>
      </x:c>
      <x:c r="D105" s="211" t="n">
        <x:f>C105*(1+'P4 Assumptions'!C92)</x:f>
        <x:v>26.07937794700001</x:v>
      </x:c>
      <x:c r="E105" s="211" t="n">
        <x:f>D105*(1+'P4 Assumptions'!D92)</x:f>
        <x:v>26.07937794700001</x:v>
      </x:c>
      <x:c r="F105" s="211" t="n">
        <x:f>E105*(1+'P4 Assumptions'!E92)</x:f>
        <x:v>26.07937794700001</x:v>
      </x:c>
      <x:c r="G105" s="211" t="n">
        <x:f>F105*(1+'P4 Assumptions'!F92)</x:f>
        <x:v>26.07937794700001</x:v>
      </x:c>
      <x:c r="H105" s="211" t="n">
        <x:f>G105*(1+'P4 Assumptions'!G92)</x:f>
        <x:v>26.07937794700001</x:v>
      </x:c>
      <x:c r="I105" s="89" t="str">
        <x:v>Residual associate forecast</x:v>
      </x:c>
      <x:c r="J105" s="89" t="str">
        <x:v>Model output</x:v>
      </x:c>
      <x:c r="K105" s="90" t="str">
        <x:v>Residual associate forecast</x:v>
      </x:c>
    </x:row>
    <x:row r="106" ht="29" customHeight="1">
      <x:c r="A106" s="88" t="str">
        <x:v>Total associates/JV profit</x:v>
      </x:c>
      <x:c r="B106" s="89" t="str">
        <x:v>VND bn</x:v>
      </x:c>
      <x:c r="C106" s="288" t="n">
        <x:f>'P3 Associates'!G6</x:f>
        <x:v>1157.659377947</x:v>
      </x:c>
      <x:c r="D106" s="211" t="n">
        <x:f>SUM(D102:D105)</x:f>
        <x:v>1179.367337947</x:v>
      </x:c>
      <x:c r="E106" s="211" t="n">
        <x:f>SUM(E102:E105)</x:f>
        <x:v>1188.2037707470001</x:v>
      </x:c>
      <x:c r="F106" s="211" t="n">
        <x:f>SUM(F102:F105)</x:f>
        <x:v>1267.951538059</x:v>
      </x:c>
      <x:c r="G106" s="211" t="n">
        <x:f>SUM(G102:G105)</x:f>
        <x:v>1375.1006527726001</x:v>
      </x:c>
      <x:c r="H106" s="211" t="n">
        <x:f>SUM(H102:H105)</x:f>
        <x:v>1472.1039794662001</x:v>
      </x:c>
      <x:c r="I106" s="89" t="str">
        <x:v>Sum of associate components</x:v>
      </x:c>
      <x:c r="J106" s="89" t="str">
        <x:v>Model output</x:v>
      </x:c>
      <x:c r="K106" s="90" t="str">
        <x:v>Sum of associate components</x:v>
      </x:c>
    </x:row>
    <x:row r="107" ht="29" customHeight="1">
      <x:c r="A107" s="88" t="str">
        <x:v>Other profit/(loss)</x:v>
      </x:c>
      <x:c r="B107" s="89" t="str">
        <x:v>VND bn</x:v>
      </x:c>
      <x:c r="C107" s="288" t="n">
        <x:f>'P3 Historical IS'!G21</x:f>
        <x:v>-393.56809844</x:v>
      </x:c>
      <x:c r="D107" s="211" t="n">
        <x:f>'P4 Assumptions'!C88</x:f>
        <x:v>-300</x:v>
      </x:c>
      <x:c r="E107" s="211" t="n">
        <x:f>'P4 Assumptions'!D88</x:f>
        <x:v>-320</x:v>
      </x:c>
      <x:c r="F107" s="211" t="n">
        <x:f>'P4 Assumptions'!E88</x:f>
        <x:v>-320</x:v>
      </x:c>
      <x:c r="G107" s="211" t="n">
        <x:f>'P4 Assumptions'!F88</x:f>
        <x:v>-300</x:v>
      </x:c>
      <x:c r="H107" s="211" t="n">
        <x:f>'P4 Assumptions'!G88</x:f>
        <x:v>-280</x:v>
      </x:c>
      <x:c r="I107" s="89" t="str">
        <x:v>Analyst assumption</x:v>
      </x:c>
      <x:c r="J107" s="89" t="str">
        <x:v>Historical link / analyst assumption</x:v>
      </x:c>
      <x:c r="K107" s="90" t="str">
        <x:v>Analyst assumption</x:v>
      </x:c>
    </x:row>
    <x:row r="108" ht="29" customHeight="1">
      <x:c r="A108" s="459" t="str">
        <x:v>Core PBT</x:v>
      </x:c>
      <x:c r="B108" s="460" t="str">
        <x:v>VND bn</x:v>
      </x:c>
      <x:c r="C108" s="495" t="n">
        <x:f>'P3 Historical IS'!G25</x:f>
        <x:v>2520.827</x:v>
      </x:c>
      <x:c r="D108" s="495" t="n">
        <x:f>D99+D100-D101+D106+D107</x:f>
        <x:v>2548.753894379544</x:v>
      </x:c>
      <x:c r="E108" s="495" t="n">
        <x:f>E99+E100-E101+E106+E107</x:f>
        <x:v>2497.752967113419</x:v>
      </x:c>
      <x:c r="F108" s="495" t="n">
        <x:f>F99+F100-F101+F106+F107</x:f>
        <x:v>2647.436147503645</x:v>
      </x:c>
      <x:c r="G108" s="495" t="n">
        <x:f>G99+G100-G101+G106+G107</x:f>
        <x:v>2903.300495718142</x:v>
      </x:c>
      <x:c r="H108" s="495" t="n">
        <x:f>H99+H100-H101+H106+H107</x:f>
        <x:v>3176.605130716883</x:v>
      </x:c>
      <x:c r="I108" s="460" t="str">
        <x:v>EBIT + net finance + associates + other</x:v>
      </x:c>
      <x:c r="J108" s="460" t="str">
        <x:v>Model output</x:v>
      </x:c>
      <x:c r="K108" s="460" t="str">
        <x:v>EBIT + net finance + associates + other</x:v>
      </x:c>
    </x:row>
    <x:row r="109" ht="29" customHeight="1">
      <x:c r="A109" s="88" t="str">
        <x:v>Core PBT margin</x:v>
      </x:c>
      <x:c r="B109" s="89" t="str">
        <x:v>%</x:v>
      </x:c>
      <x:c r="C109" s="125" t="n">
        <x:f>'P3 Historical IS'!G27</x:f>
        <x:v>0.42323980747082635</x:v>
      </x:c>
      <x:c r="D109" s="109" t="n">
        <x:f>D108/D96</x:f>
        <x:v>0.41693822679996123</x:v>
      </x:c>
      <x:c r="E109" s="109" t="n">
        <x:f>E108/E96</x:f>
        <x:v>0.40196101709841503</x:v>
      </x:c>
      <x:c r="F109" s="109" t="n">
        <x:f>F108/F96</x:f>
        <x:v>0.4086314558717656</x:v>
      </x:c>
      <x:c r="G109" s="109" t="n">
        <x:f>G108/G96</x:f>
        <x:v>0.42199138747308923</x:v>
      </x:c>
      <x:c r="H109" s="109" t="n">
        <x:f>H108/H96</x:f>
        <x:v>0.43110474440006386</x:v>
      </x:c>
      <x:c r="I109" s="89" t="str">
        <x:v>Model output</x:v>
      </x:c>
      <x:c r="J109" s="89" t="str">
        <x:v>Model output</x:v>
      </x:c>
      <x:c r="K109" s="90" t="str">
        <x:v>Model output</x:v>
      </x:c>
    </x:row>
    <x:row r="110" ht="29" customHeight="1">
      <x:c r="A110" s="88" t="str">
        <x:v>Effective PBT tax rate</x:v>
      </x:c>
      <x:c r="B110" s="89" t="str">
        <x:v>%</x:v>
      </x:c>
      <x:c r="C110" s="125" t="n">
        <x:f>('P3 Historical IS'!G38-'P3 Historical IS'!G39)/'P3 Historical IS'!G25</x:f>
        <x:v>0.0866001376683128</x:v>
      </x:c>
      <x:c r="D110" s="109" t="n">
        <x:f>'P4 Assumptions'!C93</x:f>
        <x:v>0.11</x:v>
      </x:c>
      <x:c r="E110" s="109" t="n">
        <x:f>'P4 Assumptions'!D93</x:f>
        <x:v>0.11</x:v>
      </x:c>
      <x:c r="F110" s="109" t="n">
        <x:f>'P4 Assumptions'!E93</x:f>
        <x:v>0.11</x:v>
      </x:c>
      <x:c r="G110" s="109" t="n">
        <x:f>'P4 Assumptions'!F93</x:f>
        <x:v>0.11</x:v>
      </x:c>
      <x:c r="H110" s="109" t="n">
        <x:f>'P4 Assumptions'!G93</x:f>
        <x:v>0.11</x:v>
      </x:c>
      <x:c r="I110" s="89" t="str">
        <x:v>Analyst assumption</x:v>
      </x:c>
      <x:c r="J110" s="89" t="str">
        <x:v>Historical link / analyst assumption</x:v>
      </x:c>
      <x:c r="K110" s="90" t="str">
        <x:v>Analyst assumption</x:v>
      </x:c>
    </x:row>
    <x:row r="111" ht="29" customHeight="1">
      <x:c r="A111" s="88" t="str">
        <x:v>Consolidated PAT</x:v>
      </x:c>
      <x:c r="B111" s="89" t="str">
        <x:v>VND bn</x:v>
      </x:c>
      <x:c r="C111" s="288" t="n">
        <x:f>'P3 Historical IS'!G41</x:f>
        <x:v>2302.523181352</x:v>
      </x:c>
      <x:c r="D111" s="211" t="n">
        <x:f>D108*(1-D110)</x:f>
        <x:v>2268.390965997794</x:v>
      </x:c>
      <x:c r="E111" s="211" t="n">
        <x:f>E108*(1-E110)</x:f>
        <x:v>2223.000140730943</x:v>
      </x:c>
      <x:c r="F111" s="211" t="n">
        <x:f>F108*(1-F110)</x:f>
        <x:v>2356.218171278244</x:v>
      </x:c>
      <x:c r="G111" s="211" t="n">
        <x:f>G108*(1-G110)</x:f>
        <x:v>2583.9374411891463</x:v>
      </x:c>
      <x:c r="H111" s="211" t="n">
        <x:f>H108*(1-H110)</x:f>
        <x:v>2827.178566338026</x:v>
      </x:c>
      <x:c r="I111" s="89" t="str">
        <x:v>PBT after effective tax</x:v>
      </x:c>
      <x:c r="J111" s="89" t="str">
        <x:v>Model output</x:v>
      </x:c>
      <x:c r="K111" s="90" t="str">
        <x:v>PBT after effective tax</x:v>
      </x:c>
    </x:row>
    <x:row r="112" ht="29" customHeight="1">
      <x:c r="A112" s="88" t="str">
        <x:v>NCI share of PAT</x:v>
      </x:c>
      <x:c r="B112" s="89" t="str">
        <x:v>%</x:v>
      </x:c>
      <x:c r="C112" s="125" t="n">
        <x:f>'P3 Historical IS'!G44/'P3 Historical IS'!G41</x:f>
        <x:v>0.23751915311222802</x:v>
      </x:c>
      <x:c r="D112" s="109" t="n">
        <x:f>'P4 Assumptions'!C94</x:f>
        <x:v>0.24</x:v>
      </x:c>
      <x:c r="E112" s="109" t="n">
        <x:f>'P4 Assumptions'!D94</x:f>
        <x:v>0.24</x:v>
      </x:c>
      <x:c r="F112" s="109" t="n">
        <x:f>'P4 Assumptions'!E94</x:f>
        <x:v>0.24</x:v>
      </x:c>
      <x:c r="G112" s="109" t="n">
        <x:f>'P4 Assumptions'!F94</x:f>
        <x:v>0.24</x:v>
      </x:c>
      <x:c r="H112" s="109" t="n">
        <x:f>'P4 Assumptions'!G94</x:f>
        <x:v>0.24</x:v>
      </x:c>
      <x:c r="I112" s="89" t="str">
        <x:v>Analyst assumption</x:v>
      </x:c>
      <x:c r="J112" s="89" t="str">
        <x:v>Historical link / analyst assumption</x:v>
      </x:c>
      <x:c r="K112" s="90" t="str">
        <x:v>Analyst assumption</x:v>
      </x:c>
    </x:row>
    <x:row r="113" ht="29" customHeight="1">
      <x:c r="A113" s="88" t="str">
        <x:v>NCI PAT</x:v>
      </x:c>
      <x:c r="B113" s="89" t="str">
        <x:v>VND bn</x:v>
      </x:c>
      <x:c r="C113" s="288" t="n">
        <x:f>'P3 Historical IS'!G44</x:f>
        <x:v>546.893356056</x:v>
      </x:c>
      <x:c r="D113" s="211" t="n">
        <x:f>D111*D112</x:f>
        <x:v>544.4138318394705</x:v>
      </x:c>
      <x:c r="E113" s="211" t="n">
        <x:f>E111*E112</x:f>
        <x:v>533.5200337754262</x:v>
      </x:c>
      <x:c r="F113" s="211" t="n">
        <x:f>F111*F112</x:f>
        <x:v>565.4923611067785</x:v>
      </x:c>
      <x:c r="G113" s="211" t="n">
        <x:f>G111*G112</x:f>
        <x:v>620.144985885395</x:v>
      </x:c>
      <x:c r="H113" s="211" t="n">
        <x:f>H111*H112</x:f>
        <x:v>678.5228559211262</x:v>
      </x:c>
      <x:c r="I113" s="89" t="str">
        <x:v>PAT × NCI share</x:v>
      </x:c>
      <x:c r="J113" s="89" t="str">
        <x:v>Model output</x:v>
      </x:c>
      <x:c r="K113" s="90" t="str">
        <x:v>PAT × NCI share</x:v>
      </x:c>
    </x:row>
    <x:row r="114" ht="29" customHeight="1">
      <x:c r="A114" s="499" t="str">
        <x:v>Parent PAT</x:v>
      </x:c>
      <x:c r="B114" s="500" t="str">
        <x:v>VND bn</x:v>
      </x:c>
      <x:c r="C114" s="501" t="n">
        <x:f>'P3 Historical IS'!G43</x:f>
        <x:v>1755.629825296</x:v>
      </x:c>
      <x:c r="D114" s="501" t="n">
        <x:f>D111-D113</x:f>
        <x:v>1723.9771341583235</x:v>
      </x:c>
      <x:c r="E114" s="501" t="n">
        <x:f>E111-E113</x:f>
        <x:v>1689.4801069555165</x:v>
      </x:c>
      <x:c r="F114" s="501" t="n">
        <x:f>F111-F113</x:f>
        <x:v>1790.7258101714656</x:v>
      </x:c>
      <x:c r="G114" s="501" t="n">
        <x:f>G111-G113</x:f>
        <x:v>1963.7924553037512</x:v>
      </x:c>
      <x:c r="H114" s="501" t="n">
        <x:f>H111-H113</x:f>
        <x:v>2148.6557104168996</x:v>
      </x:c>
      <x:c r="I114" s="500" t="str">
        <x:v>PAT less NCI</x:v>
      </x:c>
      <x:c r="J114" s="500" t="str">
        <x:v>Model output</x:v>
      </x:c>
      <x:c r="K114" s="500" t="str">
        <x:v>PAT less NCI</x:v>
      </x:c>
    </x:row>
    <x:row r="115" ht="29" customHeight="1">
      <x:c r="A115" s="502" t="str">
        <x:v>EPS</x:v>
      </x:c>
      <x:c r="B115" s="503" t="str">
        <x:v>VND/share</x:v>
      </x:c>
      <x:c r="C115" s="504" t="n">
        <x:f>C114*1000/'P4 Assumptions'!$C$18</x:f>
        <x:v>4116.412564290392</x:v>
      </x:c>
      <x:c r="D115" s="504" t="n">
        <x:f>D114*1000/'P4 Assumptions'!$C$18</x:f>
        <x:v>4042.1967281184543</x:v>
      </x:c>
      <x:c r="E115" s="504" t="n">
        <x:f>E114*1000/'P4 Assumptions'!$C$18</x:f>
        <x:v>3961.311797729236</x:v>
      </x:c>
      <x:c r="F115" s="504" t="n">
        <x:f>F114*1000/'P4 Assumptions'!$C$18</x:f>
        <x:v>4198.701866406317</x:v>
      </x:c>
      <x:c r="G115" s="504" t="n">
        <x:f>G114*1000/'P4 Assumptions'!$C$18</x:f>
        <x:v>4604.489978579687</x:v>
      </x:c>
      <x:c r="H115" s="504" t="n">
        <x:f>H114*1000/'P4 Assumptions'!$C$18</x:f>
        <x:v>5037.937516926834</x:v>
      </x:c>
      <x:c r="I115" s="503" t="str">
        <x:v>Parent PAT divided by listed shares</x:v>
      </x:c>
      <x:c r="J115" s="503" t="str">
        <x:v>Model output</x:v>
      </x:c>
      <x:c r="K115" s="503" t="str">
        <x:v>Parent PAT divided by listed shares</x:v>
      </x:c>
    </x:row>
    <x:row r="116" ht="29" customHeight="1">
      <x:c r="A116" s="88" t="str">
        <x:v>D&amp;A</x:v>
      </x:c>
      <x:c r="B116" s="89" t="str">
        <x:v>VND bn</x:v>
      </x:c>
      <x:c r="C116" s="288" t="n">
        <x:f>'P3 Cash Flow'!G7</x:f>
        <x:v>415.219036556</x:v>
      </x:c>
      <x:c r="D116" s="211" t="n">
        <x:f>'P4 Assumptions'!C95</x:f>
        <x:v>500</x:v>
      </x:c>
      <x:c r="E116" s="211" t="n">
        <x:f>'P4 Assumptions'!D95</x:f>
        <x:v>570</x:v>
      </x:c>
      <x:c r="F116" s="211" t="n">
        <x:f>'P4 Assumptions'!E95</x:f>
        <x:v>640</x:v>
      </x:c>
      <x:c r="G116" s="211" t="n">
        <x:f>'P4 Assumptions'!F95</x:f>
        <x:v>700</x:v>
      </x:c>
      <x:c r="H116" s="211" t="n">
        <x:f>'P4 Assumptions'!G95</x:f>
        <x:v>750</x:v>
      </x:c>
      <x:c r="I116" s="89" t="str">
        <x:v>Analyst assumption</x:v>
      </x:c>
      <x:c r="J116" s="89" t="str">
        <x:v>Historical link / analyst assumption</x:v>
      </x:c>
      <x:c r="K116" s="90" t="str">
        <x:v>Analyst assumption</x:v>
      </x:c>
    </x:row>
    <x:row r="117" ht="29" customHeight="1">
      <x:c r="A117" s="88" t="str">
        <x:v>Cash capex</x:v>
      </x:c>
      <x:c r="B117" s="89" t="str">
        <x:v>VND bn</x:v>
      </x:c>
      <x:c r="C117" s="288" t="n">
        <x:f>'P3 Cash Flow'!G8</x:f>
        <x:v>1676.123112351</x:v>
      </x:c>
      <x:c r="D117" s="211" t="n">
        <x:f>'P4 Assumptions'!C96</x:f>
        <x:v>1500</x:v>
      </x:c>
      <x:c r="E117" s="211" t="n">
        <x:f>'P4 Assumptions'!D96</x:f>
        <x:v>1350</x:v>
      </x:c>
      <x:c r="F117" s="211" t="n">
        <x:f>'P4 Assumptions'!E96</x:f>
        <x:v>1200</x:v>
      </x:c>
      <x:c r="G117" s="211" t="n">
        <x:f>'P4 Assumptions'!F96</x:f>
        <x:v>950</x:v>
      </x:c>
      <x:c r="H117" s="211" t="n">
        <x:f>'P4 Assumptions'!G96</x:f>
        <x:v>850</x:v>
      </x:c>
      <x:c r="I117" s="89" t="str">
        <x:v>Analyst assumption</x:v>
      </x:c>
      <x:c r="J117" s="89" t="str">
        <x:v>Historical link / analyst assumption</x:v>
      </x:c>
      <x:c r="K117" s="90" t="str">
        <x:v>Analyst assumption</x:v>
      </x:c>
    </x:row>
    <x:row r="118" ht="29" customHeight="1">
      <x:c r="A118" s="88" t="str">
        <x:v>Cash investment in NWC</x:v>
      </x:c>
      <x:c r="B118" s="89" t="str">
        <x:v>VND bn</x:v>
      </x:c>
      <x:c r="C118" s="288"/>
      <x:c r="D118" s="211" t="n">
        <x:f>MAX(D96-C96,0)*'P4 Assumptions'!C97</x:f>
        <x:v>2.354998800498688</x:v>
      </x:c>
      <x:c r="E118" s="211" t="n">
        <x:f>MAX(E96-D96,0)*'P4 Assumptions'!D97</x:f>
        <x:v>1.5133980011244694</x:v>
      </x:c>
      <x:c r="F118" s="211" t="n">
        <x:f>MAX(F96-E96,0)*'P4 Assumptions'!E97</x:f>
        <x:v>3.973028134189044</x:v>
      </x:c>
      <x:c r="G118" s="211" t="n">
        <x:f>MAX(G96-F96,0)*'P4 Assumptions'!F97</x:f>
        <x:v>6.018186719087803</x:v>
      </x:c>
      <x:c r="H118" s="211" t="n">
        <x:f>MAX(H96-G96,0)*'P4 Assumptions'!G97</x:f>
        <x:v>7.327850626024037</x:v>
      </x:c>
      <x:c r="I118" s="89" t="str">
        <x:v>Incremental revenue × NWC rate</x:v>
      </x:c>
      <x:c r="J118" s="89" t="str">
        <x:v>Model output</x:v>
      </x:c>
      <x:c r="K118" s="90" t="str">
        <x:v>Incremental revenue × NWC rate</x:v>
      </x:c>
    </x:row>
    <x:row r="119" ht="29" customHeight="1">
      <x:c r="A119" s="88" t="str">
        <x:v>Statutory tax rate on EBIT</x:v>
      </x:c>
      <x:c r="B119" s="89" t="str">
        <x:v>%</x:v>
      </x:c>
      <x:c r="C119" s="125" t="n">
        <x:f>'P4 Assumptions'!C98</x:f>
        <x:v>0.2</x:v>
      </x:c>
      <x:c r="D119" s="109" t="n">
        <x:f>'P4 Assumptions'!C98</x:f>
        <x:v>0.2</x:v>
      </x:c>
      <x:c r="E119" s="109" t="n">
        <x:f>'P4 Assumptions'!D98</x:f>
        <x:v>0.2</x:v>
      </x:c>
      <x:c r="F119" s="109" t="n">
        <x:f>'P4 Assumptions'!E98</x:f>
        <x:v>0.2</x:v>
      </x:c>
      <x:c r="G119" s="109" t="n">
        <x:f>'P4 Assumptions'!F98</x:f>
        <x:v>0.2</x:v>
      </x:c>
      <x:c r="H119" s="109" t="n">
        <x:f>'P4 Assumptions'!G98</x:f>
        <x:v>0.2</x:v>
      </x:c>
      <x:c r="I119" s="89" t="str">
        <x:v>FCFF tax assumption</x:v>
      </x:c>
      <x:c r="J119" s="89" t="str">
        <x:v>Historical link / analyst assumption</x:v>
      </x:c>
      <x:c r="K119" s="90" t="str">
        <x:v>FCFF tax assumption</x:v>
      </x:c>
    </x:row>
    <x:row r="120" ht="29" customHeight="1">
      <x:c r="A120" s="499" t="str">
        <x:v>FCFF</x:v>
      </x:c>
      <x:c r="B120" s="500" t="str">
        <x:v>VND bn</x:v>
      </x:c>
      <x:c r="C120" s="501"/>
      <x:c r="D120" s="501" t="n">
        <x:f>D99*(1-D119)+D116-D117-D118</x:f>
        <x:v>269.1542463455366</x:v>
      </x:c>
      <x:c r="E120" s="501" t="n">
        <x:f>E99*(1-E119)+E116-E117-E118</x:f>
        <x:v>486.12595909201053</x:v>
      </x:c>
      <x:c r="F120" s="501" t="n">
        <x:f>F99*(1-F119)+F116-F117-F118</x:f>
        <x:v>783.614659421527</x:v>
      </x:c>
      <x:c r="G120" s="501" t="n">
        <x:f>G99*(1-G119)+G116-G117-G118</x:f>
        <x:v>1202.5416876373458</x:v>
      </x:c>
      <x:c r="H120" s="501" t="n">
        <x:f>H99*(1-H119)+H116-H117-H118</x:f>
        <x:v>1484.2730703745228</x:v>
      </x:c>
      <x:c r="I120" s="500" t="str">
        <x:v>EBIT after statutory tax + D&amp;A - capex - NWC</x:v>
      </x:c>
      <x:c r="J120" s="500" t="str">
        <x:v>Model output</x:v>
      </x:c>
      <x:c r="K120" s="500" t="str">
        <x:v>EBIT after statutory tax + D&amp;A - capex - NWC</x:v>
      </x:c>
    </x:row>
    <x:row r="121" ht="29" customHeight="1">
      <x:c r="A121" s="502" t="str">
        <x:v>FCFF margin</x:v>
      </x:c>
      <x:c r="B121" s="503" t="str">
        <x:v>%</x:v>
      </x:c>
      <x:c r="C121" s="514"/>
      <x:c r="D121" s="514" t="n">
        <x:f>D120/D96</x:f>
        <x:v>0.04402963128548997</x:v>
      </x:c>
      <x:c r="E121" s="514" t="n">
        <x:f>E120/E96</x:f>
        <x:v>0.07823178974355877</x:v>
      </x:c>
      <x:c r="F121" s="514" t="n">
        <x:f>F120/F96</x:f>
        <x:v>0.12095082989019869</x:v>
      </x:c>
      <x:c r="G121" s="514" t="n">
        <x:f>G120/G96</x:f>
        <x:v>0.17478805105042744</x:v>
      </x:c>
      <x:c r="H121" s="514" t="n">
        <x:f>H120/H96</x:f>
        <x:v>0.20143427851207363</x:v>
      </x:c>
      <x:c r="I121" s="503" t="str">
        <x:v>FCFF divided by revenue</x:v>
      </x:c>
      <x:c r="J121" s="503" t="str">
        <x:v>Model output</x:v>
      </x:c>
      <x:c r="K121" s="503" t="str">
        <x:v>FCFF divided by revenue</x:v>
      </x:c>
    </x:row>
  </x:sheetData>
  <x:mergeCells>
    <x:mergeCell ref="A1:K1"/>
    <x:mergeCell ref="A2:K2"/>
    <x:mergeCell ref="A4:K4"/>
    <x:mergeCell ref="A44:K44"/>
    <x:mergeCell ref="A84:K84"/>
  </x:mergeCells>
  <x:pageMargins left="0.7" right="0.7" top="0.75" bottom="0.75" header="0.3" footer="0.3"/>
</x:worksheet>
</file>

<file path=xl/worksheets/sheet30.xml><?xml version="1.0" encoding="utf-8"?>
<x:worksheet xmlns:x="http://schemas.openxmlformats.org/spreadsheetml/2006/main">
  <x:sheetViews>
    <x:sheetView showGridLines="0" workbookViewId="0"/>
  </x:sheetViews>
  <x:sheetFormatPr defaultRowHeight="15"/>
  <x:cols>
    <x:col min="1" max="1" width="43" hidden="0" customWidth="1"/>
    <x:col min="2" max="2" width="17" hidden="0" customWidth="1"/>
    <x:col min="3" max="3" width="17" hidden="0" customWidth="1"/>
    <x:col min="4" max="4" width="17" hidden="0" customWidth="1"/>
    <x:col min="5" max="5" width="17" hidden="0" customWidth="1"/>
    <x:col min="6" max="6" width="17" hidden="0" customWidth="1"/>
    <x:col min="7" max="7" width="22" hidden="0" customWidth="1"/>
    <x:col min="8" max="8" width="30" hidden="0" customWidth="1"/>
  </x:cols>
  <x:sheetData>
    <x:row r="1" ht="30" customHeight="1">
      <x:c r="A1" s="408" t="str">
        <x:v>Phase 4 — DCF Cross-Check &amp; SOTP Equity Bridge</x:v>
      </x:c>
      <x:c r="B1" s="408" t="str">
        <x:v>Phase 4 — DCF Cross-Check &amp; SOTP Equity Bridge</x:v>
      </x:c>
      <x:c r="C1" s="408" t="str">
        <x:v>Phase 4 — DCF Cross-Check &amp; SOTP Equity Bridge</x:v>
      </x:c>
      <x:c r="D1" s="408" t="str">
        <x:v>Phase 4 — DCF Cross-Check &amp; SOTP Equity Bridge</x:v>
      </x:c>
      <x:c r="E1" s="408" t="str">
        <x:v>Phase 4 — DCF Cross-Check &amp; SOTP Equity Bridge</x:v>
      </x:c>
      <x:c r="F1" s="408" t="str">
        <x:v>Phase 4 — DCF Cross-Check &amp; SOTP Equity Bridge</x:v>
      </x:c>
      <x:c r="G1" s="408" t="str">
        <x:v>Phase 4 — DCF Cross-Check &amp; SOTP Equity Bridge</x:v>
      </x:c>
      <x:c r="H1" s="408" t="str">
        <x:v>Phase 4 — DCF Cross-Check &amp; SOTP Equity Bridge</x:v>
      </x:c>
    </x:row>
    <x:row r="2" ht="34" customHeight="1">
      <x:c r="A2" s="412" t="str">
        <x:v>Consolidated operating FCFF is discounted separately. Equity-accounted associates are added at an earnings multiple, net cash is added, and the value attributable to NCI is deducted.</x:v>
      </x:c>
      <x:c r="B2" s="412" t="str">
        <x:v>Consolidated operating FCFF is discounted separately. Equity-accounted associates are added at an earnings multiple, net cash is added, and the value attributable to NCI is deducted.</x:v>
      </x:c>
      <x:c r="C2" s="412" t="str">
        <x:v>Consolidated operating FCFF is discounted separately. Equity-accounted associates are added at an earnings multiple, net cash is added, and the value attributable to NCI is deducted.</x:v>
      </x:c>
      <x:c r="D2" s="412" t="str">
        <x:v>Consolidated operating FCFF is discounted separately. Equity-accounted associates are added at an earnings multiple, net cash is added, and the value attributable to NCI is deducted.</x:v>
      </x:c>
      <x:c r="E2" s="412" t="str">
        <x:v>Consolidated operating FCFF is discounted separately. Equity-accounted associates are added at an earnings multiple, net cash is added, and the value attributable to NCI is deducted.</x:v>
      </x:c>
      <x:c r="F2" s="412" t="str">
        <x:v>Consolidated operating FCFF is discounted separately. Equity-accounted associates are added at an earnings multiple, net cash is added, and the value attributable to NCI is deducted.</x:v>
      </x:c>
      <x:c r="G2" s="412" t="str">
        <x:v>Consolidated operating FCFF is discounted separately. Equity-accounted associates are added at an earnings multiple, net cash is added, and the value attributable to NCI is deducted.</x:v>
      </x:c>
      <x:c r="H2" s="412" t="str">
        <x:v>Consolidated operating FCFF is discounted separately. Equity-accounted associates are added at an earnings multiple, net cash is added, and the value attributable to NCI is deducted.</x:v>
      </x:c>
    </x:row>
    <x:row r="4" ht="22" customHeight="1">
      <x:c r="A4" s="415" t="str">
        <x:v>Base case DCF</x:v>
      </x:c>
      <x:c r="B4" s="415" t="str">
        <x:v>Base case DCF</x:v>
      </x:c>
      <x:c r="C4" s="415" t="str">
        <x:v>Base case DCF</x:v>
      </x:c>
      <x:c r="D4" s="415" t="str">
        <x:v>Base case DCF</x:v>
      </x:c>
      <x:c r="E4" s="415" t="str">
        <x:v>Base case DCF</x:v>
      </x:c>
      <x:c r="F4" s="415" t="str">
        <x:v>Base case DCF</x:v>
      </x:c>
      <x:c r="G4" s="415" t="str">
        <x:v>Base case DCF</x:v>
      </x:c>
      <x:c r="H4" s="415" t="str">
        <x:v>Base case DCF</x:v>
      </x:c>
    </x:row>
    <x:row r="5" ht="32" customHeight="1">
      <x:c r="A5" s="421" t="str">
        <x:v>Metric</x:v>
      </x:c>
      <x:c r="B5" s="433" t="n">
        <x:v>46387</x:v>
      </x:c>
      <x:c r="C5" s="433" t="n">
        <x:v>46752</x:v>
      </x:c>
      <x:c r="D5" s="433" t="n">
        <x:v>47118</x:v>
      </x:c>
      <x:c r="E5" s="433" t="n">
        <x:v>47483</x:v>
      </x:c>
      <x:c r="F5" s="433" t="n">
        <x:v>47848</x:v>
      </x:c>
      <x:c r="G5" s="421" t="str">
        <x:v>Unit / note</x:v>
      </x:c>
    </x:row>
    <x:row r="6" ht="27" customHeight="1">
      <x:c r="A6" s="85" t="str">
        <x:v>FCFF</x:v>
      </x:c>
      <x:c r="B6" s="287" t="n">
        <x:f>'P4 Forecast'!D40</x:f>
        <x:v>597.6501937209472</x:v>
      </x:c>
      <x:c r="C6" s="287" t="n">
        <x:f>'P4 Forecast'!E40</x:f>
        <x:v>1096.6696376701886</x:v>
      </x:c>
      <x:c r="D6" s="287" t="n">
        <x:f>'P4 Forecast'!F40</x:f>
        <x:v>1684.1035259928767</x:v>
      </x:c>
      <x:c r="E6" s="287" t="n">
        <x:f>'P4 Forecast'!G40</x:f>
        <x:v>2218.702664930385</x:v>
      </x:c>
      <x:c r="F6" s="287" t="n">
        <x:f>'P4 Forecast'!H40</x:f>
        <x:v>2660.59907091247</x:v>
      </x:c>
      <x:c r="G6" s="87" t="str">
        <x:v>VND bn</x:v>
      </x:c>
    </x:row>
    <x:row r="7" ht="27" customHeight="1">
      <x:c r="A7" s="88" t="str">
        <x:v>Discount period</x:v>
      </x:c>
      <x:c r="B7" s="89" t="n">
        <x:v>1</x:v>
      </x:c>
      <x:c r="C7" s="89" t="n">
        <x:v>2</x:v>
      </x:c>
      <x:c r="D7" s="89" t="n">
        <x:v>3</x:v>
      </x:c>
      <x:c r="E7" s="89" t="n">
        <x:v>4</x:v>
      </x:c>
      <x:c r="F7" s="89" t="n">
        <x:v>5</x:v>
      </x:c>
      <x:c r="G7" s="90" t="str">
        <x:v>Year</x:v>
      </x:c>
    </x:row>
    <x:row r="8" ht="27" customHeight="1">
      <x:c r="A8" s="88" t="str">
        <x:v>Discount factor</x:v>
      </x:c>
      <x:c r="B8" s="211" t="n">
        <x:f>1/(1+$B$11)^B7</x:f>
        <x:v>0.8962043059032081</x:v>
      </x:c>
      <x:c r="C8" s="211" t="n">
        <x:f>1/(1+$B$11)^C7</x:f>
        <x:v>0.8031821579194509</x:v>
      </x:c>
      <x:c r="D8" s="211" t="n">
        <x:f>1/(1+$B$11)^D7</x:f>
        <x:v>0.7198153083520424</x:v>
      </x:c>
      <x:c r="E8" s="211" t="n">
        <x:f>1/(1+$B$11)^E7</x:f>
        <x:v>0.645101578800146</x:v>
      </x:c>
      <x:c r="F8" s="211" t="n">
        <x:f>1/(1+$B$11)^F7</x:f>
        <x:v>0.5781428126656485</x:v>
      </x:c>
      <x:c r="G8" s="90" t="str">
        <x:v>x</x:v>
      </x:c>
    </x:row>
    <x:row r="9" ht="27" customHeight="1">
      <x:c r="A9" s="88" t="str">
        <x:v>PV of FCFF</x:v>
      </x:c>
      <x:c r="B9" s="211" t="n">
        <x:f>B6*B8</x:f>
        <x:v>535.6166770365993</x:v>
      </x:c>
      <x:c r="C9" s="211" t="n">
        <x:f>C6*C8</x:f>
        <x:v>880.8254861086845</x:v>
      </x:c>
      <x:c r="D9" s="211" t="n">
        <x:f>D6*D8</x:f>
        <x:v>1212.2434988593245</x:v>
      </x:c>
      <x:c r="E9" s="211" t="n">
        <x:f>E6*E8</x:f>
        <x:v>1431.2885920346826</x:v>
      </x:c>
      <x:c r="F9" s="211" t="n">
        <x:f>F6*F8</x:f>
        <x:v>1538.2062302329464</x:v>
      </x:c>
      <x:c r="G9" s="90" t="str">
        <x:v>VND bn</x:v>
      </x:c>
    </x:row>
    <x:row r="10" ht="27" customHeight="1">
      <x:c r="A10" s="88" t="str"/>
      <x:c r="B10" s="89"/>
      <x:c r="C10" s="89"/>
      <x:c r="D10" s="89"/>
      <x:c r="E10" s="89"/>
      <x:c r="F10" s="89"/>
      <x:c r="G10" s="90" t="str"/>
    </x:row>
    <x:row r="11" ht="27" customHeight="1">
      <x:c r="A11" s="88" t="str">
        <x:v>WACC</x:v>
      </x:c>
      <x:c r="B11" s="125" t="n">
        <x:f>'P4 Assumptions'!C112</x:f>
        <x:v>0.115817</x:v>
      </x:c>
      <x:c r="C11" s="89"/>
      <x:c r="D11" s="89"/>
      <x:c r="E11" s="89"/>
      <x:c r="F11" s="89"/>
      <x:c r="G11" s="90" t="str">
        <x:v>%</x:v>
      </x:c>
    </x:row>
    <x:row r="12" ht="27" customHeight="1">
      <x:c r="A12" s="88" t="str">
        <x:v>Terminal growth</x:v>
      </x:c>
      <x:c r="B12" s="125" t="n">
        <x:f>'P4 Assumptions'!C113</x:f>
        <x:v>0.04</x:v>
      </x:c>
      <x:c r="C12" s="89"/>
      <x:c r="D12" s="89"/>
      <x:c r="E12" s="89"/>
      <x:c r="F12" s="89"/>
      <x:c r="G12" s="90" t="str">
        <x:v>%</x:v>
      </x:c>
    </x:row>
    <x:row r="13" ht="27" customHeight="1">
      <x:c r="A13" s="88" t="str">
        <x:v>Terminal cash flow</x:v>
      </x:c>
      <x:c r="B13" s="211" t="n">
        <x:f>F6*(1+B12)</x:f>
        <x:v>2767.023033748969</x:v>
      </x:c>
      <x:c r="C13" s="89"/>
      <x:c r="D13" s="89"/>
      <x:c r="E13" s="89"/>
      <x:c r="F13" s="89"/>
      <x:c r="G13" s="90" t="str">
        <x:v>VND bn</x:v>
      </x:c>
    </x:row>
    <x:row r="14" ht="27" customHeight="1">
      <x:c r="A14" s="88" t="str">
        <x:v>Terminal value</x:v>
      </x:c>
      <x:c r="B14" s="211" t="n">
        <x:f>B13/(B11-B12)</x:f>
        <x:v>36496.0765230617</x:v>
      </x:c>
      <x:c r="C14" s="89"/>
      <x:c r="D14" s="89"/>
      <x:c r="E14" s="89"/>
      <x:c r="F14" s="89"/>
      <x:c r="G14" s="90" t="str">
        <x:v>VND bn</x:v>
      </x:c>
    </x:row>
    <x:row r="15" ht="27" customHeight="1">
      <x:c r="A15" s="88" t="str">
        <x:v>PV of terminal value</x:v>
      </x:c>
      <x:c r="B15" s="211" t="n">
        <x:f>B14*F8</x:f>
        <x:v>21099.944332303636</x:v>
      </x:c>
      <x:c r="C15" s="89"/>
      <x:c r="D15" s="89"/>
      <x:c r="E15" s="89"/>
      <x:c r="F15" s="89"/>
      <x:c r="G15" s="90" t="str">
        <x:v>VND bn</x:v>
      </x:c>
    </x:row>
    <x:row r="16" ht="27" customHeight="1">
      <x:c r="A16" s="88" t="str">
        <x:v>PV of forecast FCFF</x:v>
      </x:c>
      <x:c r="B16" s="211" t="n">
        <x:f>SUM(B9:F9)</x:f>
        <x:v>5598.180484272238</x:v>
      </x:c>
      <x:c r="C16" s="89"/>
      <x:c r="D16" s="89"/>
      <x:c r="E16" s="89"/>
      <x:c r="F16" s="89"/>
      <x:c r="G16" s="90" t="str">
        <x:v>VND bn</x:v>
      </x:c>
    </x:row>
    <x:row r="17" ht="27" customHeight="1">
      <x:c r="A17" s="459" t="str">
        <x:v>Consolidated enterprise value</x:v>
      </x:c>
      <x:c r="B17" s="495" t="n">
        <x:f>SUM(B15:B16)</x:f>
        <x:v>26698.124816575873</x:v>
      </x:c>
      <x:c r="C17" s="460"/>
      <x:c r="D17" s="460"/>
      <x:c r="E17" s="460"/>
      <x:c r="F17" s="460"/>
      <x:c r="G17" s="460" t="str">
        <x:v>VND bn</x:v>
      </x:c>
    </x:row>
    <x:row r="18" ht="27" customHeight="1">
      <x:c r="A18" s="88" t="str"/>
      <x:c r="B18" s="211"/>
      <x:c r="C18" s="89"/>
      <x:c r="D18" s="89"/>
      <x:c r="E18" s="89"/>
      <x:c r="F18" s="89"/>
      <x:c r="G18" s="90" t="str"/>
    </x:row>
    <x:row r="19" ht="27" customHeight="1">
      <x:c r="A19" s="88" t="str">
        <x:v>2026E associate earnings</x:v>
      </x:c>
      <x:c r="B19" s="211" t="n">
        <x:f>'P4 Forecast'!D26</x:f>
        <x:v>1262.25563306488</x:v>
      </x:c>
      <x:c r="C19" s="89"/>
      <x:c r="D19" s="89"/>
      <x:c r="E19" s="89"/>
      <x:c r="F19" s="89"/>
      <x:c r="G19" s="90" t="str">
        <x:v>VND bn</x:v>
      </x:c>
    </x:row>
    <x:row r="20" ht="27" customHeight="1">
      <x:c r="A20" s="88" t="str">
        <x:v>Associate earnings multiple</x:v>
      </x:c>
      <x:c r="B20" s="515" t="n">
        <x:f>'P4 Assumptions'!C114</x:f>
        <x:v>14</x:v>
      </x:c>
      <x:c r="C20" s="89"/>
      <x:c r="D20" s="89"/>
      <x:c r="E20" s="89"/>
      <x:c r="F20" s="89"/>
      <x:c r="G20" s="90" t="str">
        <x:v>x</x:v>
      </x:c>
    </x:row>
    <x:row r="21" ht="27" customHeight="1">
      <x:c r="A21" s="88" t="str">
        <x:v>Associate equity value</x:v>
      </x:c>
      <x:c r="B21" s="211" t="n">
        <x:f>B19*B20</x:f>
        <x:v>17671.578862908318</x:v>
      </x:c>
      <x:c r="C21" s="89"/>
      <x:c r="D21" s="89"/>
      <x:c r="E21" s="89"/>
      <x:c r="F21" s="89"/>
      <x:c r="G21" s="90" t="str">
        <x:v>VND bn</x:v>
      </x:c>
    </x:row>
    <x:row r="22" ht="27" customHeight="1">
      <x:c r="A22" s="88" t="str">
        <x:v>FY2025 net cash</x:v>
      </x:c>
      <x:c r="B22" s="211" t="n">
        <x:f>'P4 Assumptions'!C20</x:f>
        <x:v>1971.728574399</x:v>
      </x:c>
      <x:c r="C22" s="89"/>
      <x:c r="D22" s="89"/>
      <x:c r="E22" s="89"/>
      <x:c r="F22" s="89"/>
      <x:c r="G22" s="90" t="str">
        <x:v>VND bn</x:v>
      </x:c>
    </x:row>
    <x:row r="23" ht="27" customHeight="1">
      <x:c r="A23" s="88" t="str">
        <x:v>2026E NCI PAT</x:v>
      </x:c>
      <x:c r="B23" s="211" t="n">
        <x:f>'P4 Forecast'!D33</x:f>
        <x:v>599.162621221627</x:v>
      </x:c>
      <x:c r="C23" s="89"/>
      <x:c r="D23" s="89"/>
      <x:c r="E23" s="89"/>
      <x:c r="F23" s="89"/>
      <x:c r="G23" s="90" t="str">
        <x:v>VND bn</x:v>
      </x:c>
    </x:row>
    <x:row r="24" ht="27" customHeight="1">
      <x:c r="A24" s="88" t="str">
        <x:v>NCI earnings multiple</x:v>
      </x:c>
      <x:c r="B24" s="515" t="n">
        <x:f>'P4 Assumptions'!C115</x:f>
        <x:v>14</x:v>
      </x:c>
      <x:c r="C24" s="89"/>
      <x:c r="D24" s="89"/>
      <x:c r="E24" s="89"/>
      <x:c r="F24" s="89"/>
      <x:c r="G24" s="90" t="str">
        <x:v>x</x:v>
      </x:c>
    </x:row>
    <x:row r="25" ht="27" customHeight="1">
      <x:c r="A25" s="88" t="str">
        <x:v>NCI value deduction</x:v>
      </x:c>
      <x:c r="B25" s="211" t="n">
        <x:f>B23*B24</x:f>
        <x:v>8388.276697102778</x:v>
      </x:c>
      <x:c r="C25" s="89"/>
      <x:c r="D25" s="89"/>
      <x:c r="E25" s="89"/>
      <x:c r="F25" s="89"/>
      <x:c r="G25" s="90" t="str">
        <x:v>VND bn</x:v>
      </x:c>
    </x:row>
    <x:row r="26" ht="27" customHeight="1">
      <x:c r="A26" s="499" t="str">
        <x:v>Equity value</x:v>
      </x:c>
      <x:c r="B26" s="501" t="n">
        <x:f>B17+B21+B22-B25</x:f>
        <x:v>37953.15555678042</x:v>
      </x:c>
      <x:c r="C26" s="500"/>
      <x:c r="D26" s="500"/>
      <x:c r="E26" s="500"/>
      <x:c r="F26" s="500"/>
      <x:c r="G26" s="500" t="str">
        <x:v>VND bn</x:v>
      </x:c>
    </x:row>
    <x:row r="27" ht="27" customHeight="1">
      <x:c r="A27" s="455" t="str">
        <x:v>Listed shares</x:v>
      </x:c>
      <x:c r="B27" s="494" t="n">
        <x:f>'P4 Assumptions'!C18</x:f>
        <x:v>426.495109</x:v>
      </x:c>
      <x:c r="C27" s="456"/>
      <x:c r="D27" s="456"/>
      <x:c r="E27" s="456"/>
      <x:c r="F27" s="456"/>
      <x:c r="G27" s="456" t="str">
        <x:v>m shares</x:v>
      </x:c>
    </x:row>
    <x:row r="28" ht="27" customHeight="1">
      <x:c r="A28" s="502" t="str">
        <x:v>DCF value / share</x:v>
      </x:c>
      <x:c r="B28" s="504" t="n">
        <x:f>B26*1000/B27</x:f>
        <x:v>88988.48956502434</x:v>
      </x:c>
      <x:c r="C28" s="503"/>
      <x:c r="D28" s="503"/>
      <x:c r="E28" s="503"/>
      <x:c r="F28" s="503"/>
      <x:c r="G28" s="503" t="str">
        <x:v>VND/share</x:v>
      </x:c>
    </x:row>
    <x:row r="34" ht="22" customHeight="1">
      <x:c r="A34" s="446" t="str">
        <x:v>Bull case DCF</x:v>
      </x:c>
      <x:c r="B34" s="446" t="str">
        <x:v>Bull case DCF</x:v>
      </x:c>
      <x:c r="C34" s="446" t="str">
        <x:v>Bull case DCF</x:v>
      </x:c>
      <x:c r="D34" s="446" t="str">
        <x:v>Bull case DCF</x:v>
      </x:c>
      <x:c r="E34" s="446" t="str">
        <x:v>Bull case DCF</x:v>
      </x:c>
      <x:c r="F34" s="446" t="str">
        <x:v>Bull case DCF</x:v>
      </x:c>
      <x:c r="G34" s="446" t="str">
        <x:v>Bull case DCF</x:v>
      </x:c>
      <x:c r="H34" s="446" t="str">
        <x:v>Bull case DCF</x:v>
      </x:c>
    </x:row>
    <x:row r="35" ht="32" customHeight="1">
      <x:c r="A35" s="421" t="str">
        <x:v>Metric</x:v>
      </x:c>
      <x:c r="B35" s="433" t="n">
        <x:v>46387</x:v>
      </x:c>
      <x:c r="C35" s="433" t="n">
        <x:v>46752</x:v>
      </x:c>
      <x:c r="D35" s="433" t="n">
        <x:v>47118</x:v>
      </x:c>
      <x:c r="E35" s="433" t="n">
        <x:v>47483</x:v>
      </x:c>
      <x:c r="F35" s="433" t="n">
        <x:v>47848</x:v>
      </x:c>
      <x:c r="G35" s="421" t="str">
        <x:v>Unit / note</x:v>
      </x:c>
    </x:row>
    <x:row r="36" ht="27" customHeight="1">
      <x:c r="A36" s="85" t="str">
        <x:v>FCFF</x:v>
      </x:c>
      <x:c r="B36" s="287" t="n">
        <x:f>'P4 Forecast'!D80</x:f>
        <x:v>674.8842030144989</x:v>
      </x:c>
      <x:c r="C36" s="287" t="n">
        <x:f>'P4 Forecast'!E80</x:f>
        <x:v>1360.0046283354104</x:v>
      </x:c>
      <x:c r="D36" s="287" t="n">
        <x:f>'P4 Forecast'!F80</x:f>
        <x:v>2235.5624502133255</x:v>
      </x:c>
      <x:c r="E36" s="287" t="n">
        <x:f>'P4 Forecast'!G80</x:f>
        <x:v>2985.859320282958</x:v>
      </x:c>
      <x:c r="F36" s="287" t="n">
        <x:f>'P4 Forecast'!H80</x:f>
        <x:v>3574.319882201327</x:v>
      </x:c>
      <x:c r="G36" s="87" t="str">
        <x:v>VND bn</x:v>
      </x:c>
    </x:row>
    <x:row r="37" ht="27" customHeight="1">
      <x:c r="A37" s="88" t="str">
        <x:v>Discount period</x:v>
      </x:c>
      <x:c r="B37" s="89" t="n">
        <x:v>1</x:v>
      </x:c>
      <x:c r="C37" s="89" t="n">
        <x:v>2</x:v>
      </x:c>
      <x:c r="D37" s="89" t="n">
        <x:v>3</x:v>
      </x:c>
      <x:c r="E37" s="89" t="n">
        <x:v>4</x:v>
      </x:c>
      <x:c r="F37" s="89" t="n">
        <x:v>5</x:v>
      </x:c>
      <x:c r="G37" s="90" t="str">
        <x:v>Year</x:v>
      </x:c>
    </x:row>
    <x:row r="38" ht="27" customHeight="1">
      <x:c r="A38" s="88" t="str">
        <x:v>Discount factor</x:v>
      </x:c>
      <x:c r="B38" s="211" t="n">
        <x:f>1/(1+$B$41)^B37</x:f>
        <x:v>0.9053532405421708</x:v>
      </x:c>
      <x:c r="C38" s="211" t="n">
        <x:f>1/(1+$B$41)^C37</x:f>
        <x:v>0.8196644901602098</x:v>
      </x:c>
      <x:c r="D38" s="211" t="n">
        <x:f>1/(1+$B$41)^D37</x:f>
        <x:v>0.7420859023238922</x:v>
      </x:c>
      <x:c r="E38" s="211" t="n">
        <x:f>1/(1+$B$41)^E37</x:f>
        <x:v>0.6718498764295965</x:v>
      </x:c>
      <x:c r="F38" s="211" t="n">
        <x:f>1/(1+$B$41)^F37</x:f>
        <x:v>0.6082614627833922</x:v>
      </x:c>
      <x:c r="G38" s="90" t="str">
        <x:v>x</x:v>
      </x:c>
    </x:row>
    <x:row r="39" ht="27" customHeight="1">
      <x:c r="A39" s="88" t="str">
        <x:v>PV of FCFF</x:v>
      </x:c>
      <x:c r="B39" s="211" t="n">
        <x:f>B36*B38</x:f>
        <x:v>611.0086001898968</x:v>
      </x:c>
      <x:c r="C39" s="211" t="n">
        <x:f>C36*C38</x:f>
        <x:v>1114.7475003000698</x:v>
      </x:c>
      <x:c r="D39" s="211" t="n">
        <x:f>D36*D38</x:f>
        <x:v>1658.979378067967</x:v>
      </x:c>
      <x:c r="E39" s="211" t="n">
        <x:f>E36*E38</x:f>
        <x:v>2006.0492153682642</x:v>
      </x:c>
      <x:c r="F39" s="211" t="n">
        <x:f>F36*F38</x:f>
        <x:v>2174.121040003541</x:v>
      </x:c>
      <x:c r="G39" s="90" t="str">
        <x:v>VND bn</x:v>
      </x:c>
    </x:row>
    <x:row r="40" ht="27" customHeight="1">
      <x:c r="A40" s="88" t="str"/>
      <x:c r="B40" s="89"/>
      <x:c r="C40" s="89"/>
      <x:c r="D40" s="89"/>
      <x:c r="E40" s="89"/>
      <x:c r="F40" s="89"/>
      <x:c r="G40" s="90" t="str"/>
    </x:row>
    <x:row r="41" ht="27" customHeight="1">
      <x:c r="A41" s="88" t="str">
        <x:v>WACC</x:v>
      </x:c>
      <x:c r="B41" s="125" t="n">
        <x:f>'P4 Assumptions'!D112</x:f>
        <x:v>0.10454125</x:v>
      </x:c>
      <x:c r="C41" s="89"/>
      <x:c r="D41" s="89"/>
      <x:c r="E41" s="89"/>
      <x:c r="F41" s="89"/>
      <x:c r="G41" s="90" t="str">
        <x:v>%</x:v>
      </x:c>
    </x:row>
    <x:row r="42" ht="27" customHeight="1">
      <x:c r="A42" s="88" t="str">
        <x:v>Terminal growth</x:v>
      </x:c>
      <x:c r="B42" s="125" t="n">
        <x:f>'P4 Assumptions'!D113</x:f>
        <x:v>0.045</x:v>
      </x:c>
      <x:c r="C42" s="89"/>
      <x:c r="D42" s="89"/>
      <x:c r="E42" s="89"/>
      <x:c r="F42" s="89"/>
      <x:c r="G42" s="90" t="str">
        <x:v>%</x:v>
      </x:c>
    </x:row>
    <x:row r="43" ht="27" customHeight="1">
      <x:c r="A43" s="88" t="str">
        <x:v>Terminal cash flow</x:v>
      </x:c>
      <x:c r="B43" s="211" t="n">
        <x:f>F36*(1+B42)</x:f>
        <x:v>3735.1642769003865</x:v>
      </x:c>
      <x:c r="C43" s="89"/>
      <x:c r="D43" s="89"/>
      <x:c r="E43" s="89"/>
      <x:c r="F43" s="89"/>
      <x:c r="G43" s="90" t="str">
        <x:v>VND bn</x:v>
      </x:c>
    </x:row>
    <x:row r="44" ht="27" customHeight="1">
      <x:c r="A44" s="88" t="str">
        <x:v>Terminal value</x:v>
      </x:c>
      <x:c r="B44" s="211" t="n">
        <x:f>B43/(B41-B42)</x:f>
        <x:v>62732.3792648019</x:v>
      </x:c>
      <x:c r="C44" s="89"/>
      <x:c r="D44" s="89"/>
      <x:c r="E44" s="89"/>
      <x:c r="F44" s="89"/>
      <x:c r="G44" s="90" t="str">
        <x:v>VND bn</x:v>
      </x:c>
    </x:row>
    <x:row r="45" ht="27" customHeight="1">
      <x:c r="A45" s="88" t="str">
        <x:v>PV of terminal value</x:v>
      </x:c>
      <x:c r="B45" s="211" t="n">
        <x:f>B44*F38</x:f>
        <x:v>38157.68877549095</x:v>
      </x:c>
      <x:c r="C45" s="89"/>
      <x:c r="D45" s="89"/>
      <x:c r="E45" s="89"/>
      <x:c r="F45" s="89"/>
      <x:c r="G45" s="90" t="str">
        <x:v>VND bn</x:v>
      </x:c>
    </x:row>
    <x:row r="46" ht="27" customHeight="1">
      <x:c r="A46" s="88" t="str">
        <x:v>PV of forecast FCFF</x:v>
      </x:c>
      <x:c r="B46" s="211" t="n">
        <x:f>SUM(B39:F39)</x:f>
        <x:v>7564.90573392974</x:v>
      </x:c>
      <x:c r="C46" s="89"/>
      <x:c r="D46" s="89"/>
      <x:c r="E46" s="89"/>
      <x:c r="F46" s="89"/>
      <x:c r="G46" s="90" t="str">
        <x:v>VND bn</x:v>
      </x:c>
    </x:row>
    <x:row r="47" ht="27" customHeight="1">
      <x:c r="A47" s="459" t="str">
        <x:v>Consolidated enterprise value</x:v>
      </x:c>
      <x:c r="B47" s="495" t="n">
        <x:f>SUM(B45:B46)</x:f>
        <x:v>45722.59450942068</x:v>
      </x:c>
      <x:c r="C47" s="460"/>
      <x:c r="D47" s="460"/>
      <x:c r="E47" s="460"/>
      <x:c r="F47" s="460"/>
      <x:c r="G47" s="460" t="str">
        <x:v>VND bn</x:v>
      </x:c>
    </x:row>
    <x:row r="48" ht="27" customHeight="1">
      <x:c r="A48" s="88" t="str"/>
      <x:c r="B48" s="211"/>
      <x:c r="C48" s="89"/>
      <x:c r="D48" s="89"/>
      <x:c r="E48" s="89"/>
      <x:c r="F48" s="89"/>
      <x:c r="G48" s="90" t="str"/>
    </x:row>
    <x:row r="49" ht="27" customHeight="1">
      <x:c r="A49" s="88" t="str">
        <x:v>2026E associate earnings</x:v>
      </x:c>
      <x:c r="B49" s="211" t="n">
        <x:f>'P4 Forecast'!D66</x:f>
        <x:v>1310.2131206238198</x:v>
      </x:c>
      <x:c r="C49" s="89"/>
      <x:c r="D49" s="89"/>
      <x:c r="E49" s="89"/>
      <x:c r="F49" s="89"/>
      <x:c r="G49" s="90" t="str">
        <x:v>VND bn</x:v>
      </x:c>
    </x:row>
    <x:row r="50" ht="27" customHeight="1">
      <x:c r="A50" s="88" t="str">
        <x:v>Associate earnings multiple</x:v>
      </x:c>
      <x:c r="B50" s="515" t="n">
        <x:f>'P4 Assumptions'!D114</x:f>
        <x:v>15</x:v>
      </x:c>
      <x:c r="C50" s="89"/>
      <x:c r="D50" s="89"/>
      <x:c r="E50" s="89"/>
      <x:c r="F50" s="89"/>
      <x:c r="G50" s="90" t="str">
        <x:v>x</x:v>
      </x:c>
    </x:row>
    <x:row r="51" ht="27" customHeight="1">
      <x:c r="A51" s="88" t="str">
        <x:v>Associate equity value</x:v>
      </x:c>
      <x:c r="B51" s="211" t="n">
        <x:f>B49*B50</x:f>
        <x:v>19653.196809357298</x:v>
      </x:c>
      <x:c r="C51" s="89"/>
      <x:c r="D51" s="89"/>
      <x:c r="E51" s="89"/>
      <x:c r="F51" s="89"/>
      <x:c r="G51" s="90" t="str">
        <x:v>VND bn</x:v>
      </x:c>
    </x:row>
    <x:row r="52" ht="27" customHeight="1">
      <x:c r="A52" s="88" t="str">
        <x:v>FY2025 net cash</x:v>
      </x:c>
      <x:c r="B52" s="211" t="n">
        <x:f>'P4 Assumptions'!C20</x:f>
        <x:v>1971.728574399</x:v>
      </x:c>
      <x:c r="C52" s="89"/>
      <x:c r="D52" s="89"/>
      <x:c r="E52" s="89"/>
      <x:c r="F52" s="89"/>
      <x:c r="G52" s="90" t="str">
        <x:v>VND bn</x:v>
      </x:c>
    </x:row>
    <x:row r="53" ht="27" customHeight="1">
      <x:c r="A53" s="88" t="str">
        <x:v>2026E NCI PAT</x:v>
      </x:c>
      <x:c r="B53" s="211" t="n">
        <x:f>'P4 Forecast'!D73</x:f>
        <x:v>591.3776934040666</x:v>
      </x:c>
      <x:c r="C53" s="89"/>
      <x:c r="D53" s="89"/>
      <x:c r="E53" s="89"/>
      <x:c r="F53" s="89"/>
      <x:c r="G53" s="90" t="str">
        <x:v>VND bn</x:v>
      </x:c>
    </x:row>
    <x:row r="54" ht="27" customHeight="1">
      <x:c r="A54" s="88" t="str">
        <x:v>NCI earnings multiple</x:v>
      </x:c>
      <x:c r="B54" s="515" t="n">
        <x:f>'P4 Assumptions'!D115</x:f>
        <x:v>15</x:v>
      </x:c>
      <x:c r="C54" s="89"/>
      <x:c r="D54" s="89"/>
      <x:c r="E54" s="89"/>
      <x:c r="F54" s="89"/>
      <x:c r="G54" s="90" t="str">
        <x:v>x</x:v>
      </x:c>
    </x:row>
    <x:row r="55" ht="27" customHeight="1">
      <x:c r="A55" s="88" t="str">
        <x:v>NCI value deduction</x:v>
      </x:c>
      <x:c r="B55" s="211" t="n">
        <x:f>B53*B54</x:f>
        <x:v>8870.665401060998</x:v>
      </x:c>
      <x:c r="C55" s="89"/>
      <x:c r="D55" s="89"/>
      <x:c r="E55" s="89"/>
      <x:c r="F55" s="89"/>
      <x:c r="G55" s="90" t="str">
        <x:v>VND bn</x:v>
      </x:c>
    </x:row>
    <x:row r="56" ht="27" customHeight="1">
      <x:c r="A56" s="499" t="str">
        <x:v>Equity value</x:v>
      </x:c>
      <x:c r="B56" s="501" t="n">
        <x:f>B47+B51+B52-B55</x:f>
        <x:v>58476.854492115985</x:v>
      </x:c>
      <x:c r="C56" s="500"/>
      <x:c r="D56" s="500"/>
      <x:c r="E56" s="500"/>
      <x:c r="F56" s="500"/>
      <x:c r="G56" s="500" t="str">
        <x:v>VND bn</x:v>
      </x:c>
    </x:row>
    <x:row r="57" ht="27" customHeight="1">
      <x:c r="A57" s="455" t="str">
        <x:v>Listed shares</x:v>
      </x:c>
      <x:c r="B57" s="494" t="n">
        <x:f>'P4 Assumptions'!C18</x:f>
        <x:v>426.495109</x:v>
      </x:c>
      <x:c r="C57" s="456"/>
      <x:c r="D57" s="456"/>
      <x:c r="E57" s="456"/>
      <x:c r="F57" s="456"/>
      <x:c r="G57" s="456" t="str">
        <x:v>m shares</x:v>
      </x:c>
    </x:row>
    <x:row r="58" ht="27" customHeight="1">
      <x:c r="A58" s="502" t="str">
        <x:v>DCF value / share</x:v>
      </x:c>
      <x:c r="B58" s="504" t="n">
        <x:f>B56*1000/B57</x:f>
        <x:v>137110.25814393567</x:v>
      </x:c>
      <x:c r="C58" s="503"/>
      <x:c r="D58" s="503"/>
      <x:c r="E58" s="503"/>
      <x:c r="F58" s="503"/>
      <x:c r="G58" s="503" t="str">
        <x:v>VND/share</x:v>
      </x:c>
    </x:row>
    <x:row r="64" ht="22" customHeight="1">
      <x:c r="A64" s="449" t="str">
        <x:v>Bear case DCF</x:v>
      </x:c>
      <x:c r="B64" s="449" t="str">
        <x:v>Bear case DCF</x:v>
      </x:c>
      <x:c r="C64" s="449" t="str">
        <x:v>Bear case DCF</x:v>
      </x:c>
      <x:c r="D64" s="449" t="str">
        <x:v>Bear case DCF</x:v>
      </x:c>
      <x:c r="E64" s="449" t="str">
        <x:v>Bear case DCF</x:v>
      </x:c>
      <x:c r="F64" s="449" t="str">
        <x:v>Bear case DCF</x:v>
      </x:c>
      <x:c r="G64" s="449" t="str">
        <x:v>Bear case DCF</x:v>
      </x:c>
      <x:c r="H64" s="449" t="str">
        <x:v>Bear case DCF</x:v>
      </x:c>
    </x:row>
    <x:row r="65" ht="32" customHeight="1">
      <x:c r="A65" s="421" t="str">
        <x:v>Metric</x:v>
      </x:c>
      <x:c r="B65" s="433" t="n">
        <x:v>46387</x:v>
      </x:c>
      <x:c r="C65" s="433" t="n">
        <x:v>46752</x:v>
      </x:c>
      <x:c r="D65" s="433" t="n">
        <x:v>47118</x:v>
      </x:c>
      <x:c r="E65" s="433" t="n">
        <x:v>47483</x:v>
      </x:c>
      <x:c r="F65" s="433" t="n">
        <x:v>47848</x:v>
      </x:c>
      <x:c r="G65" s="421" t="str">
        <x:v>Unit / note</x:v>
      </x:c>
    </x:row>
    <x:row r="66" ht="27" customHeight="1">
      <x:c r="A66" s="85" t="str">
        <x:v>FCFF</x:v>
      </x:c>
      <x:c r="B66" s="287" t="n">
        <x:f>'P4 Forecast'!D120</x:f>
        <x:v>269.1542463455366</x:v>
      </x:c>
      <x:c r="C66" s="287" t="n">
        <x:f>'P4 Forecast'!E120</x:f>
        <x:v>486.12595909201053</x:v>
      </x:c>
      <x:c r="D66" s="287" t="n">
        <x:f>'P4 Forecast'!F120</x:f>
        <x:v>783.614659421527</x:v>
      </x:c>
      <x:c r="E66" s="287" t="n">
        <x:f>'P4 Forecast'!G120</x:f>
        <x:v>1202.5416876373458</x:v>
      </x:c>
      <x:c r="F66" s="287" t="n">
        <x:f>'P4 Forecast'!H120</x:f>
        <x:v>1484.2730703745228</x:v>
      </x:c>
      <x:c r="G66" s="87" t="str">
        <x:v>VND bn</x:v>
      </x:c>
    </x:row>
    <x:row r="67" ht="27" customHeight="1">
      <x:c r="A67" s="88" t="str">
        <x:v>Discount period</x:v>
      </x:c>
      <x:c r="B67" s="89" t="n">
        <x:v>1</x:v>
      </x:c>
      <x:c r="C67" s="89" t="n">
        <x:v>2</x:v>
      </x:c>
      <x:c r="D67" s="89" t="n">
        <x:v>3</x:v>
      </x:c>
      <x:c r="E67" s="89" t="n">
        <x:v>4</x:v>
      </x:c>
      <x:c r="F67" s="89" t="n">
        <x:v>5</x:v>
      </x:c>
      <x:c r="G67" s="90" t="str">
        <x:v>Year</x:v>
      </x:c>
    </x:row>
    <x:row r="68" ht="27" customHeight="1">
      <x:c r="A68" s="88" t="str">
        <x:v>Discount factor</x:v>
      </x:c>
      <x:c r="B68" s="211" t="n">
        <x:f>1/(1+$B$71)^B67</x:f>
        <x:v>0.8868402878240155</x:v>
      </x:c>
      <x:c r="C68" s="211" t="n">
        <x:f>1/(1+$B$71)^C67</x:f>
        <x:v>0.7864856961077825</x:v>
      </x:c>
      <x:c r="D68" s="211" t="n">
        <x:f>1/(1+$B$71)^D67</x:f>
        <x:v>0.697487201105697</x:v>
      </x:c>
      <x:c r="E68" s="211" t="n">
        <x:f>1/(1+$B$71)^E67</x:f>
        <x:v>0.6185597501821433</x:v>
      </x:c>
      <x:c r="F68" s="211" t="n">
        <x:f>1/(1+$B$71)^F67</x:f>
        <x:v>0.5485637068878829</x:v>
      </x:c>
      <x:c r="G68" s="90" t="str">
        <x:v>x</x:v>
      </x:c>
    </x:row>
    <x:row r="69" ht="27" customHeight="1">
      <x:c r="A69" s="88" t="str">
        <x:v>PV of FCFF</x:v>
      </x:c>
      <x:c r="B69" s="211" t="n">
        <x:f>B66*B68</x:f>
        <x:v>238.69682929813163</x:v>
      </x:c>
      <x:c r="C69" s="211" t="n">
        <x:f>C66*C68</x:f>
        <x:v>382.33111333254334</x:v>
      </x:c>
      <x:c r="D69" s="211" t="n">
        <x:f>D66*D68</x:f>
        <x:v>546.5611955453148</x:v>
      </x:c>
      <x:c r="E69" s="211" t="n">
        <x:f>E66*E68</x:f>
        <x:v>743.8438858885696</x:v>
      </x:c>
      <x:c r="F69" s="211" t="n">
        <x:f>F66*F68</x:f>
        <x:v>814.2183375185077</x:v>
      </x:c>
      <x:c r="G69" s="90" t="str">
        <x:v>VND bn</x:v>
      </x:c>
    </x:row>
    <x:row r="70" ht="27" customHeight="1">
      <x:c r="A70" s="88" t="str"/>
      <x:c r="B70" s="89"/>
      <x:c r="C70" s="89"/>
      <x:c r="D70" s="89"/>
      <x:c r="E70" s="89"/>
      <x:c r="F70" s="89"/>
      <x:c r="G70" s="90" t="str"/>
    </x:row>
    <x:row r="71" ht="27" customHeight="1">
      <x:c r="A71" s="88" t="str">
        <x:v>WACC</x:v>
      </x:c>
      <x:c r="B71" s="125" t="n">
        <x:f>'P4 Assumptions'!E112</x:f>
        <x:v>0.12759875</x:v>
      </x:c>
      <x:c r="C71" s="89"/>
      <x:c r="D71" s="89"/>
      <x:c r="E71" s="89"/>
      <x:c r="F71" s="89"/>
      <x:c r="G71" s="90" t="str">
        <x:v>%</x:v>
      </x:c>
    </x:row>
    <x:row r="72" ht="27" customHeight="1">
      <x:c r="A72" s="88" t="str">
        <x:v>Terminal growth</x:v>
      </x:c>
      <x:c r="B72" s="125" t="n">
        <x:f>'P4 Assumptions'!E113</x:f>
        <x:v>0.03</x:v>
      </x:c>
      <x:c r="C72" s="89"/>
      <x:c r="D72" s="89"/>
      <x:c r="E72" s="89"/>
      <x:c r="F72" s="89"/>
      <x:c r="G72" s="90" t="str">
        <x:v>%</x:v>
      </x:c>
    </x:row>
    <x:row r="73" ht="27" customHeight="1">
      <x:c r="A73" s="88" t="str">
        <x:v>Terminal cash flow</x:v>
      </x:c>
      <x:c r="B73" s="211" t="n">
        <x:f>F66*(1+B72)</x:f>
        <x:v>1528.8012624857586</x:v>
      </x:c>
      <x:c r="C73" s="89"/>
      <x:c r="D73" s="89"/>
      <x:c r="E73" s="89"/>
      <x:c r="F73" s="89"/>
      <x:c r="G73" s="90" t="str">
        <x:v>VND bn</x:v>
      </x:c>
    </x:row>
    <x:row r="74" ht="27" customHeight="1">
      <x:c r="A74" s="88" t="str">
        <x:v>Terminal value</x:v>
      </x:c>
      <x:c r="B74" s="211" t="n">
        <x:f>B73/(B71-B72)</x:f>
        <x:v>15664.14797818372</x:v>
      </x:c>
      <x:c r="C74" s="89"/>
      <x:c r="D74" s="89"/>
      <x:c r="E74" s="89"/>
      <x:c r="F74" s="89"/>
      <x:c r="G74" s="90" t="str">
        <x:v>VND bn</x:v>
      </x:c>
    </x:row>
    <x:row r="75" ht="27" customHeight="1">
      <x:c r="A75" s="88" t="str">
        <x:v>PV of terminal value</x:v>
      </x:c>
      <x:c r="B75" s="211" t="n">
        <x:f>B74*F68</x:f>
        <x:v>8592.783080152798</x:v>
      </x:c>
      <x:c r="C75" s="89"/>
      <x:c r="D75" s="89"/>
      <x:c r="E75" s="89"/>
      <x:c r="F75" s="89"/>
      <x:c r="G75" s="90" t="str">
        <x:v>VND bn</x:v>
      </x:c>
    </x:row>
    <x:row r="76" ht="27" customHeight="1">
      <x:c r="A76" s="88" t="str">
        <x:v>PV of forecast FCFF</x:v>
      </x:c>
      <x:c r="B76" s="211" t="n">
        <x:f>SUM(B69:F69)</x:f>
        <x:v>2725.6513615830672</x:v>
      </x:c>
      <x:c r="C76" s="89"/>
      <x:c r="D76" s="89"/>
      <x:c r="E76" s="89"/>
      <x:c r="F76" s="89"/>
      <x:c r="G76" s="90" t="str">
        <x:v>VND bn</x:v>
      </x:c>
    </x:row>
    <x:row r="77" ht="27" customHeight="1">
      <x:c r="A77" s="459" t="str">
        <x:v>Consolidated enterprise value</x:v>
      </x:c>
      <x:c r="B77" s="495" t="n">
        <x:f>SUM(B75:B76)</x:f>
        <x:v>11318.434441735866</x:v>
      </x:c>
      <x:c r="C77" s="460"/>
      <x:c r="D77" s="460"/>
      <x:c r="E77" s="460"/>
      <x:c r="F77" s="460"/>
      <x:c r="G77" s="460" t="str">
        <x:v>VND bn</x:v>
      </x:c>
    </x:row>
    <x:row r="78" ht="27" customHeight="1">
      <x:c r="A78" s="88" t="str"/>
      <x:c r="B78" s="211"/>
      <x:c r="C78" s="89"/>
      <x:c r="D78" s="89"/>
      <x:c r="E78" s="89"/>
      <x:c r="F78" s="89"/>
      <x:c r="G78" s="90" t="str"/>
    </x:row>
    <x:row r="79" ht="27" customHeight="1">
      <x:c r="A79" s="88" t="str">
        <x:v>2026E associate earnings</x:v>
      </x:c>
      <x:c r="B79" s="211" t="n">
        <x:f>'P4 Forecast'!D106</x:f>
        <x:v>1179.367337947</x:v>
      </x:c>
      <x:c r="C79" s="89"/>
      <x:c r="D79" s="89"/>
      <x:c r="E79" s="89"/>
      <x:c r="F79" s="89"/>
      <x:c r="G79" s="90" t="str">
        <x:v>VND bn</x:v>
      </x:c>
    </x:row>
    <x:row r="80" ht="27" customHeight="1">
      <x:c r="A80" s="88" t="str">
        <x:v>Associate earnings multiple</x:v>
      </x:c>
      <x:c r="B80" s="515" t="n">
        <x:f>'P4 Assumptions'!E114</x:f>
        <x:v>12</x:v>
      </x:c>
      <x:c r="C80" s="89"/>
      <x:c r="D80" s="89"/>
      <x:c r="E80" s="89"/>
      <x:c r="F80" s="89"/>
      <x:c r="G80" s="90" t="str">
        <x:v>x</x:v>
      </x:c>
    </x:row>
    <x:row r="81" ht="27" customHeight="1">
      <x:c r="A81" s="88" t="str">
        <x:v>Associate equity value</x:v>
      </x:c>
      <x:c r="B81" s="211" t="n">
        <x:f>B79*B80</x:f>
        <x:v>14152.408055363998</x:v>
      </x:c>
      <x:c r="C81" s="89"/>
      <x:c r="D81" s="89"/>
      <x:c r="E81" s="89"/>
      <x:c r="F81" s="89"/>
      <x:c r="G81" s="90" t="str">
        <x:v>VND bn</x:v>
      </x:c>
    </x:row>
    <x:row r="82" ht="27" customHeight="1">
      <x:c r="A82" s="88" t="str">
        <x:v>FY2025 net cash</x:v>
      </x:c>
      <x:c r="B82" s="211" t="n">
        <x:f>'P4 Assumptions'!C20</x:f>
        <x:v>1971.728574399</x:v>
      </x:c>
      <x:c r="C82" s="89"/>
      <x:c r="D82" s="89"/>
      <x:c r="E82" s="89"/>
      <x:c r="F82" s="89"/>
      <x:c r="G82" s="90" t="str">
        <x:v>VND bn</x:v>
      </x:c>
    </x:row>
    <x:row r="83" ht="27" customHeight="1">
      <x:c r="A83" s="88" t="str">
        <x:v>2026E NCI PAT</x:v>
      </x:c>
      <x:c r="B83" s="211" t="n">
        <x:f>'P4 Forecast'!D113</x:f>
        <x:v>544.4138318394705</x:v>
      </x:c>
      <x:c r="C83" s="89"/>
      <x:c r="D83" s="89"/>
      <x:c r="E83" s="89"/>
      <x:c r="F83" s="89"/>
      <x:c r="G83" s="90" t="str">
        <x:v>VND bn</x:v>
      </x:c>
    </x:row>
    <x:row r="84" ht="27" customHeight="1">
      <x:c r="A84" s="88" t="str">
        <x:v>NCI earnings multiple</x:v>
      </x:c>
      <x:c r="B84" s="515" t="n">
        <x:f>'P4 Assumptions'!E115</x:f>
        <x:v>12</x:v>
      </x:c>
      <x:c r="C84" s="89"/>
      <x:c r="D84" s="89"/>
      <x:c r="E84" s="89"/>
      <x:c r="F84" s="89"/>
      <x:c r="G84" s="90" t="str">
        <x:v>x</x:v>
      </x:c>
    </x:row>
    <x:row r="85" ht="27" customHeight="1">
      <x:c r="A85" s="88" t="str">
        <x:v>NCI value deduction</x:v>
      </x:c>
      <x:c r="B85" s="211" t="n">
        <x:f>B83*B84</x:f>
        <x:v>6532.965982073646</x:v>
      </x:c>
      <x:c r="C85" s="89"/>
      <x:c r="D85" s="89"/>
      <x:c r="E85" s="89"/>
      <x:c r="F85" s="89"/>
      <x:c r="G85" s="90" t="str">
        <x:v>VND bn</x:v>
      </x:c>
    </x:row>
    <x:row r="86" ht="27" customHeight="1">
      <x:c r="A86" s="499" t="str">
        <x:v>Equity value</x:v>
      </x:c>
      <x:c r="B86" s="501" t="n">
        <x:f>B77+B81+B82-B85</x:f>
        <x:v>20909.60508942522</x:v>
      </x:c>
      <x:c r="C86" s="500"/>
      <x:c r="D86" s="500"/>
      <x:c r="E86" s="500"/>
      <x:c r="F86" s="500"/>
      <x:c r="G86" s="500" t="str">
        <x:v>VND bn</x:v>
      </x:c>
    </x:row>
    <x:row r="87" ht="27" customHeight="1">
      <x:c r="A87" s="455" t="str">
        <x:v>Listed shares</x:v>
      </x:c>
      <x:c r="B87" s="494" t="n">
        <x:f>'P4 Assumptions'!C18</x:f>
        <x:v>426.495109</x:v>
      </x:c>
      <x:c r="C87" s="456"/>
      <x:c r="D87" s="456"/>
      <x:c r="E87" s="456"/>
      <x:c r="F87" s="456"/>
      <x:c r="G87" s="456" t="str">
        <x:v>m shares</x:v>
      </x:c>
    </x:row>
    <x:row r="88" ht="27" customHeight="1">
      <x:c r="A88" s="502" t="str">
        <x:v>DCF value / share</x:v>
      </x:c>
      <x:c r="B88" s="504" t="n">
        <x:f>B86*1000/B87</x:f>
        <x:v>49026.59994964964</x:v>
      </x:c>
      <x:c r="C88" s="503"/>
      <x:c r="D88" s="503"/>
      <x:c r="E88" s="503"/>
      <x:c r="F88" s="503"/>
      <x:c r="G88" s="503" t="str">
        <x:v>VND/share</x:v>
      </x:c>
    </x:row>
    <x:row r="94" ht="22" customHeight="1">
      <x:c r="A94" s="415" t="str">
        <x:v>Base-case DCF sensitivity — WACC vs terminal growth</x:v>
      </x:c>
      <x:c r="B94" s="415" t="str">
        <x:v>Base-case DCF sensitivity — WACC vs terminal growth</x:v>
      </x:c>
      <x:c r="C94" s="415" t="str">
        <x:v>Base-case DCF sensitivity — WACC vs terminal growth</x:v>
      </x:c>
      <x:c r="D94" s="415" t="str">
        <x:v>Base-case DCF sensitivity — WACC vs terminal growth</x:v>
      </x:c>
      <x:c r="E94" s="415" t="str">
        <x:v>Base-case DCF sensitivity — WACC vs terminal growth</x:v>
      </x:c>
      <x:c r="F94" s="415" t="str">
        <x:v>Base-case DCF sensitivity — WACC vs terminal growth</x:v>
      </x:c>
      <x:c r="G94" s="415" t="str">
        <x:v>Base-case DCF sensitivity — WACC vs terminal growth</x:v>
      </x:c>
      <x:c r="H94" s="415" t="str">
        <x:v>Base-case DCF sensitivity — WACC vs terminal growth</x:v>
      </x:c>
    </x:row>
    <x:row r="95" ht="32" customHeight="1">
      <x:c r="A95" s="421" t="str">
        <x:v>WACC / TGR</x:v>
      </x:c>
      <x:c r="B95" s="518" t="n">
        <x:v>0.03</x:v>
      </x:c>
      <x:c r="C95" s="518" t="n">
        <x:v>0.035</x:v>
      </x:c>
      <x:c r="D95" s="518" t="n">
        <x:v>0.04</x:v>
      </x:c>
      <x:c r="E95" s="518" t="n">
        <x:v>0.045</x:v>
      </x:c>
      <x:c r="F95" s="518" t="n">
        <x:v>0.05</x:v>
      </x:c>
      <x:c r="G95" s="421" t="str">
        <x:v>VND/share</x:v>
      </x:c>
    </x:row>
    <x:row r="96" ht="26" customHeight="1">
      <x:c r="A96" s="527" t="n">
        <x:v>0.105</x:v>
      </x:c>
      <x:c r="B96" s="130" t="n">
        <x:f>((B6/(1+$A96)^1+C6/(1+$A96)^2+D6/(1+$A96)^3+E6/(1+$A96)^4+F6/(1+$A96)^5)+F6*(1+B$95)/($A96-B$95)/(1+$A96)^5+B21+B22-B25)*1000/B27</x:f>
        <x:v>91969.374092882</x:v>
      </x:c>
      <x:c r="C96" s="130" t="n">
        <x:f>((B6/(1+$A96)^1+C6/(1+$A96)^2+D6/(1+$A96)^3+E6/(1+$A96)^4+F6/(1+$A96)^5)+F6*(1+C$95)/($A96-C$95)/(1+$A96)^5+B21+B22-B25)*1000/B27</x:f>
        <x:v>95954.3616423742</x:v>
      </x:c>
      <x:c r="D96" s="130" t="n">
        <x:f>((B6/(1+$A96)^1+C6/(1+$A96)^2+D6/(1+$A96)^3+E6/(1+$A96)^4+F6/(1+$A96)^5)+F6*(1+D$95)/($A96-D$95)/(1+$A96)^5+B21+B22-B25)*1000/B27</x:f>
        <x:v>100552.42419948056</x:v>
      </x:c>
      <x:c r="E96" s="130" t="n">
        <x:f>((B6/(1+$A96)^1+C6/(1+$A96)^2+D6/(1+$A96)^3+E6/(1+$A96)^4+F6/(1+$A96)^5)+F6*(1+E$95)/($A96-E$95)/(1+$A96)^5+B21+B22-B25)*1000/B27</x:f>
        <x:v>105916.83051610464</x:v>
      </x:c>
      <x:c r="F96" s="130" t="n">
        <x:f>((B6/(1+$A96)^1+C6/(1+$A96)^2+D6/(1+$A96)^3+E6/(1+$A96)^4+F6/(1+$A96)^5)+F6*(1+F$95)/($A96-F$95)/(1+$A96)^5+B21+B22-B25)*1000/B27</x:f>
        <x:v>112256.58343575131</x:v>
      </x:c>
      <x:c r="G96" s="87"/>
    </x:row>
    <x:row r="97" ht="26" customHeight="1">
      <x:c r="A97" s="528" t="n">
        <x:v>0.11</x:v>
      </x:c>
      <x:c r="B97" s="131" t="n">
        <x:f>((B6/(1+$A97)^1+C6/(1+$A97)^2+D6/(1+$A97)^3+E6/(1+$A97)^4+F6/(1+$A97)^5)+F6*(1+B$95)/($A97-B$95)/(1+$A97)^5+B21+B22-B25)*1000/B27</x:f>
        <x:v>87420.00342978726</x:v>
      </x:c>
      <x:c r="C97" s="131" t="n">
        <x:f>((B6/(1+$A97)^1+C6/(1+$A97)^2+D6/(1+$A97)^3+E6/(1+$A97)^4+F6/(1+$A97)^5)+F6*(1+C$95)/($A97-C$95)/(1+$A97)^5+B21+B22-B25)*1000/B27</x:f>
        <x:v>90844.46438453069</x:v>
      </x:c>
      <x:c r="D97" s="131" t="n">
        <x:f>((B6/(1+$A97)^1+C6/(1+$A97)^2+D6/(1+$A97)^3+E6/(1+$A97)^4+F6/(1+$A97)^5)+F6*(1+D$95)/($A97-D$95)/(1+$A97)^5+B21+B22-B25)*1000/B27</x:f>
        <x:v>94758.13404709463</x:v>
      </x:c>
      <x:c r="E97" s="131" t="n">
        <x:f>((B6/(1+$A97)^1+C6/(1+$A97)^2+D6/(1+$A97)^3+E6/(1+$A97)^4+F6/(1+$A97)^5)+F6*(1+E$95)/($A97-E$95)/(1+$A97)^5+B21+B22-B25)*1000/B27</x:f>
        <x:v>99273.90673466837</x:v>
      </x:c>
      <x:c r="F97" s="131" t="n">
        <x:f>((B6/(1+$A97)^1+C6/(1+$A97)^2+D6/(1+$A97)^3+E6/(1+$A97)^4+F6/(1+$A97)^5)+F6*(1+F$95)/($A97-F$95)/(1+$A97)^5+B21+B22-B25)*1000/B27</x:f>
        <x:v>104542.30820350444</x:v>
      </x:c>
      <x:c r="G97" s="90"/>
    </x:row>
    <x:row r="98" ht="26" customHeight="1">
      <x:c r="A98" s="528" t="n">
        <x:v>0.115</x:v>
      </x:c>
      <x:c r="B98" s="131" t="n">
        <x:f>((B6/(1+$A98)^1+C6/(1+$A98)^2+D6/(1+$A98)^3+E6/(1+$A98)^4+F6/(1+$A98)^5)+F6*(1+B$95)/($A98-B$95)/(1+$A98)^5+B21+B22-B25)*1000/B27</x:f>
        <x:v>83412.99485895912</x:v>
      </x:c>
      <x:c r="C98" s="131" t="n">
        <x:f>((B6/(1+$A98)^1+C6/(1+$A98)^2+D6/(1+$A98)^3+E6/(1+$A98)^4+F6/(1+$A98)^5)+F6*(1+C$95)/($A98-C$95)/(1+$A98)^5+B21+B22-B25)*1000/B27</x:f>
        <x:v>86380.74272987986</x:v>
      </x:c>
      <x:c r="D98" s="530" t="n">
        <x:f>((B6/(1+$A98)^1+C6/(1+$A98)^2+D6/(1+$A98)^3+E6/(1+$A98)^4+F6/(1+$A98)^5)+F6*(1+D$95)/($A98-D$95)/(1+$A98)^5+B21+B22-B25)*1000/B27</x:f>
        <x:v>89744.19031692338</x:v>
      </x:c>
      <x:c r="E98" s="131" t="n">
        <x:f>((B6/(1+$A98)^1+C6/(1+$A98)^2+D6/(1+$A98)^3+E6/(1+$A98)^4+F6/(1+$A98)^5)+F6*(1+E$95)/($A98-E$95)/(1+$A98)^5+B21+B22-B25)*1000/B27</x:f>
        <x:v>93588.13041640172</x:v>
      </x:c>
      <x:c r="F98" s="131" t="n">
        <x:f>((B6/(1+$A98)^1+C6/(1+$A98)^2+D6/(1+$A98)^3+E6/(1+$A98)^4+F6/(1+$A98)^5)+F6*(1+F$95)/($A98-F$95)/(1+$A98)^5+B21+B22-B25)*1000/B27</x:f>
        <x:v>98023.44591579978</x:v>
      </x:c>
      <x:c r="G98" s="90"/>
    </x:row>
    <x:row r="99" ht="26" customHeight="1">
      <x:c r="A99" s="528" t="n">
        <x:v>0.12</x:v>
      </x:c>
      <x:c r="B99" s="131" t="n">
        <x:f>((B6/(1+$A99)^1+C6/(1+$A99)^2+D6/(1+$A99)^3+E6/(1+$A99)^4+F6/(1+$A99)^5)+F6*(1+B$95)/($A99-B$95)/(1+$A99)^5+B21+B22-B25)*1000/B27</x:f>
        <x:v>79857.80367801181</x:v>
      </x:c>
      <x:c r="C99" s="131" t="n">
        <x:f>((B6/(1+$A99)^1+C6/(1+$A99)^2+D6/(1+$A99)^3+E6/(1+$A99)^4+F6/(1+$A99)^5)+F6*(1+C$95)/($A99-C$95)/(1+$A99)^5+B21+B22-B25)*1000/B27</x:f>
        <x:v>82449.00918803606</x:v>
      </x:c>
      <x:c r="D99" s="131" t="n">
        <x:f>((B6/(1+$A99)^1+C6/(1+$A99)^2+D6/(1+$A99)^3+E6/(1+$A99)^4+F6/(1+$A99)^5)+F6*(1+D$95)/($A99-D$95)/(1+$A99)^5+B21+B22-B25)*1000/B27</x:f>
        <x:v>85364.11538681337</x:v>
      </x:c>
      <x:c r="E99" s="131" t="n">
        <x:f>((B6/(1+$A99)^1+C6/(1+$A99)^2+D6/(1+$A99)^3+E6/(1+$A99)^4+F6/(1+$A99)^5)+F6*(1+E$95)/($A99-E$95)/(1+$A99)^5+B21+B22-B25)*1000/B27</x:f>
        <x:v>88667.9024120943</x:v>
      </x:c>
      <x:c r="F99" s="131" t="n">
        <x:f>((B6/(1+$A99)^1+C6/(1+$A99)^2+D6/(1+$A99)^3+E6/(1+$A99)^4+F6/(1+$A99)^5)+F6*(1+F$95)/($A99-F$95)/(1+$A99)^5+B21+B22-B25)*1000/B27</x:f>
        <x:v>92443.65901241536</x:v>
      </x:c>
      <x:c r="G99" s="90"/>
    </x:row>
    <x:row r="100" ht="26" customHeight="1">
      <x:c r="A100" s="529" t="n">
        <x:v>0.125</x:v>
      </x:c>
      <x:c r="B100" s="132" t="n">
        <x:f>((B6/(1+$A100)^1+C6/(1+$A100)^2+D6/(1+$A100)^3+E6/(1+$A100)^4+F6/(1+$A100)^5)+F6*(1+B$95)/($A100-B$95)/(1+$A100)^5+B21+B22-B25)*1000/B27</x:f>
        <x:v>76682.95115604375</x:v>
      </x:c>
      <x:c r="C100" s="132" t="n">
        <x:f>((B6/(1+$A100)^1+C6/(1+$A100)^2+D6/(1+$A100)^3+E6/(1+$A100)^4+F6/(1+$A100)^5)+F6*(1+C$95)/($A100-C$95)/(1+$A100)^5+B21+B22-B25)*1000/B27</x:f>
        <x:v>78960.45532079856</x:v>
      </x:c>
      <x:c r="D100" s="132" t="n">
        <x:f>((B6/(1+$A100)^1+C6/(1+$A100)^2+D6/(1+$A100)^3+E6/(1+$A100)^4+F6/(1+$A100)^5)+F6*(1+D$95)/($A100-D$95)/(1+$A100)^5+B21+B22-B25)*1000/B27</x:f>
        <x:v>81505.90115199512</x:v>
      </x:c>
      <x:c r="E100" s="132" t="n">
        <x:f>((B6/(1+$A100)^1+C6/(1+$A100)^2+D6/(1+$A100)^3+E6/(1+$A100)^4+F6/(1+$A100)^5)+F6*(1+E$95)/($A100-E$95)/(1+$A100)^5+B21+B22-B25)*1000/B27</x:f>
        <x:v>84369.52771209122</x:v>
      </x:c>
      <x:c r="F100" s="132" t="n">
        <x:f>((B6/(1+$A100)^1+C6/(1+$A100)^2+D6/(1+$A100)^3+E6/(1+$A100)^4+F6/(1+$A100)^5)+F6*(1+F$95)/($A100-F$95)/(1+$A100)^5+B21+B22-B25)*1000/B27</x:f>
        <x:v>87614.97114686681</x:v>
      </x:c>
      <x:c r="G100" s="93"/>
    </x:row>
    <x:row r="102" ht="25" customHeight="1">
      <x:c r="A102" s="482"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B102" s="483"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C102" s="483"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D102" s="483"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E102" s="483"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F102" s="483"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G102" s="483"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H102" s="484"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row>
    <x:row r="103" ht="25" customHeight="1">
      <x:c r="A103" s="485"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B103" s="486"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C103" s="486"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D103" s="486"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E103" s="486"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F103" s="486"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G103" s="486"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H103" s="487"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row>
    <x:row r="104" ht="25" customHeight="1">
      <x:c r="A104" s="488"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B104" s="489"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C104" s="489"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D104" s="489"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E104" s="489"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F104" s="489"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G104" s="489"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c r="H104" s="490" t="str">
        <x:v>DCF interpretation: consolidated operations, associates and NCI are separated to avoid treating Gemalink's equity-accounted earnings as consolidated revenue or FCFF. The sensitivity table varies the core DCF discount rate and terminal growth while holding the associate/NCI multiples constant.</x:v>
      </x:c>
    </x:row>
  </x:sheetData>
  <x:mergeCells>
    <x:mergeCell ref="A1:H1"/>
    <x:mergeCell ref="A2:H2"/>
    <x:mergeCell ref="A4:H4"/>
    <x:mergeCell ref="A34:H34"/>
    <x:mergeCell ref="A64:H64"/>
    <x:mergeCell ref="A94:H94"/>
    <x:mergeCell ref="A102:H104"/>
  </x:mergeCells>
  <x:pageMargins left="0.7" right="0.7" top="0.75" bottom="0.75" header="0.3" footer="0.3"/>
</x:worksheet>
</file>

<file path=xl/worksheets/sheet31.xml><?xml version="1.0" encoding="utf-8"?>
<x:worksheet xmlns:x="http://schemas.openxmlformats.org/spreadsheetml/2006/main">
  <x:sheetViews>
    <x:sheetView showGridLines="0" workbookViewId="0"/>
  </x:sheetViews>
  <x:sheetFormatPr defaultRowHeight="15"/>
  <x:cols>
    <x:col min="1" max="1" width="40" hidden="0" customWidth="1"/>
    <x:col min="2" max="2" width="18" hidden="0" customWidth="1"/>
    <x:col min="3" max="3" width="18" hidden="0" customWidth="1"/>
    <x:col min="4" max="4" width="18" hidden="0" customWidth="1"/>
    <x:col min="5" max="5" width="18" hidden="0" customWidth="1"/>
    <x:col min="6" max="6" width="55" hidden="0" customWidth="1"/>
    <x:col min="7" max="7" width="27" hidden="0" customWidth="1"/>
  </x:cols>
  <x:sheetData>
    <x:row r="1" ht="30" customHeight="1">
      <x:c r="A1" s="408" t="str">
        <x:v>Phase 4 — Trading Multiple, Blended Target Price &amp; Rating</x:v>
      </x:c>
      <x:c r="B1" s="408" t="str">
        <x:v>Phase 4 — Trading Multiple, Blended Target Price &amp; Rating</x:v>
      </x:c>
      <x:c r="C1" s="408" t="str">
        <x:v>Phase 4 — Trading Multiple, Blended Target Price &amp; Rating</x:v>
      </x:c>
      <x:c r="D1" s="408" t="str">
        <x:v>Phase 4 — Trading Multiple, Blended Target Price &amp; Rating</x:v>
      </x:c>
      <x:c r="E1" s="408" t="str">
        <x:v>Phase 4 — Trading Multiple, Blended Target Price &amp; Rating</x:v>
      </x:c>
      <x:c r="F1" s="408" t="str">
        <x:v>Phase 4 — Trading Multiple, Blended Target Price &amp; Rating</x:v>
      </x:c>
      <x:c r="G1" s="408" t="str">
        <x:v>Phase 4 — Trading Multiple, Blended Target Price &amp; Rating</x:v>
      </x:c>
    </x:row>
    <x:row r="2" ht="34" customHeight="1">
      <x:c r="A2" s="412" t="str">
        <x:v>Primary investment call uses an equal-weight blend of 2026E P/E and the DCF/SOTP cross-check. Upside excludes dividends.</x:v>
      </x:c>
      <x:c r="B2" s="412" t="str">
        <x:v>Primary investment call uses an equal-weight blend of 2026E P/E and the DCF/SOTP cross-check. Upside excludes dividends.</x:v>
      </x:c>
      <x:c r="C2" s="412" t="str">
        <x:v>Primary investment call uses an equal-weight blend of 2026E P/E and the DCF/SOTP cross-check. Upside excludes dividends.</x:v>
      </x:c>
      <x:c r="D2" s="412" t="str">
        <x:v>Primary investment call uses an equal-weight blend of 2026E P/E and the DCF/SOTP cross-check. Upside excludes dividends.</x:v>
      </x:c>
      <x:c r="E2" s="412" t="str">
        <x:v>Primary investment call uses an equal-weight blend of 2026E P/E and the DCF/SOTP cross-check. Upside excludes dividends.</x:v>
      </x:c>
      <x:c r="F2" s="412" t="str">
        <x:v>Primary investment call uses an equal-weight blend of 2026E P/E and the DCF/SOTP cross-check. Upside excludes dividends.</x:v>
      </x:c>
      <x:c r="G2" s="412" t="str">
        <x:v>Primary investment call uses an equal-weight blend of 2026E P/E and the DCF/SOTP cross-check. Upside excludes dividends.</x:v>
      </x:c>
    </x:row>
    <x:row r="4" ht="22" customHeight="1">
      <x:c r="A4" s="415" t="str">
        <x:v>Scenario valuation</x:v>
      </x:c>
      <x:c r="B4" s="415" t="str">
        <x:v>Scenario valuation</x:v>
      </x:c>
      <x:c r="C4" s="415" t="str">
        <x:v>Scenario valuation</x:v>
      </x:c>
      <x:c r="D4" s="415" t="str">
        <x:v>Scenario valuation</x:v>
      </x:c>
      <x:c r="E4" s="415" t="str">
        <x:v>Scenario valuation</x:v>
      </x:c>
      <x:c r="F4" s="415" t="str">
        <x:v>Scenario valuation</x:v>
      </x:c>
      <x:c r="G4" s="415" t="str">
        <x:v>Scenario valuation</x:v>
      </x:c>
    </x:row>
    <x:row r="5" ht="32" customHeight="1">
      <x:c r="A5" s="421" t="str">
        <x:v>Metric</x:v>
      </x:c>
      <x:c r="B5" s="421" t="str">
        <x:v>Unit</x:v>
      </x:c>
      <x:c r="C5" s="421" t="str">
        <x:v>Base</x:v>
      </x:c>
      <x:c r="D5" s="421" t="str">
        <x:v>Bull</x:v>
      </x:c>
      <x:c r="E5" s="421" t="str">
        <x:v>Bear</x:v>
      </x:c>
      <x:c r="F5" s="421" t="str">
        <x:v>Interpretation</x:v>
      </x:c>
      <x:c r="G5" s="421" t="str">
        <x:v>Data class</x:v>
      </x:c>
    </x:row>
    <x:row r="6" ht="30" customHeight="1">
      <x:c r="A6" s="85" t="str">
        <x:v>Current price</x:v>
      </x:c>
      <x:c r="B6" s="86" t="str">
        <x:v>VND/share</x:v>
      </x:c>
      <x:c r="C6" s="370" t="n">
        <x:f>'P4 Assumptions'!$C$19*1000</x:f>
        <x:v>73200</x:v>
      </x:c>
      <x:c r="D6" s="370" t="n">
        <x:f>'P4 Assumptions'!$C$19*1000</x:f>
        <x:v>73200</x:v>
      </x:c>
      <x:c r="E6" s="370" t="n">
        <x:f>'P4 Assumptions'!$C$19*1000</x:f>
        <x:v>73200</x:v>
      </x:c>
      <x:c r="F6" s="86" t="str"/>
      <x:c r="G6" s="87" t="str">
        <x:v>Market / model</x:v>
      </x:c>
    </x:row>
    <x:row r="7" ht="30" customHeight="1">
      <x:c r="A7" s="88" t="str">
        <x:v>Market capitalization</x:v>
      </x:c>
      <x:c r="B7" s="89" t="str">
        <x:v>VND bn</x:v>
      </x:c>
      <x:c r="C7" s="364" t="n">
        <x:f>'Raw GMD Market'!C22</x:f>
        <x:v>31219.4419788</x:v>
      </x:c>
      <x:c r="D7" s="364" t="n">
        <x:f>'Raw GMD Market'!C22</x:f>
        <x:v>31219.4419788</x:v>
      </x:c>
      <x:c r="E7" s="364" t="n">
        <x:f>'Raw GMD Market'!C22</x:f>
        <x:v>31219.4419788</x:v>
      </x:c>
      <x:c r="F7" s="89" t="str"/>
      <x:c r="G7" s="90" t="str">
        <x:v>Model output / analyst assumption</x:v>
      </x:c>
    </x:row>
    <x:row r="8" ht="30" customHeight="1">
      <x:c r="A8" s="88" t="str">
        <x:v>2026E EPS</x:v>
      </x:c>
      <x:c r="B8" s="89" t="str">
        <x:v>VND/share</x:v>
      </x:c>
      <x:c r="C8" s="364" t="n">
        <x:f>'P4 Forecast'!D35</x:f>
        <x:v>4980.839859705584</x:v>
      </x:c>
      <x:c r="D8" s="364" t="n">
        <x:f>'P4 Forecast'!D75</x:f>
        <x:v>5546.396016504533</x:v>
      </x:c>
      <x:c r="E8" s="364" t="n">
        <x:f>'P4 Forecast'!D115</x:f>
        <x:v>4042.1967281184543</x:v>
      </x:c>
      <x:c r="F8" s="89" t="str"/>
      <x:c r="G8" s="90" t="str">
        <x:v>Model output / analyst assumption</x:v>
      </x:c>
    </x:row>
    <x:row r="9" ht="30" customHeight="1">
      <x:c r="A9" s="88" t="str">
        <x:v>Current 2026E P/E</x:v>
      </x:c>
      <x:c r="B9" s="89" t="str">
        <x:v>x</x:v>
      </x:c>
      <x:c r="C9" s="515" t="n">
        <x:f>C6/C8</x:f>
        <x:v>14.696316697948774</x:v>
      </x:c>
      <x:c r="D9" s="515" t="n">
        <x:f>D6/D8</x:f>
        <x:v>13.197759370621418</x:v>
      </x:c>
      <x:c r="E9" s="515" t="n">
        <x:f>E6/E8</x:f>
        <x:v>18.108965229426833</x:v>
      </x:c>
      <x:c r="F9" s="89" t="str"/>
      <x:c r="G9" s="90" t="str">
        <x:v>Market / model</x:v>
      </x:c>
    </x:row>
    <x:row r="10" ht="30" customHeight="1">
      <x:c r="A10" s="88" t="str">
        <x:v>Target 2026E P/E</x:v>
      </x:c>
      <x:c r="B10" s="89" t="str">
        <x:v>x</x:v>
      </x:c>
      <x:c r="C10" s="368" t="n">
        <x:f>'P4 Assumptions'!C116</x:f>
        <x:v>16</x:v>
      </x:c>
      <x:c r="D10" s="368" t="n">
        <x:f>'P4 Assumptions'!D116</x:f>
        <x:v>17</x:v>
      </x:c>
      <x:c r="E10" s="368" t="n">
        <x:f>'P4 Assumptions'!E116</x:f>
        <x:v>13</x:v>
      </x:c>
      <x:c r="F10" s="89" t="str"/>
      <x:c r="G10" s="90" t="str">
        <x:v>Model output / analyst assumption</x:v>
      </x:c>
    </x:row>
    <x:row r="11" ht="30" customHeight="1">
      <x:c r="A11" s="88" t="str">
        <x:v>P/E implied value</x:v>
      </x:c>
      <x:c r="B11" s="89" t="str">
        <x:v>VND/share</x:v>
      </x:c>
      <x:c r="C11" s="131" t="n">
        <x:f>C8*C10</x:f>
        <x:v>79693.43775528934</x:v>
      </x:c>
      <x:c r="D11" s="131" t="n">
        <x:f>D8*D10</x:f>
        <x:v>94288.73228057705</x:v>
      </x:c>
      <x:c r="E11" s="131" t="n">
        <x:f>E8*E10</x:f>
        <x:v>52548.5574655399</x:v>
      </x:c>
      <x:c r="F11" s="89" t="str"/>
      <x:c r="G11" s="90" t="str">
        <x:v>Model output / analyst assumption</x:v>
      </x:c>
    </x:row>
    <x:row r="12" ht="30" customHeight="1">
      <x:c r="A12" s="88" t="str">
        <x:v>DCF implied value</x:v>
      </x:c>
      <x:c r="B12" s="89" t="str">
        <x:v>VND/share</x:v>
      </x:c>
      <x:c r="C12" s="364" t="n">
        <x:f>'P4 DCF'!B28</x:f>
        <x:v>88988.48956502434</x:v>
      </x:c>
      <x:c r="D12" s="364" t="n">
        <x:f>'P4 DCF'!B58</x:f>
        <x:v>137110.25814393567</x:v>
      </x:c>
      <x:c r="E12" s="364" t="n">
        <x:f>'P4 DCF'!B88</x:f>
        <x:v>49026.59994964964</x:v>
      </x:c>
      <x:c r="F12" s="89" t="str"/>
      <x:c r="G12" s="90" t="str">
        <x:v>Model output / analyst assumption</x:v>
      </x:c>
    </x:row>
    <x:row r="13" ht="30" customHeight="1">
      <x:c r="A13" s="88" t="str">
        <x:v>P/E weight</x:v>
      </x:c>
      <x:c r="B13" s="89" t="str">
        <x:v>%</x:v>
      </x:c>
      <x:c r="C13" s="125" t="n">
        <x:f>'P4 Assumptions'!C117</x:f>
        <x:v>0.5</x:v>
      </x:c>
      <x:c r="D13" s="125" t="n">
        <x:f>'P4 Assumptions'!D117</x:f>
        <x:v>0.5</x:v>
      </x:c>
      <x:c r="E13" s="125" t="n">
        <x:f>'P4 Assumptions'!E117</x:f>
        <x:v>0.5</x:v>
      </x:c>
      <x:c r="F13" s="89" t="str"/>
      <x:c r="G13" s="90" t="str">
        <x:v>Model output / analyst assumption</x:v>
      </x:c>
    </x:row>
    <x:row r="14" ht="30" customHeight="1">
      <x:c r="A14" s="88" t="str">
        <x:v>DCF weight</x:v>
      </x:c>
      <x:c r="B14" s="89" t="str">
        <x:v>%</x:v>
      </x:c>
      <x:c r="C14" s="125" t="n">
        <x:f>'P4 Assumptions'!C118</x:f>
        <x:v>0.5</x:v>
      </x:c>
      <x:c r="D14" s="125" t="n">
        <x:f>'P4 Assumptions'!D118</x:f>
        <x:v>0.5</x:v>
      </x:c>
      <x:c r="E14" s="125" t="n">
        <x:f>'P4 Assumptions'!E118</x:f>
        <x:v>0.5</x:v>
      </x:c>
      <x:c r="F14" s="89" t="str"/>
      <x:c r="G14" s="90" t="str">
        <x:v>Model output / analyst assumption</x:v>
      </x:c>
    </x:row>
    <x:row r="15" ht="30" customHeight="1">
      <x:c r="A15" s="499" t="str">
        <x:v>Blended value</x:v>
      </x:c>
      <x:c r="B15" s="500" t="str">
        <x:v>VND/share</x:v>
      </x:c>
      <x:c r="C15" s="531" t="n">
        <x:f>C11*C13+C12*C14</x:f>
        <x:v>84340.96366015685</x:v>
      </x:c>
      <x:c r="D15" s="531" t="n">
        <x:f>D11*D13+D12*D14</x:f>
        <x:v>115699.49521225636</x:v>
      </x:c>
      <x:c r="E15" s="531" t="n">
        <x:f>E11*E13+E12*E14</x:f>
        <x:v>50787.578707594774</x:v>
      </x:c>
      <x:c r="F15" s="500" t="str"/>
      <x:c r="G15" s="500" t="str">
        <x:v>Model output / analyst assumption</x:v>
      </x:c>
    </x:row>
    <x:row r="16" ht="30" customHeight="1">
      <x:c r="A16" s="455" t="str">
        <x:v>Rounded target price</x:v>
      </x:c>
      <x:c r="B16" s="456" t="str">
        <x:v>VND/share</x:v>
      </x:c>
      <x:c r="C16" s="498" t="n">
        <x:f>ROUND(C15/500,0)*500</x:f>
        <x:v>84500</x:v>
      </x:c>
      <x:c r="D16" s="498" t="n">
        <x:f>ROUND(D15/500,0)*500</x:f>
        <x:v>115500</x:v>
      </x:c>
      <x:c r="E16" s="498" t="n">
        <x:f>ROUND(E15/500,0)*500</x:f>
        <x:v>51000</x:v>
      </x:c>
      <x:c r="F16" s="456" t="str"/>
      <x:c r="G16" s="456" t="str">
        <x:v>Model output / analyst assumption</x:v>
      </x:c>
    </x:row>
    <x:row r="17" ht="30" customHeight="1">
      <x:c r="A17" s="455" t="str">
        <x:v>Upside / (downside)</x:v>
      </x:c>
      <x:c r="B17" s="456" t="str">
        <x:v>%</x:v>
      </x:c>
      <x:c r="C17" s="457" t="n">
        <x:f>C16/C6-1</x:f>
        <x:v>0.15437158469945356</x:v>
      </x:c>
      <x:c r="D17" s="457" t="n">
        <x:f>D16/D6-1</x:f>
        <x:v>0.5778688524590163</x:v>
      </x:c>
      <x:c r="E17" s="457" t="n">
        <x:f>E16/E6-1</x:f>
        <x:v>-0.30327868852459017</x:v>
      </x:c>
      <x:c r="F17" s="456" t="str"/>
      <x:c r="G17" s="456" t="str">
        <x:v>Model output / analyst assumption</x:v>
      </x:c>
    </x:row>
    <x:row r="18" ht="30" customHeight="1">
      <x:c r="A18" s="502" t="str">
        <x:v>Rating</x:v>
      </x:c>
      <x:c r="B18" s="503" t="str">
        <x:v>text</x:v>
      </x:c>
      <x:c r="C18" s="532" t="str">
        <x:f>IF(C17&gt;='P4 Assumptions'!$C$120,"BUY",IF(C17&lt;='P4 Assumptions'!$C$121,"SELL","HOLD"))</x:f>
        <x:v>BUY</x:v>
      </x:c>
      <x:c r="D18" s="532" t="str">
        <x:f>IF(D17&gt;='P4 Assumptions'!$C$120,"BUY",IF(D17&lt;='P4 Assumptions'!$C$121,"SELL","HOLD"))</x:f>
        <x:v>BUY</x:v>
      </x:c>
      <x:c r="E18" s="532" t="str">
        <x:f>IF(E17&gt;='P4 Assumptions'!$C$120,"BUY",IF(E17&lt;='P4 Assumptions'!$C$121,"SELL","HOLD"))</x:f>
        <x:v>SELL</x:v>
      </x:c>
      <x:c r="F18" s="503" t="str">
        <x:v>BUY ≥ 15%; HOLD between -10% and +15%; SELL ≤ -10%.</x:v>
      </x:c>
      <x:c r="G18" s="503" t="str">
        <x:v>Model output / analyst assumption</x:v>
      </x:c>
    </x:row>
    <x:row r="19" ht="30" customHeight="1">
      <x:c r="A19" s="91" t="str">
        <x:v>Scenario probability</x:v>
      </x:c>
      <x:c r="B19" s="92" t="str">
        <x:v>%</x:v>
      </x:c>
      <x:c r="C19" s="110" t="n">
        <x:f>'P4 Assumptions'!C119</x:f>
        <x:v>0.6</x:v>
      </x:c>
      <x:c r="D19" s="110" t="n">
        <x:f>'P4 Assumptions'!D119</x:f>
        <x:v>0.2</x:v>
      </x:c>
      <x:c r="E19" s="110" t="n">
        <x:f>'P4 Assumptions'!E119</x:f>
        <x:v>0.2</x:v>
      </x:c>
      <x:c r="F19" s="92" t="str"/>
      <x:c r="G19" s="93" t="str">
        <x:v>Model output / analyst assumption</x:v>
      </x:c>
    </x:row>
    <x:row r="21" ht="22" customHeight="1">
      <x:c r="A21" s="415" t="str">
        <x:v>Probability-weighted and benchmark cross-checks</x:v>
      </x:c>
      <x:c r="B21" s="415" t="str">
        <x:v>Probability-weighted and benchmark cross-checks</x:v>
      </x:c>
      <x:c r="C21" s="415" t="str">
        <x:v>Probability-weighted and benchmark cross-checks</x:v>
      </x:c>
      <x:c r="D21" s="415" t="str">
        <x:v>Probability-weighted and benchmark cross-checks</x:v>
      </x:c>
      <x:c r="E21" s="415" t="str">
        <x:v>Probability-weighted and benchmark cross-checks</x:v>
      </x:c>
      <x:c r="F21" s="415" t="str">
        <x:v>Probability-weighted and benchmark cross-checks</x:v>
      </x:c>
      <x:c r="G21" s="415" t="str">
        <x:v>Probability-weighted and benchmark cross-checks</x:v>
      </x:c>
    </x:row>
    <x:row r="22" ht="30" customHeight="1">
      <x:c r="A22" s="499" t="str">
        <x:v>Probability-weighted target price</x:v>
      </x:c>
      <x:c r="B22" s="500" t="str">
        <x:v>VND/share</x:v>
      </x:c>
      <x:c r="C22" s="531" t="n">
        <x:f>C16*C19+D16*D19+E16*E19</x:f>
        <x:v>84000</x:v>
      </x:c>
      <x:c r="D22" s="500"/>
      <x:c r="E22" s="500"/>
      <x:c r="F22" s="500" t="str">
        <x:v>Base/Bull/Bear target prices weighted 60%/20%/20%.</x:v>
      </x:c>
      <x:c r="G22" s="500" t="str">
        <x:v>Model output</x:v>
      </x:c>
    </x:row>
    <x:row r="23" ht="30" customHeight="1">
      <x:c r="A23" s="502" t="str">
        <x:v>Probability-weighted upside</x:v>
      </x:c>
      <x:c r="B23" s="503" t="str">
        <x:v>%</x:v>
      </x:c>
      <x:c r="C23" s="514" t="n">
        <x:f>C22/C6-1</x:f>
        <x:v>0.14754098360655732</x:v>
      </x:c>
      <x:c r="D23" s="503"/>
      <x:c r="E23" s="503"/>
      <x:c r="F23" s="503" t="str">
        <x:v>Versus current close.</x:v>
      </x:c>
      <x:c r="G23" s="503" t="str">
        <x:v>Model output</x:v>
      </x:c>
    </x:row>
    <x:row r="24" ht="30" customHeight="1">
      <x:c r="A24" s="88" t="str">
        <x:v>Base revenue vs registered plan</x:v>
      </x:c>
      <x:c r="B24" s="89" t="str">
        <x:v>%</x:v>
      </x:c>
      <x:c r="C24" s="109" t="n">
        <x:f>'P4 Forecast'!D16/'P4 Assumptions'!C21-1</x:f>
        <x:v>0.0396151491558423</x:v>
      </x:c>
      <x:c r="D24" s="89"/>
      <x:c r="E24" s="89"/>
      <x:c r="F24" s="89" t="str">
        <x:v>2026E Base relative to management's registered revenue plan.</x:v>
      </x:c>
      <x:c r="G24" s="90" t="str">
        <x:v>Model output</x:v>
      </x:c>
    </x:row>
    <x:row r="25" ht="30" customHeight="1">
      <x:c r="A25" s="88" t="str">
        <x:v>Base revenue vs stretch target</x:v>
      </x:c>
      <x:c r="B25" s="89" t="str">
        <x:v>%</x:v>
      </x:c>
      <x:c r="C25" s="109" t="n">
        <x:f>'P4 Forecast'!D16/'P4 Assumptions'!C23-1</x:f>
        <x:v>-0.006250225071621318</x:v>
      </x:c>
      <x:c r="D25" s="89"/>
      <x:c r="E25" s="89"/>
      <x:c r="F25" s="89" t="str">
        <x:v>2026E Base relative to management's stretch revenue target.</x:v>
      </x:c>
      <x:c r="G25" s="90" t="str">
        <x:v>Model output</x:v>
      </x:c>
    </x:row>
    <x:row r="26" ht="30" customHeight="1">
      <x:c r="A26" s="88" t="str">
        <x:v>Base PBT vs registered plan</x:v>
      </x:c>
      <x:c r="B26" s="89" t="str">
        <x:v>%</x:v>
      </x:c>
      <x:c r="C26" s="109" t="n">
        <x:f>'P4 Forecast'!D28/'P4 Assumptions'!C22-1</x:f>
        <x:v>0.07476971590304049</x:v>
      </x:c>
      <x:c r="D26" s="89"/>
      <x:c r="E26" s="89"/>
      <x:c r="F26" s="89" t="str">
        <x:v>2026E Base relative to management's registered PBT plan.</x:v>
      </x:c>
      <x:c r="G26" s="90" t="str">
        <x:v>Model output</x:v>
      </x:c>
    </x:row>
    <x:row r="27" ht="30" customHeight="1">
      <x:c r="A27" s="91" t="str">
        <x:v>Base PBT vs stretch target</x:v>
      </x:c>
      <x:c r="B27" s="92" t="str">
        <x:v>%</x:v>
      </x:c>
      <x:c r="C27" s="110" t="n">
        <x:f>'P4 Forecast'!D28/'P4 Assumptions'!C24-1</x:f>
        <x:v>0.003118401509504487</x:v>
      </x:c>
      <x:c r="D27" s="92"/>
      <x:c r="E27" s="92"/>
      <x:c r="F27" s="92" t="str">
        <x:v>2026E Base relative to management's stretch PBT target.</x:v>
      </x:c>
      <x:c r="G27" s="93" t="str">
        <x:v>Model output</x:v>
      </x:c>
    </x:row>
    <x:row r="29" ht="25" customHeight="1">
      <x:c r="A29" s="482"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B29" s="483"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C29" s="483"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D29" s="483"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E29" s="483"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F29" s="483"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G29" s="484"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row>
    <x:row r="30" ht="25" customHeight="1">
      <x:c r="A30" s="485"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B30" s="486"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C30" s="486"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D30" s="486"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E30" s="486"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F30" s="486"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G30" s="487"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row>
    <x:row r="31" ht="25" customHeight="1">
      <x:c r="A31" s="488"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B31" s="489"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C31" s="489"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D31" s="489"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E31" s="489"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F31" s="489"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c r="G31" s="490" t="str">
        <x:v>Investment-call discipline: the Base case is the primary rating case; the probability-weighted target is a cross-check. The target price is rounded to the nearest VND 500 and excludes dividends. No recommendation is forced: a strong operating thesis can still produce HOLD if valuation absorbs the upside.</x:v>
      </x:c>
    </x:row>
  </x:sheetData>
  <x:mergeCells>
    <x:mergeCell ref="A1:G1"/>
    <x:mergeCell ref="A2:G2"/>
    <x:mergeCell ref="A4:G4"/>
    <x:mergeCell ref="A21:G21"/>
    <x:mergeCell ref="A29:G31"/>
  </x:mergeCells>
  <x:conditionalFormatting sqref="C18:E18">
    <x:cfRule type="containsText" dxfId="6" priority="1" operator="containsText" text="BUY"/>
    <x:cfRule type="containsText" dxfId="7" priority="2" operator="containsText" text="SELL"/>
    <x:cfRule type="containsText" dxfId="8" priority="3" operator="containsText" text="HOLD"/>
  </x:conditionalFormatting>
  <x:pageMargins left="0.7" right="0.7" top="0.75" bottom="0.75" header="0.3" footer="0.3"/>
</x:worksheet>
</file>

<file path=xl/worksheets/sheet32.xml><?xml version="1.0" encoding="utf-8"?>
<x:worksheet xmlns:x="http://schemas.openxmlformats.org/spreadsheetml/2006/main">
  <x:sheetViews>
    <x:sheetView showGridLines="0" workbookViewId="0"/>
  </x:sheetViews>
  <x:sheetFormatPr defaultRowHeight="15"/>
  <x:cols>
    <x:col min="1" max="1" width="31" hidden="0" customWidth="1"/>
    <x:col min="2" max="2" width="33" hidden="0" customWidth="1"/>
    <x:col min="3" max="3" width="42" hidden="0" customWidth="1"/>
    <x:col min="4" max="4" width="20" hidden="0" customWidth="1"/>
    <x:col min="5" max="5" width="20" hidden="0" customWidth="1"/>
    <x:col min="6" max="6" width="38" hidden="0" customWidth="1"/>
    <x:col min="7" max="7" width="27" hidden="0" customWidth="1"/>
    <x:col min="8" max="8" width="27" hidden="0" customWidth="1"/>
  </x:cols>
  <x:sheetData>
    <x:row r="1" ht="30" customHeight="1">
      <x:c r="A1" s="408" t="str">
        <x:v>Phase 4 — GMD Investment View</x:v>
      </x:c>
      <x:c r="B1" s="408" t="str">
        <x:v>Phase 4 — GMD Investment View</x:v>
      </x:c>
      <x:c r="C1" s="408" t="str">
        <x:v>Phase 4 — GMD Investment View</x:v>
      </x:c>
      <x:c r="D1" s="408" t="str">
        <x:v>Phase 4 — GMD Investment View</x:v>
      </x:c>
      <x:c r="E1" s="408" t="str">
        <x:v>Phase 4 — GMD Investment View</x:v>
      </x:c>
      <x:c r="F1" s="408" t="str">
        <x:v>Phase 4 — GMD Investment View</x:v>
      </x:c>
      <x:c r="G1" s="408" t="str">
        <x:v>Phase 4 — GMD Investment View</x:v>
      </x:c>
      <x:c r="H1" s="408" t="str">
        <x:v>Phase 4 — GMD Investment View</x:v>
      </x:c>
    </x:row>
    <x:row r="2" ht="34" customHeight="1">
      <x:c r="A2" s="412" t="str">
        <x:v>A compact investment call that separates facts, analyst assumptions and model outputs. Full formulas remain in the forecast, DCF and valuation sheets.</x:v>
      </x:c>
      <x:c r="B2" s="412" t="str">
        <x:v>A compact investment call that separates facts, analyst assumptions and model outputs. Full formulas remain in the forecast, DCF and valuation sheets.</x:v>
      </x:c>
      <x:c r="C2" s="412" t="str">
        <x:v>A compact investment call that separates facts, analyst assumptions and model outputs. Full formulas remain in the forecast, DCF and valuation sheets.</x:v>
      </x:c>
      <x:c r="D2" s="412" t="str">
        <x:v>A compact investment call that separates facts, analyst assumptions and model outputs. Full formulas remain in the forecast, DCF and valuation sheets.</x:v>
      </x:c>
      <x:c r="E2" s="412" t="str">
        <x:v>A compact investment call that separates facts, analyst assumptions and model outputs. Full formulas remain in the forecast, DCF and valuation sheets.</x:v>
      </x:c>
      <x:c r="F2" s="412" t="str">
        <x:v>A compact investment call that separates facts, analyst assumptions and model outputs. Full formulas remain in the forecast, DCF and valuation sheets.</x:v>
      </x:c>
      <x:c r="G2" s="412" t="str">
        <x:v>A compact investment call that separates facts, analyst assumptions and model outputs. Full formulas remain in the forecast, DCF and valuation sheets.</x:v>
      </x:c>
      <x:c r="H2" s="412" t="str">
        <x:v>A compact investment call that separates facts, analyst assumptions and model outputs. Full formulas remain in the forecast, DCF and valuation sheets.</x:v>
      </x:c>
    </x:row>
    <x:row r="4" ht="22" customHeight="1">
      <x:c r="A4" s="415" t="str">
        <x:v>Investment call</x:v>
      </x:c>
      <x:c r="B4" s="415" t="str">
        <x:v>Investment call</x:v>
      </x:c>
      <x:c r="C4" s="415" t="str">
        <x:v>Investment call</x:v>
      </x:c>
      <x:c r="D4" s="415" t="str">
        <x:v>Investment call</x:v>
      </x:c>
      <x:c r="E4" s="415" t="str">
        <x:v>Investment call</x:v>
      </x:c>
      <x:c r="F4" s="415" t="str">
        <x:v>Investment call</x:v>
      </x:c>
      <x:c r="G4" s="415" t="str">
        <x:v>Investment call</x:v>
      </x:c>
      <x:c r="H4" s="415" t="str">
        <x:v>Investment call</x:v>
      </x:c>
    </x:row>
    <x:row r="5">
      <x:c r="A5" s="545" t="str">
        <x:v>Rating</x:v>
      </x:c>
      <x:c r="B5" s="542"/>
      <x:c r="C5" s="545" t="str">
        <x:v>Target price</x:v>
      </x:c>
      <x:c r="D5" s="542"/>
      <x:c r="E5" s="545" t="str">
        <x:v>Current price</x:v>
      </x:c>
      <x:c r="F5" s="542"/>
      <x:c r="G5" s="545" t="str">
        <x:v>Price upside</x:v>
      </x:c>
      <x:c r="H5" s="542"/>
    </x:row>
    <x:row r="6" ht="30" customHeight="1">
      <x:c r="A6" s="548" t="str">
        <x:f>'P4 Valuation'!C18</x:f>
        <x:v>BUY</x:v>
      </x:c>
      <x:c r="B6" s="548"/>
      <x:c r="C6" s="550" t="n">
        <x:f>'P4 Valuation'!C16</x:f>
        <x:v>84500</x:v>
      </x:c>
      <x:c r="D6" s="550"/>
      <x:c r="E6" s="550" t="n">
        <x:f>'P4 Valuation'!C6</x:f>
        <x:v>73200</x:v>
      </x:c>
      <x:c r="F6" s="550"/>
      <x:c r="G6" s="551" t="n">
        <x:f>'P4 Valuation'!C17</x:f>
        <x:v>0.15437158469945356</x:v>
      </x:c>
      <x:c r="H6" s="542"/>
    </x:row>
    <x:row r="7" ht="30" customHeight="1">
      <x:c r="A7" s="549" t="str">
        <x:v>2026E revenue</x:v>
      </x:c>
      <x:c r="B7" s="548"/>
      <x:c r="C7" s="549" t="str">
        <x:v>2026E core PBT</x:v>
      </x:c>
      <x:c r="D7" s="548"/>
      <x:c r="E7" s="549" t="str">
        <x:v>2026E EPS</x:v>
      </x:c>
      <x:c r="F7" s="548"/>
      <x:c r="G7" s="549" t="str">
        <x:v>2026E P/E</x:v>
      </x:c>
      <x:c r="H7" s="542"/>
    </x:row>
    <x:row r="8" ht="30" customHeight="1">
      <x:c r="A8" s="550" t="n">
        <x:f>'P4 Forecast'!D16</x:f>
        <x:v>6757.498469512975</x:v>
      </x:c>
      <x:c r="B8" s="550"/>
      <x:c r="C8" s="550" t="n">
        <x:f>'P4 Forecast'!D28</x:f>
        <x:v>3009.3552045285132</x:v>
      </x:c>
      <x:c r="D8" s="548"/>
      <x:c r="E8" s="550" t="n">
        <x:f>'P4 Forecast'!D35</x:f>
        <x:v>4980.839859705584</x:v>
      </x:c>
      <x:c r="F8" s="548"/>
      <x:c r="G8" s="552" t="n">
        <x:f>'P4 Valuation'!C9</x:f>
        <x:v>14.696316697948774</x:v>
      </x:c>
      <x:c r="H8" s="542"/>
    </x:row>
    <x:row r="9" ht="30" customHeight="1">
      <x:c r="A9" s="549" t="str">
        <x:v>DCF cross-check</x:v>
      </x:c>
      <x:c r="B9" s="548"/>
      <x:c r="C9" s="549" t="str">
        <x:v>P/E cross-check</x:v>
      </x:c>
      <x:c r="D9" s="548"/>
      <x:c r="E9" s="549" t="str">
        <x:v>Bear target</x:v>
      </x:c>
      <x:c r="F9" s="548"/>
      <x:c r="G9" s="549" t="str">
        <x:v>Data cut-off</x:v>
      </x:c>
      <x:c r="H9" s="542"/>
    </x:row>
    <x:row r="10" ht="30" customHeight="1">
      <x:c r="A10" s="550" t="n">
        <x:f>'P4 Valuation'!C12</x:f>
        <x:v>88988.48956502434</x:v>
      </x:c>
      <x:c r="B10" s="550"/>
      <x:c r="C10" s="550" t="n">
        <x:f>'P4 Valuation'!C11</x:f>
        <x:v>79693.43775528934</x:v>
      </x:c>
      <x:c r="D10" s="550"/>
      <x:c r="E10" s="550" t="n">
        <x:f>'P4 Valuation'!E16</x:f>
        <x:v>51000</x:v>
      </x:c>
      <x:c r="F10" s="548"/>
      <x:c r="G10" s="548" t="str">
        <x:v>25-Jul-2026</x:v>
      </x:c>
      <x:c r="H10" s="542"/>
    </x:row>
    <x:row r="12" ht="22" customHeight="1">
      <x:c r="A12" s="415" t="str">
        <x:v>Three-part thesis</x:v>
      </x:c>
      <x:c r="B12" s="415" t="str">
        <x:v>Three-part thesis</x:v>
      </x:c>
      <x:c r="C12" s="415" t="str">
        <x:v>Three-part thesis</x:v>
      </x:c>
      <x:c r="D12" s="415" t="str">
        <x:v>Three-part thesis</x:v>
      </x:c>
      <x:c r="E12" s="415" t="str">
        <x:v>Three-part thesis</x:v>
      </x:c>
      <x:c r="F12" s="415" t="str">
        <x:v>Three-part thesis</x:v>
      </x:c>
      <x:c r="G12" s="415" t="str">
        <x:v>Three-part thesis</x:v>
      </x:c>
      <x:c r="H12" s="415" t="str">
        <x:v>Three-part thesis</x:v>
      </x:c>
    </x:row>
    <x:row r="13" ht="32" customHeight="1">
      <x:c r="A13" s="421" t="str">
        <x:v>Pillar</x:v>
      </x:c>
      <x:c r="B13" s="421" t="str">
        <x:v>Evidence</x:v>
      </x:c>
      <x:c r="C13" s="421" t="str">
        <x:v>Forecast transmission</x:v>
      </x:c>
      <x:c r="D13" s="421" t="str">
        <x:v>2026E Base</x:v>
      </x:c>
      <x:c r="E13" s="421" t="str">
        <x:v>2030E Base</x:v>
      </x:c>
      <x:c r="F13" s="421" t="str">
        <x:v>What can break</x:v>
      </x:c>
      <x:c r="G13" s="421" t="str">
        <x:v>Leading indicator</x:v>
      </x:c>
      <x:c r="H13" s="421" t="str">
        <x:v>Data class</x:v>
      </x:c>
    </x:row>
    <x:row r="14" ht="48" customHeight="1">
      <x:c r="A14" s="85" t="str">
        <x:v>1. Trade recovery reaches container demand</x:v>
      </x:c>
      <x:c r="B14" s="86" t="str">
        <x:v>1H2026 trade +27.1% YoY; 2025 national container anchor 34m TEU</x:v>
      </x:c>
      <x:c r="C14" s="86" t="str">
        <x:v>National TEU growth is deliberately forecast below trade-value growth</x:v>
      </x:c>
      <x:c r="D14" s="317" t="n">
        <x:f>'P4 Forecast'!D7</x:f>
        <x:v>0.1</x:v>
      </x:c>
      <x:c r="E14" s="317" t="n">
        <x:f>'P4 Forecast'!H6</x:f>
        <x:v>48.79042581600002</x:v>
      </x:c>
      <x:c r="F14" s="86" t="str">
        <x:v>Product mix/prices decouple trade value from TEU</x:v>
      </x:c>
      <x:c r="G14" s="86" t="str">
        <x:v>Official national TEU growth</x:v>
      </x:c>
      <x:c r="H14" s="87" t="str">
        <x:v>Fact + analyst assumption</x:v>
      </x:c>
    </x:row>
    <x:row r="15" ht="48" customHeight="1">
      <x:c r="A15" s="88" t="str">
        <x:v>2. GMD captures more than national growth</x:v>
      </x:c>
      <x:c r="B15" s="89" t="str">
        <x:v>2025 system throughput 5.079m TEU and ~15% issuer-estimated share</x:v>
      </x:c>
      <x:c r="C15" s="89" t="str">
        <x:v>Share rises with Nam Dinh Vu completion and Gemalink Phase 2 ramp</x:v>
      </x:c>
      <x:c r="D15" s="348" t="n">
        <x:f>'P4 Forecast'!D8</x:f>
        <x:v>5.684800000000001</x:v>
      </x:c>
      <x:c r="E15" s="348" t="n">
        <x:f>'P4 Forecast'!H8</x:f>
        <x:v>8.538324517800003</x:v>
      </x:c>
      <x:c r="F15" s="89" t="str">
        <x:v>Route losses or slower capacity ramp</x:v>
      </x:c>
      <x:c r="G15" s="89" t="str">
        <x:v>GMD share and utilization</x:v>
      </x:c>
      <x:c r="H15" s="90" t="str">
        <x:v>Fact + analyst assumption</x:v>
      </x:c>
    </x:row>
    <x:row r="16" ht="48" customHeight="1">
      <x:c r="A16" s="91" t="str">
        <x:v>3. Volume converts into attributable earnings</x:v>
      </x:c>
      <x:c r="B16" s="92" t="str">
        <x:v>Associates were 45.9% of 2025 core PBT; Gemalink is equity-accounted</x:v>
      </x:c>
      <x:c r="C16" s="92" t="str">
        <x:v>Separate consolidated EBIT, associates, NCI, capex and FCFF</x:v>
      </x:c>
      <x:c r="D16" s="365" t="n">
        <x:f>'P4 Forecast'!D34</x:f>
        <x:v>2124.3038388766777</x:v>
      </x:c>
      <x:c r="E16" s="365" t="n">
        <x:f>'P4 Forecast'!H34</x:f>
        <x:v>3677.8156533843276</x:v>
      </x:c>
      <x:c r="F16" s="92" t="str">
        <x:v>Capex/NCI absorb EBITDA growth</x:v>
      </x:c>
      <x:c r="G16" s="92" t="str">
        <x:v>FCFF and parent-PAT conversion</x:v>
      </x:c>
      <x:c r="H16" s="93" t="str">
        <x:v>Model output</x:v>
      </x:c>
    </x:row>
    <x:row r="18" ht="22" customHeight="1">
      <x:c r="A18" s="415" t="str">
        <x:v>Catalysts</x:v>
      </x:c>
      <x:c r="B18" s="415" t="str">
        <x:v>Catalysts</x:v>
      </x:c>
      <x:c r="C18" s="415" t="str">
        <x:v>Catalysts</x:v>
      </x:c>
      <x:c r="D18" s="415" t="str">
        <x:v>Catalysts</x:v>
      </x:c>
      <x:c r="E18" s="415" t="str">
        <x:v>Catalysts</x:v>
      </x:c>
      <x:c r="F18" s="415" t="str">
        <x:v>Catalysts</x:v>
      </x:c>
      <x:c r="G18" s="415" t="str">
        <x:v>Catalysts</x:v>
      </x:c>
      <x:c r="H18" s="415" t="str">
        <x:v>Catalysts</x:v>
      </x:c>
    </x:row>
    <x:row r="19" ht="32" customHeight="1">
      <x:c r="A19" s="421" t="str">
        <x:v>Catalyst</x:v>
      </x:c>
      <x:c r="B19" s="421" t="str">
        <x:v>Timing</x:v>
      </x:c>
      <x:c r="C19" s="421" t="str">
        <x:v>Mechanism</x:v>
      </x:c>
      <x:c r="D19" s="421" t="str">
        <x:v>KPI to monitor</x:v>
      </x:c>
      <x:c r="E19" s="421" t="str">
        <x:v>Base-case treatment</x:v>
      </x:c>
      <x:c r="F19" s="421" t="str">
        <x:v>Upside path</x:v>
      </x:c>
      <x:c r="G19" s="421" t="str">
        <x:v>Source ID</x:v>
      </x:c>
      <x:c r="H19" s="421" t="str">
        <x:v>Risk</x:v>
      </x:c>
    </x:row>
    <x:row r="20" ht="48" customHeight="1">
      <x:c r="A20" s="85" t="str">
        <x:v>2026 trade and FDI backdrop</x:v>
      </x:c>
      <x:c r="B20" s="86" t="str">
        <x:v>2H2026</x:v>
      </x:c>
      <x:c r="C20" s="86" t="str">
        <x:v>Supports national container demand</x:v>
      </x:c>
      <x:c r="D20" s="86" t="str">
        <x:v>National TEU growth</x:v>
      </x:c>
      <x:c r="E20" s="86" t="str">
        <x:v>10% FY2026 national TEU growth</x:v>
      </x:c>
      <x:c r="F20" s="86" t="str">
        <x:v>Stronger cargo-volume conversion</x:v>
      </x:c>
      <x:c r="G20" s="86" t="str">
        <x:v>SRC-M01 / SRC-I01</x:v>
      </x:c>
      <x:c r="H20" s="87" t="str">
        <x:v>Trade value may overstate physical volume</x:v>
      </x:c>
    </x:row>
    <x:row r="21" ht="48" customHeight="1">
      <x:c r="A21" s="88" t="str">
        <x:v>Nam Dinh Vu Phase 3 full-year contribution</x:v>
      </x:c>
      <x:c r="B21" s="89" t="str">
        <x:v>FY2026</x:v>
      </x:c>
      <x:c r="C21" s="89" t="str">
        <x:v>More Northern capacity and route flexibility</x:v>
      </x:c>
      <x:c r="D21" s="89" t="str">
        <x:v>GMD market share</x:v>
      </x:c>
      <x:c r="E21" s="89" t="str">
        <x:v>Share reaches 15.2%</x:v>
      </x:c>
      <x:c r="F21" s="89" t="str">
        <x:v>Faster utilization and unit mix</x:v>
      </x:c>
      <x:c r="G21" s="89" t="str">
        <x:v>SRC-G01 / SRC-G02</x:v>
      </x:c>
      <x:c r="H21" s="90" t="str">
        <x:v>Competition in Hai Phong</x:v>
      </x:c>
    </x:row>
    <x:row r="22" ht="48" customHeight="1">
      <x:c r="A22" s="88" t="str">
        <x:v>Gemalink Phase 2 commissioning</x:v>
      </x:c>
      <x:c r="B22" s="89" t="str">
        <x:v>Q4 2027; ramp 2028+</x:v>
      </x:c>
      <x:c r="C22" s="89" t="str">
        <x:v>Deep-sea capacity raises associate earnings</x:v>
      </x:c>
      <x:c r="D22" s="89" t="str">
        <x:v>Gemalink throughput/profit</x:v>
      </x:c>
      <x:c r="E22" s="89" t="str">
        <x:v>25% Gemalink-profit growth in 2028</x:v>
      </x:c>
      <x:c r="F22" s="89" t="str">
        <x:v>Earlier or faster ramp</x:v>
      </x:c>
      <x:c r="G22" s="89" t="str">
        <x:v>SRC-G02</x:v>
      </x:c>
      <x:c r="H22" s="90" t="str">
        <x:v>Timing, capex and utilization</x:v>
      </x:c>
    </x:row>
    <x:row r="23" ht="48" customHeight="1">
      <x:c r="A23" s="91" t="str">
        <x:v>Unit/mix uplift</x:v>
      </x:c>
      <x:c r="B23" s="92" t="str">
        <x:v>2026–2030</x:v>
      </x:c>
      <x:c r="C23" s="92" t="str">
        <x:v>Service mix and regulated pricing lift revenue per system TEU</x:v>
      </x:c>
      <x:c r="D23" s="92" t="str">
        <x:v>Implied unit proxy</x:v>
      </x:c>
      <x:c r="E23" s="92" t="str">
        <x:v>2.5–3.0% annual growth</x:v>
      </x:c>
      <x:c r="F23" s="92" t="str">
        <x:v>Higher-value cargo/service mix</x:v>
      </x:c>
      <x:c r="G23" s="92" t="str">
        <x:v>Model assumption</x:v>
      </x:c>
      <x:c r="H23" s="93" t="str">
        <x:v>Proxy is not a clean tariff</x:v>
      </x:c>
    </x:row>
    <x:row r="25" ht="22" customHeight="1">
      <x:c r="A25" s="415" t="str">
        <x:v>Risks and explicit falsifiers</x:v>
      </x:c>
      <x:c r="B25" s="415" t="str">
        <x:v>Risks and explicit falsifiers</x:v>
      </x:c>
      <x:c r="C25" s="415" t="str">
        <x:v>Risks and explicit falsifiers</x:v>
      </x:c>
      <x:c r="D25" s="415" t="str">
        <x:v>Risks and explicit falsifiers</x:v>
      </x:c>
      <x:c r="E25" s="415" t="str">
        <x:v>Risks and explicit falsifiers</x:v>
      </x:c>
      <x:c r="F25" s="415" t="str">
        <x:v>Risks and explicit falsifiers</x:v>
      </x:c>
      <x:c r="G25" s="415" t="str">
        <x:v>Risks and explicit falsifiers</x:v>
      </x:c>
      <x:c r="H25" s="415" t="str">
        <x:v>Risks and explicit falsifiers</x:v>
      </x:c>
    </x:row>
    <x:row r="26" ht="32" customHeight="1">
      <x:c r="A26" s="421" t="str">
        <x:v>Risk / falsifier</x:v>
      </x:c>
      <x:c r="B26" s="421" t="str">
        <x:v>Transmission</x:v>
      </x:c>
      <x:c r="C26" s="421" t="str">
        <x:v>Observed warning</x:v>
      </x:c>
      <x:c r="D26" s="421" t="str">
        <x:v>Model stress</x:v>
      </x:c>
      <x:c r="E26" s="421" t="str">
        <x:v>Bear outcome</x:v>
      </x:c>
      <x:c r="F26" s="421" t="str">
        <x:v>Monitoring frequency</x:v>
      </x:c>
      <x:c r="G26" s="421" t="str">
        <x:v>Owner</x:v>
      </x:c>
      <x:c r="H26" s="421" t="str">
        <x:v>Status</x:v>
      </x:c>
    </x:row>
    <x:row r="27" ht="48" customHeight="1">
      <x:c r="A27" s="85" t="str">
        <x:v>Trade value fails to convert into TEU</x:v>
      </x:c>
      <x:c r="B27" s="86" t="str">
        <x:v>National volume grows below forecast</x:v>
      </x:c>
      <x:c r="C27" s="86" t="str">
        <x:v>National TEU growth &lt;5%</x:v>
      </x:c>
      <x:c r="D27" s="86" t="str">
        <x:v>2026 national TEU growth cut to 5%</x:v>
      </x:c>
      <x:c r="E27" s="370" t="n">
        <x:f>'P4 Valuation'!E16</x:f>
        <x:v>51000</x:v>
      </x:c>
      <x:c r="F27" s="86" t="str">
        <x:v>Quarterly / annual</x:v>
      </x:c>
      <x:c r="G27" s="86" t="str">
        <x:v>Analyst</x:v>
      </x:c>
      <x:c r="H27" s="87" t="str">
        <x:v>Open</x:v>
      </x:c>
    </x:row>
    <x:row r="28" ht="48" customHeight="1">
      <x:c r="A28" s="88" t="str">
        <x:v>GMD loses share despite sector growth</x:v>
      </x:c>
      <x:c r="B28" s="89" t="str">
        <x:v>Company throughput underperforms national volume</x:v>
      </x:c>
      <x:c r="C28" s="89" t="str">
        <x:v>Share falls below 14.8%</x:v>
      </x:c>
      <x:c r="D28" s="89" t="str">
        <x:v>Bear share troughs at 14.6%</x:v>
      </x:c>
      <x:c r="E28" s="364" t="n">
        <x:f>'P4 Valuation'!E16</x:f>
        <x:v>51000</x:v>
      </x:c>
      <x:c r="F28" s="89" t="str">
        <x:v>Quarterly</x:v>
      </x:c>
      <x:c r="G28" s="89" t="str">
        <x:v>Analyst</x:v>
      </x:c>
      <x:c r="H28" s="90" t="str">
        <x:v>Open</x:v>
      </x:c>
    </x:row>
    <x:row r="29" ht="48" customHeight="1">
      <x:c r="A29" s="88" t="str">
        <x:v>Gemalink Phase 2 ramp slips</x:v>
      </x:c>
      <x:c r="B29" s="89" t="str">
        <x:v>Associate earnings and terminal value fall</x:v>
      </x:c>
      <x:c r="C29" s="89" t="str">
        <x:v>Operation later than Q4 2027</x:v>
      </x:c>
      <x:c r="D29" s="89" t="str">
        <x:v>Gemalink growth held to 8% in 2028</x:v>
      </x:c>
      <x:c r="E29" s="364" t="n">
        <x:f>'P4 Valuation'!E16</x:f>
        <x:v>51000</x:v>
      </x:c>
      <x:c r="F29" s="89" t="str">
        <x:v>Project milestones</x:v>
      </x:c>
      <x:c r="G29" s="89" t="str">
        <x:v>Analyst</x:v>
      </x:c>
      <x:c r="H29" s="90" t="str">
        <x:v>Open</x:v>
      </x:c>
    </x:row>
    <x:row r="30" ht="48" customHeight="1">
      <x:c r="A30" s="88" t="str">
        <x:v>Price/mix compression</x:v>
      </x:c>
      <x:c r="B30" s="89" t="str">
        <x:v>Port revenue grows slower than throughput</x:v>
      </x:c>
      <x:c r="C30" s="89" t="str">
        <x:v>Unit proxy declines</x:v>
      </x:c>
      <x:c r="D30" s="89" t="str">
        <x:v>2026 unit proxy -1%</x:v>
      </x:c>
      <x:c r="E30" s="364" t="n">
        <x:f>'P4 Valuation'!E16</x:f>
        <x:v>51000</x:v>
      </x:c>
      <x:c r="F30" s="89" t="str">
        <x:v>Quarterly / annual</x:v>
      </x:c>
      <x:c r="G30" s="89" t="str">
        <x:v>Analyst</x:v>
      </x:c>
      <x:c r="H30" s="90" t="str">
        <x:v>Open</x:v>
      </x:c>
    </x:row>
    <x:row r="31" ht="48" customHeight="1">
      <x:c r="A31" s="91" t="str">
        <x:v>Capex and NCI absorb growth</x:v>
      </x:c>
      <x:c r="B31" s="92" t="str">
        <x:v>Parent cash flow lags PBT</x:v>
      </x:c>
      <x:c r="C31" s="92" t="str">
        <x:v>Capex remains &gt;VND 1.5tn and NCI share rises</x:v>
      </x:c>
      <x:c r="D31" s="92" t="str">
        <x:v>Bear capex/NCI assumptions</x:v>
      </x:c>
      <x:c r="E31" s="365" t="n">
        <x:f>'P4 Valuation'!E16</x:f>
        <x:v>51000</x:v>
      </x:c>
      <x:c r="F31" s="92" t="str">
        <x:v>Quarterly / annual</x:v>
      </x:c>
      <x:c r="G31" s="92" t="str">
        <x:v>Analyst</x:v>
      </x:c>
      <x:c r="H31" s="93" t="str">
        <x:v>Open</x:v>
      </x:c>
    </x:row>
    <x:row r="33" ht="26" customHeight="1">
      <x:c r="A33" s="572"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B33" s="573"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C33" s="573"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D33" s="573"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E33" s="573"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F33" s="573"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G33" s="573"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H33" s="574"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row>
    <x:row r="34" ht="26" customHeight="1">
      <x:c r="A34" s="575"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B34" s="576"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C34" s="576"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D34" s="576"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E34" s="576"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F34" s="576"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G34" s="576"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H34" s="577"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row>
    <x:row r="35" ht="26" customHeight="1">
      <x:c r="A35" s="578"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B35" s="579"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C35" s="579"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D35" s="579"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E35" s="579"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F35" s="579"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G35" s="579"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c r="H35" s="580" t="str">
        <x:v>Bottom line: the model supports a BUY only because the Base blended target price clears the 15% hurdle by a modest margin. The Bear case is materially below market, so the recommendation depends on GMD retaining share, meeting 2026 guidance and executing Gemalink Phase 2 without prolonged cash-flow dilution.</x:v>
      </x:c>
    </x:row>
  </x:sheetData>
  <x:mergeCells>
    <x:mergeCell ref="A1:H1"/>
    <x:mergeCell ref="A2:H2"/>
    <x:mergeCell ref="A4:H4"/>
    <x:mergeCell ref="A6:B6"/>
    <x:mergeCell ref="C6:D6"/>
    <x:mergeCell ref="E6:F6"/>
    <x:mergeCell ref="G6:H6"/>
    <x:mergeCell ref="A8:B8"/>
    <x:mergeCell ref="C8:D8"/>
    <x:mergeCell ref="E8:F8"/>
    <x:mergeCell ref="G8:H8"/>
    <x:mergeCell ref="A10:B10"/>
    <x:mergeCell ref="C10:D10"/>
    <x:mergeCell ref="E10:F10"/>
    <x:mergeCell ref="G10:H10"/>
    <x:mergeCell ref="A12:H12"/>
    <x:mergeCell ref="A18:H18"/>
    <x:mergeCell ref="A25:H25"/>
    <x:mergeCell ref="A33:H35"/>
  </x:mergeCells>
  <x:conditionalFormatting sqref="A6:A6">
    <x:cfRule type="containsText" dxfId="9" priority="1" operator="containsText" text="BUY"/>
  </x:conditionalFormatting>
  <x:pageMargins left="0.7" right="0.7" top="0.75" bottom="0.75" header="0.3" footer="0.3"/>
</x:worksheet>
</file>

<file path=xl/worksheets/sheet33.xml><?xml version="1.0" encoding="utf-8"?>
<x:worksheet xmlns:x="http://schemas.openxmlformats.org/spreadsheetml/2006/main">
  <x:sheetViews>
    <x:sheetView showGridLines="0" workbookViewId="0"/>
  </x:sheetViews>
  <x:sheetFormatPr defaultRowHeight="15"/>
  <x:cols>
    <x:col min="1" max="1" width="24" hidden="0" customWidth="1"/>
    <x:col min="2" max="2" width="43" hidden="0" customWidth="1"/>
    <x:col min="3" max="3" width="18" hidden="0" customWidth="1"/>
    <x:col min="4" max="4" width="18" hidden="0" customWidth="1"/>
    <x:col min="5" max="5" width="18" hidden="0" customWidth="1"/>
    <x:col min="6" max="6" width="15" hidden="0" customWidth="1"/>
    <x:col min="7" max="7" width="15" hidden="0" customWidth="1"/>
    <x:col min="8" max="8" width="58" hidden="0" customWidth="1"/>
  </x:cols>
  <x:sheetData>
    <x:row r="1" ht="30" customHeight="1">
      <x:c r="A1" s="408" t="str">
        <x:v>Phase 4 — Forecast &amp; Valuation Checks</x:v>
      </x:c>
      <x:c r="B1" s="408" t="str">
        <x:v>Phase 4 — Forecast &amp; Valuation Checks</x:v>
      </x:c>
      <x:c r="C1" s="408" t="str">
        <x:v>Phase 4 — Forecast &amp; Valuation Checks</x:v>
      </x:c>
      <x:c r="D1" s="408" t="str">
        <x:v>Phase 4 — Forecast &amp; Valuation Checks</x:v>
      </x:c>
      <x:c r="E1" s="408" t="str">
        <x:v>Phase 4 — Forecast &amp; Valuation Checks</x:v>
      </x:c>
      <x:c r="F1" s="408" t="str">
        <x:v>Phase 4 — Forecast &amp; Valuation Checks</x:v>
      </x:c>
      <x:c r="G1" s="408" t="str">
        <x:v>Phase 4 — Forecast &amp; Valuation Checks</x:v>
      </x:c>
      <x:c r="H1" s="408" t="str">
        <x:v>Phase 4 — Forecast &amp; Valuation Checks</x:v>
      </x:c>
    </x:row>
    <x:row r="2" ht="34" customHeight="1">
      <x:c r="A2" s="412" t="str">
        <x:v>One assertion per row. Forecast identities, valuation bridges, scenario ordering and source coverage must all show OK before Phase 5.</x:v>
      </x:c>
      <x:c r="B2" s="412" t="str">
        <x:v>One assertion per row. Forecast identities, valuation bridges, scenario ordering and source coverage must all show OK before Phase 5.</x:v>
      </x:c>
      <x:c r="C2" s="412" t="str">
        <x:v>One assertion per row. Forecast identities, valuation bridges, scenario ordering and source coverage must all show OK before Phase 5.</x:v>
      </x:c>
      <x:c r="D2" s="412" t="str">
        <x:v>One assertion per row. Forecast identities, valuation bridges, scenario ordering and source coverage must all show OK before Phase 5.</x:v>
      </x:c>
      <x:c r="E2" s="412" t="str">
        <x:v>One assertion per row. Forecast identities, valuation bridges, scenario ordering and source coverage must all show OK before Phase 5.</x:v>
      </x:c>
      <x:c r="F2" s="412" t="str">
        <x:v>One assertion per row. Forecast identities, valuation bridges, scenario ordering and source coverage must all show OK before Phase 5.</x:v>
      </x:c>
      <x:c r="G2" s="412" t="str">
        <x:v>One assertion per row. Forecast identities, valuation bridges, scenario ordering and source coverage must all show OK before Phase 5.</x:v>
      </x:c>
      <x:c r="H2" s="412" t="str">
        <x:v>One assertion per row. Forecast identities, valuation bridges, scenario ordering and source coverage must all show OK before Phase 5.</x:v>
      </x:c>
    </x:row>
    <x:row r="4" ht="22" customHeight="1">
      <x:c r="A4" s="415" t="str">
        <x:v>Model-control register</x:v>
      </x:c>
      <x:c r="B4" s="415" t="str">
        <x:v>Model-control register</x:v>
      </x:c>
      <x:c r="C4" s="415" t="str">
        <x:v>Model-control register</x:v>
      </x:c>
      <x:c r="D4" s="415" t="str">
        <x:v>Model-control register</x:v>
      </x:c>
      <x:c r="E4" s="415" t="str">
        <x:v>Model-control register</x:v>
      </x:c>
      <x:c r="F4" s="415" t="str">
        <x:v>Model-control register</x:v>
      </x:c>
      <x:c r="G4" s="415" t="str">
        <x:v>Model-control register</x:v>
      </x:c>
      <x:c r="H4" s="415" t="str">
        <x:v>Model-control register</x:v>
      </x:c>
    </x:row>
    <x:row r="5" ht="32" customHeight="1">
      <x:c r="A5" s="421" t="str">
        <x:v>ID</x:v>
      </x:c>
      <x:c r="B5" s="421" t="str">
        <x:v>Check</x:v>
      </x:c>
      <x:c r="C5" s="421" t="str">
        <x:v>Actual</x:v>
      </x:c>
      <x:c r="D5" s="421" t="str">
        <x:v>Expected</x:v>
      </x:c>
      <x:c r="E5" s="421" t="str">
        <x:v>Difference</x:v>
      </x:c>
      <x:c r="F5" s="421" t="str">
        <x:v>Tolerance</x:v>
      </x:c>
      <x:c r="G5" s="421" t="str">
        <x:v>Status</x:v>
      </x:c>
      <x:c r="H5" s="421" t="str">
        <x:v>Fix hint / note</x:v>
      </x:c>
    </x:row>
    <x:row r="6" ht="25" customHeight="1">
      <x:c r="A6" s="85" t="str">
        <x:v>P4-SRC-01</x:v>
      </x:c>
      <x:c r="B6" s="86" t="str">
        <x:v>Registered source count</x:v>
      </x:c>
      <x:c r="C6" s="210" t="n">
        <x:f>COUNTA('Source Audit'!A7:A47)</x:f>
        <x:v>41</x:v>
      </x:c>
      <x:c r="D6" s="210" t="n">
        <x:v>41</x:v>
      </x:c>
      <x:c r="E6" s="210" t="n">
        <x:f>C6-D6</x:f>
        <x:v>0</x:v>
      </x:c>
      <x:c r="F6" s="210" t="n">
        <x:v>0</x:v>
      </x:c>
      <x:c r="G6" s="210" t="str">
        <x:f>IF(ABS(E6)&lt;=F6,"OK","REVIEW")</x:f>
        <x:v>OK</x:v>
      </x:c>
      <x:c r="H6" s="87" t="str">
        <x:v>Source Audit should include three new Phase 4 sources.</x:v>
      </x:c>
    </x:row>
    <x:row r="7" ht="25" customHeight="1">
      <x:c r="A7" s="88" t="str">
        <x:v>P4-MKT-01</x:v>
      </x:c>
      <x:c r="B7" s="89" t="str">
        <x:v>Latest close</x:v>
      </x:c>
      <x:c r="C7" s="211" t="n">
        <x:f>'Raw GMD Market'!C15</x:f>
        <x:v>73.2</x:v>
      </x:c>
      <x:c r="D7" s="211" t="n">
        <x:v>73.2</x:v>
      </x:c>
      <x:c r="E7" s="211" t="n">
        <x:f>C7-D7</x:f>
        <x:v>0</x:v>
      </x:c>
      <x:c r="F7" s="211" t="n">
        <x:v>0.001</x:v>
      </x:c>
      <x:c r="G7" s="211" t="str">
        <x:f>IF(ABS(E7)&lt;=F7,"OK","REVIEW")</x:f>
        <x:v>OK</x:v>
      </x:c>
      <x:c r="H7" s="90" t="str">
        <x:v>VND thousand per share at 24-Jul-2026.</x:v>
      </x:c>
    </x:row>
    <x:row r="8" ht="25" customHeight="1">
      <x:c r="A8" s="88" t="str">
        <x:v>P4-MKT-02</x:v>
      </x:c>
      <x:c r="B8" s="89" t="str">
        <x:v>Listed shares</x:v>
      </x:c>
      <x:c r="C8" s="211" t="n">
        <x:f>'Raw GMD Market'!C16</x:f>
        <x:v>426.495109</x:v>
      </x:c>
      <x:c r="D8" s="211" t="n">
        <x:v>426.495109</x:v>
      </x:c>
      <x:c r="E8" s="211" t="n">
        <x:f>C8-D8</x:f>
        <x:v>0</x:v>
      </x:c>
      <x:c r="F8" s="211" t="n">
        <x:v>0.000001</x:v>
      </x:c>
      <x:c r="G8" s="211" t="str">
        <x:f>IF(ABS(E8)&lt;=F8,"OK","REVIEW")</x:f>
        <x:v>OK</x:v>
      </x:c>
      <x:c r="H8" s="90" t="str">
        <x:v>Official issuer share count in millions.</x:v>
      </x:c>
    </x:row>
    <x:row r="9" ht="25" customHeight="1">
      <x:c r="A9" s="88" t="str">
        <x:v>P4-MKT-03</x:v>
      </x:c>
      <x:c r="B9" s="89" t="str">
        <x:v>Net-cash bridge</x:v>
      </x:c>
      <x:c r="C9" s="211" t="n">
        <x:f>'Raw GMD Market'!C21-(SUM('Raw GMD Market'!C17:C18)-SUM('Raw GMD Market'!C19:C20))</x:f>
        <x:v>0</x:v>
      </x:c>
      <x:c r="D9" s="211" t="n">
        <x:v>0</x:v>
      </x:c>
      <x:c r="E9" s="211" t="n">
        <x:f>C9-D9</x:f>
        <x:v>0</x:v>
      </x:c>
      <x:c r="F9" s="211" t="n">
        <x:v>0.01</x:v>
      </x:c>
      <x:c r="G9" s="211" t="str">
        <x:f>IF(ABS(E9)&lt;=F9,"OK","REVIEW")</x:f>
        <x:v>OK</x:v>
      </x:c>
      <x:c r="H9" s="90" t="str">
        <x:v>Cash + ST investments - gross debt.</x:v>
      </x:c>
    </x:row>
    <x:row r="10" ht="25" customHeight="1">
      <x:c r="A10" s="88" t="str">
        <x:v>P4-VAL-01</x:v>
      </x:c>
      <x:c r="B10" s="89" t="str">
        <x:v>Base valuation weights</x:v>
      </x:c>
      <x:c r="C10" s="211" t="n">
        <x:f>'P4 Valuation'!C13+'P4 Valuation'!C14</x:f>
        <x:v>1</x:v>
      </x:c>
      <x:c r="D10" s="211" t="n">
        <x:v>1</x:v>
      </x:c>
      <x:c r="E10" s="211" t="n">
        <x:f>C10-D10</x:f>
        <x:v>0</x:v>
      </x:c>
      <x:c r="F10" s="211" t="n">
        <x:v>0.0001</x:v>
      </x:c>
      <x:c r="G10" s="211" t="str">
        <x:f>IF(ABS(E10)&lt;=F10,"OK","REVIEW")</x:f>
        <x:v>OK</x:v>
      </x:c>
      <x:c r="H10" s="90" t="str">
        <x:v>P/E and DCF weights sum to 100%.</x:v>
      </x:c>
    </x:row>
    <x:row r="11" ht="25" customHeight="1">
      <x:c r="A11" s="88" t="str">
        <x:v>P4-VAL-02</x:v>
      </x:c>
      <x:c r="B11" s="89" t="str">
        <x:v>Bull valuation weights</x:v>
      </x:c>
      <x:c r="C11" s="211" t="n">
        <x:f>'P4 Valuation'!D13+'P4 Valuation'!D14</x:f>
        <x:v>1</x:v>
      </x:c>
      <x:c r="D11" s="211" t="n">
        <x:v>1</x:v>
      </x:c>
      <x:c r="E11" s="211" t="n">
        <x:f>C11-D11</x:f>
        <x:v>0</x:v>
      </x:c>
      <x:c r="F11" s="211" t="n">
        <x:v>0.0001</x:v>
      </x:c>
      <x:c r="G11" s="211" t="str">
        <x:f>IF(ABS(E11)&lt;=F11,"OK","REVIEW")</x:f>
        <x:v>OK</x:v>
      </x:c>
      <x:c r="H11" s="90" t="str">
        <x:v>P/E and DCF weights sum to 100%.</x:v>
      </x:c>
    </x:row>
    <x:row r="12" ht="25" customHeight="1">
      <x:c r="A12" s="88" t="str">
        <x:v>P4-VAL-03</x:v>
      </x:c>
      <x:c r="B12" s="89" t="str">
        <x:v>Bear valuation weights</x:v>
      </x:c>
      <x:c r="C12" s="211" t="n">
        <x:f>'P4 Valuation'!E13+'P4 Valuation'!E14</x:f>
        <x:v>1</x:v>
      </x:c>
      <x:c r="D12" s="211" t="n">
        <x:v>1</x:v>
      </x:c>
      <x:c r="E12" s="211" t="n">
        <x:f>C12-D12</x:f>
        <x:v>0</x:v>
      </x:c>
      <x:c r="F12" s="211" t="n">
        <x:v>0.0001</x:v>
      </x:c>
      <x:c r="G12" s="211" t="str">
        <x:f>IF(ABS(E12)&lt;=F12,"OK","REVIEW")</x:f>
        <x:v>OK</x:v>
      </x:c>
      <x:c r="H12" s="90" t="str">
        <x:v>P/E and DCF weights sum to 100%.</x:v>
      </x:c>
    </x:row>
    <x:row r="13" ht="25" customHeight="1">
      <x:c r="A13" s="88" t="str">
        <x:v>P4-VAL-04</x:v>
      </x:c>
      <x:c r="B13" s="89" t="str">
        <x:v>Scenario probabilities</x:v>
      </x:c>
      <x:c r="C13" s="211" t="n">
        <x:f>'P4 Valuation'!C19+'P4 Valuation'!D19+'P4 Valuation'!E19</x:f>
        <x:v>1</x:v>
      </x:c>
      <x:c r="D13" s="211" t="n">
        <x:v>1</x:v>
      </x:c>
      <x:c r="E13" s="211" t="n">
        <x:f>C13-D13</x:f>
        <x:v>0</x:v>
      </x:c>
      <x:c r="F13" s="211" t="n">
        <x:v>0.0001</x:v>
      </x:c>
      <x:c r="G13" s="211" t="str">
        <x:f>IF(ABS(E13)&lt;=F13,"OK","REVIEW")</x:f>
        <x:v>OK</x:v>
      </x:c>
      <x:c r="H13" s="90" t="str">
        <x:v>Base/Bull/Bear probabilities sum to 100%.</x:v>
      </x:c>
    </x:row>
    <x:row r="14" ht="25" customHeight="1">
      <x:c r="A14" s="88" t="str">
        <x:v>P4-VAL-05</x:v>
      </x:c>
      <x:c r="B14" s="89" t="str">
        <x:v>Target-price ordering</x:v>
      </x:c>
      <x:c r="C14" s="211" t="n">
        <x:f>IF('P4 Valuation'!D16&gt;'P4 Valuation'!C16,1,0)+IF('P4 Valuation'!C16&gt;'P4 Valuation'!E16,1,0)</x:f>
        <x:v>2</x:v>
      </x:c>
      <x:c r="D14" s="211" t="n">
        <x:v>2</x:v>
      </x:c>
      <x:c r="E14" s="211" t="n">
        <x:f>C14-D14</x:f>
        <x:v>0</x:v>
      </x:c>
      <x:c r="F14" s="211" t="n">
        <x:v>0</x:v>
      </x:c>
      <x:c r="G14" s="211" t="str">
        <x:f>IF(ABS(E14)&lt;=F14,"OK","REVIEW")</x:f>
        <x:v>OK</x:v>
      </x:c>
      <x:c r="H14" s="90" t="str">
        <x:v>Bull &gt; Base &gt; Bear.</x:v>
      </x:c>
    </x:row>
    <x:row r="15" ht="25" customHeight="1">
      <x:c r="A15" s="88" t="str">
        <x:v>P4-GUID-01</x:v>
      </x:c>
      <x:c r="B15" s="89" t="str">
        <x:v>Base 2026 revenue vs stretch</x:v>
      </x:c>
      <x:c r="C15" s="211" t="n">
        <x:f>'P4 Forecast'!D16</x:f>
        <x:v>6757.498469512975</x:v>
      </x:c>
      <x:c r="D15" s="211" t="n">
        <x:f>'P4 Assumptions'!C23</x:f>
        <x:v>6800</x:v>
      </x:c>
      <x:c r="E15" s="211" t="n">
        <x:f>C15-D15</x:f>
        <x:v>-42.501530487024866</x:v>
      </x:c>
      <x:c r="F15" s="211" t="n">
        <x:v>60</x:v>
      </x:c>
      <x:c r="G15" s="211" t="str">
        <x:f>IF(ABS(E15)&lt;=F15,"OK","REVIEW")</x:f>
        <x:v>OK</x:v>
      </x:c>
      <x:c r="H15" s="90" t="str">
        <x:v>Base case should be close to, but not hardcoded to, stretch revenue.</x:v>
      </x:c>
    </x:row>
    <x:row r="16" ht="25" customHeight="1">
      <x:c r="A16" s="88" t="str">
        <x:v>P4-GUID-02</x:v>
      </x:c>
      <x:c r="B16" s="89" t="str">
        <x:v>Base 2026 PBT vs stretch</x:v>
      </x:c>
      <x:c r="C16" s="211" t="n">
        <x:f>'P4 Forecast'!D28</x:f>
        <x:v>3009.3552045285132</x:v>
      </x:c>
      <x:c r="D16" s="211" t="n">
        <x:f>'P4 Assumptions'!C24</x:f>
        <x:v>3000</x:v>
      </x:c>
      <x:c r="E16" s="211" t="n">
        <x:f>C16-D16</x:f>
        <x:v>9.35520452851324</x:v>
      </x:c>
      <x:c r="F16" s="211" t="n">
        <x:v>60</x:v>
      </x:c>
      <x:c r="G16" s="211" t="str">
        <x:f>IF(ABS(E16)&lt;=F16,"OK","REVIEW")</x:f>
        <x:v>OK</x:v>
      </x:c>
      <x:c r="H16" s="90" t="str">
        <x:v>Base case should be close to, but not hardcoded to, stretch PBT.</x:v>
      </x:c>
    </x:row>
    <x:row r="17" ht="25" customHeight="1">
      <x:c r="A17" s="88" t="str">
        <x:v>P4-BASE-WACC</x:v>
      </x:c>
      <x:c r="B17" s="89" t="str">
        <x:v>Base WACC exceeds terminal growth</x:v>
      </x:c>
      <x:c r="C17" s="211" t="n">
        <x:f>IF('P4 DCF'!B11&gt;'P4 DCF'!B12,1,0)</x:f>
        <x:v>1</x:v>
      </x:c>
      <x:c r="D17" s="211" t="n">
        <x:v>1</x:v>
      </x:c>
      <x:c r="E17" s="211" t="n">
        <x:f>C17-D17</x:f>
        <x:v>0</x:v>
      </x:c>
      <x:c r="F17" s="211" t="n">
        <x:v>0</x:v>
      </x:c>
      <x:c r="G17" s="211" t="str">
        <x:f>IF(ABS(E17)&lt;=F17,"OK","REVIEW")</x:f>
        <x:v>OK</x:v>
      </x:c>
      <x:c r="H17" s="90" t="str">
        <x:v>Required for a valid Gordon-growth terminal value.</x:v>
      </x:c>
    </x:row>
    <x:row r="18" ht="25" customHeight="1">
      <x:c r="A18" s="88" t="str">
        <x:v>P4-BASE-DCF</x:v>
      </x:c>
      <x:c r="B18" s="89" t="str">
        <x:v>Base DCF equity bridge</x:v>
      </x:c>
      <x:c r="C18" s="211" t="n">
        <x:f>'P4 DCF'!B26-('P4 DCF'!B17+'P4 DCF'!B21+'P4 DCF'!B22-'P4 DCF'!B25)</x:f>
        <x:v>0</x:v>
      </x:c>
      <x:c r="D18" s="211" t="n">
        <x:v>0</x:v>
      </x:c>
      <x:c r="E18" s="211" t="n">
        <x:f>C18-D18</x:f>
        <x:v>0</x:v>
      </x:c>
      <x:c r="F18" s="211" t="n">
        <x:v>0.01</x:v>
      </x:c>
      <x:c r="G18" s="211" t="str">
        <x:f>IF(ABS(E18)&lt;=F18,"OK","REVIEW")</x:f>
        <x:v>OK</x:v>
      </x:c>
      <x:c r="H18" s="90" t="str">
        <x:v>Enterprise value + associates + net cash - NCI.</x:v>
      </x:c>
    </x:row>
    <x:row r="19" ht="25" customHeight="1">
      <x:c r="A19" s="88" t="str">
        <x:v>P4-BASE-2026-TEU</x:v>
      </x:c>
      <x:c r="B19" s="89" t="str">
        <x:v>Base 2026 national TEU roll-forward</x:v>
      </x:c>
      <x:c r="C19" s="211" t="n">
        <x:f>'P4 Forecast'!D6-'P4 Forecast'!C6*(1+'P4 Forecast'!D7)</x:f>
        <x:v>0</x:v>
      </x:c>
      <x:c r="D19" s="211" t="n">
        <x:v>0</x:v>
      </x:c>
      <x:c r="E19" s="211" t="n">
        <x:f>C19-D19</x:f>
        <x:v>0</x:v>
      </x:c>
      <x:c r="F19" s="211" t="n">
        <x:v>0.0001</x:v>
      </x:c>
      <x:c r="G19" s="211" t="str">
        <x:f>IF(ABS(E19)&lt;=F19,"OK","REVIEW")</x:f>
        <x:v>OK</x:v>
      </x:c>
      <x:c r="H19" s="90" t="str">
        <x:v>National TEU follows the visible growth assumption.</x:v>
      </x:c>
    </x:row>
    <x:row r="20" ht="25" customHeight="1">
      <x:c r="A20" s="88" t="str">
        <x:v>P4-BASE-2026-SHARE</x:v>
      </x:c>
      <x:c r="B20" s="89" t="str">
        <x:v>Base 2026 throughput identity</x:v>
      </x:c>
      <x:c r="C20" s="211" t="n">
        <x:f>'P4 Forecast'!D8-'P4 Forecast'!D6*'P4 Forecast'!D10</x:f>
        <x:v>0</x:v>
      </x:c>
      <x:c r="D20" s="211" t="n">
        <x:v>0</x:v>
      </x:c>
      <x:c r="E20" s="211" t="n">
        <x:f>C20-D20</x:f>
        <x:v>0</x:v>
      </x:c>
      <x:c r="F20" s="211" t="n">
        <x:v>0.0001</x:v>
      </x:c>
      <x:c r="G20" s="211" t="str">
        <x:f>IF(ABS(E20)&lt;=F20,"OK","REVIEW")</x:f>
        <x:v>OK</x:v>
      </x:c>
      <x:c r="H20" s="90" t="str">
        <x:v>GMD throughput = national TEU × share.</x:v>
      </x:c>
    </x:row>
    <x:row r="21" ht="25" customHeight="1">
      <x:c r="A21" s="88" t="str">
        <x:v>P4-BASE-2026-PORT</x:v>
      </x:c>
      <x:c r="B21" s="89" t="str">
        <x:v>Base 2026 port-revenue identity</x:v>
      </x:c>
      <x:c r="C21" s="211" t="n">
        <x:f>'P4 Forecast'!D13-'P4 Forecast'!D8*'P4 Forecast'!D11</x:f>
        <x:v>0</x:v>
      </x:c>
      <x:c r="D21" s="211" t="n">
        <x:v>0</x:v>
      </x:c>
      <x:c r="E21" s="211" t="n">
        <x:f>C21-D21</x:f>
        <x:v>0</x:v>
      </x:c>
      <x:c r="F21" s="211" t="n">
        <x:v>0.01</x:v>
      </x:c>
      <x:c r="G21" s="211" t="str">
        <x:f>IF(ABS(E21)&lt;=F21,"OK","REVIEW")</x:f>
        <x:v>OK</x:v>
      </x:c>
      <x:c r="H21" s="90" t="str">
        <x:v>Port revenue = throughput × unit/mix proxy.</x:v>
      </x:c>
    </x:row>
    <x:row r="22" ht="25" customHeight="1">
      <x:c r="A22" s="88" t="str">
        <x:v>P4-BASE-2026-REV</x:v>
      </x:c>
      <x:c r="B22" s="89" t="str">
        <x:v>Base 2026 revenue bridge</x:v>
      </x:c>
      <x:c r="C22" s="211" t="n">
        <x:f>'P4 Forecast'!D16-SUM('P4 Forecast'!D13:'P4 Forecast'!D15)</x:f>
        <x:v>0</x:v>
      </x:c>
      <x:c r="D22" s="211" t="n">
        <x:v>0</x:v>
      </x:c>
      <x:c r="E22" s="211" t="n">
        <x:f>C22-D22</x:f>
        <x:v>0</x:v>
      </x:c>
      <x:c r="F22" s="211" t="n">
        <x:v>0.01</x:v>
      </x:c>
      <x:c r="G22" s="211" t="str">
        <x:f>IF(ABS(E22)&lt;=F22,"OK","REVIEW")</x:f>
        <x:v>OK</x:v>
      </x:c>
      <x:c r="H22" s="90" t="str">
        <x:v>Port + logistics + other = consolidated revenue.</x:v>
      </x:c>
    </x:row>
    <x:row r="23" ht="25" customHeight="1">
      <x:c r="A23" s="88" t="str">
        <x:v>P4-BASE-2026-ASSOC</x:v>
      </x:c>
      <x:c r="B23" s="89" t="str">
        <x:v>Base 2026 associate bridge</x:v>
      </x:c>
      <x:c r="C23" s="211" t="n">
        <x:f>'P4 Forecast'!D26-SUM('P4 Forecast'!D22:'P4 Forecast'!D25)</x:f>
        <x:v>0</x:v>
      </x:c>
      <x:c r="D23" s="211" t="n">
        <x:v>0</x:v>
      </x:c>
      <x:c r="E23" s="211" t="n">
        <x:f>C23-D23</x:f>
        <x:v>0</x:v>
      </x:c>
      <x:c r="F23" s="211" t="n">
        <x:v>0.01</x:v>
      </x:c>
      <x:c r="G23" s="211" t="str">
        <x:f>IF(ABS(E23)&lt;=F23,"OK","REVIEW")</x:f>
        <x:v>OK</x:v>
      </x:c>
      <x:c r="H23" s="90" t="str">
        <x:v>Named associates + residual = total associates.</x:v>
      </x:c>
    </x:row>
    <x:row r="24" ht="25" customHeight="1">
      <x:c r="A24" s="88" t="str">
        <x:v>P4-BASE-2026-PBT</x:v>
      </x:c>
      <x:c r="B24" s="89" t="str">
        <x:v>Base 2026 PBT bridge</x:v>
      </x:c>
      <x:c r="C24" s="211" t="n">
        <x:f>'P4 Forecast'!D28-('P4 Forecast'!D19+'P4 Forecast'!D20-'P4 Forecast'!D21+'P4 Forecast'!D26+'P4 Forecast'!D27)</x:f>
        <x:v>0</x:v>
      </x:c>
      <x:c r="D24" s="211" t="n">
        <x:v>0</x:v>
      </x:c>
      <x:c r="E24" s="211" t="n">
        <x:f>C24-D24</x:f>
        <x:v>0</x:v>
      </x:c>
      <x:c r="F24" s="211" t="n">
        <x:v>0.01</x:v>
      </x:c>
      <x:c r="G24" s="211" t="str">
        <x:f>IF(ABS(E24)&lt;=F24,"OK","REVIEW")</x:f>
        <x:v>OK</x:v>
      </x:c>
      <x:c r="H24" s="90" t="str">
        <x:v>EBIT + net finance + associates + other.</x:v>
      </x:c>
    </x:row>
    <x:row r="25" ht="25" customHeight="1">
      <x:c r="A25" s="88" t="str">
        <x:v>P4-BASE-2026-PAT</x:v>
      </x:c>
      <x:c r="B25" s="89" t="str">
        <x:v>Base 2026 PAT attribution</x:v>
      </x:c>
      <x:c r="C25" s="211" t="n">
        <x:f>'P4 Forecast'!D31-SUM('P4 Forecast'!D33:'P4 Forecast'!D34)</x:f>
        <x:v>0</x:v>
      </x:c>
      <x:c r="D25" s="211" t="n">
        <x:v>0</x:v>
      </x:c>
      <x:c r="E25" s="211" t="n">
        <x:f>C25-D25</x:f>
        <x:v>0</x:v>
      </x:c>
      <x:c r="F25" s="211" t="n">
        <x:v>0.01</x:v>
      </x:c>
      <x:c r="G25" s="211" t="str">
        <x:f>IF(ABS(E25)&lt;=F25,"OK","REVIEW")</x:f>
        <x:v>OK</x:v>
      </x:c>
      <x:c r="H25" s="90" t="str">
        <x:v>Parent PAT + NCI PAT = consolidated PAT.</x:v>
      </x:c>
    </x:row>
    <x:row r="26" ht="25" customHeight="1">
      <x:c r="A26" s="88" t="str">
        <x:v>P4-BASE-2026-FCFF</x:v>
      </x:c>
      <x:c r="B26" s="89" t="str">
        <x:v>Base 2026 FCFF bridge</x:v>
      </x:c>
      <x:c r="C26" s="211" t="n">
        <x:f>'P4 Forecast'!D40-('P4 Forecast'!D19*(1-'P4 Forecast'!D39)+'P4 Forecast'!D36-'P4 Forecast'!D37-'P4 Forecast'!D38)</x:f>
        <x:v>0</x:v>
      </x:c>
      <x:c r="D26" s="211" t="n">
        <x:v>0</x:v>
      </x:c>
      <x:c r="E26" s="211" t="n">
        <x:f>C26-D26</x:f>
        <x:v>0</x:v>
      </x:c>
      <x:c r="F26" s="211" t="n">
        <x:v>0.01</x:v>
      </x:c>
      <x:c r="G26" s="211" t="str">
        <x:f>IF(ABS(E26)&lt;=F26,"OK","REVIEW")</x:f>
        <x:v>OK</x:v>
      </x:c>
      <x:c r="H26" s="90" t="str">
        <x:v>After-tax EBIT + D&amp;A - capex - NWC.</x:v>
      </x:c>
    </x:row>
    <x:row r="27" ht="25" customHeight="1">
      <x:c r="A27" s="88" t="str">
        <x:v>P4-BASE-2027-TEU</x:v>
      </x:c>
      <x:c r="B27" s="89" t="str">
        <x:v>Base 2027 national TEU roll-forward</x:v>
      </x:c>
      <x:c r="C27" s="211" t="n">
        <x:f>'P4 Forecast'!E6-'P4 Forecast'!D6*(1+'P4 Forecast'!E7)</x:f>
        <x:v>0</x:v>
      </x:c>
      <x:c r="D27" s="211" t="n">
        <x:v>0</x:v>
      </x:c>
      <x:c r="E27" s="211" t="n">
        <x:f>C27-D27</x:f>
        <x:v>0</x:v>
      </x:c>
      <x:c r="F27" s="211" t="n">
        <x:v>0.0001</x:v>
      </x:c>
      <x:c r="G27" s="211" t="str">
        <x:f>IF(ABS(E27)&lt;=F27,"OK","REVIEW")</x:f>
        <x:v>OK</x:v>
      </x:c>
      <x:c r="H27" s="90" t="str">
        <x:v>National TEU follows the visible growth assumption.</x:v>
      </x:c>
    </x:row>
    <x:row r="28" ht="25" customHeight="1">
      <x:c r="A28" s="88" t="str">
        <x:v>P4-BASE-2027-SHARE</x:v>
      </x:c>
      <x:c r="B28" s="89" t="str">
        <x:v>Base 2027 throughput identity</x:v>
      </x:c>
      <x:c r="C28" s="211" t="n">
        <x:f>'P4 Forecast'!E8-'P4 Forecast'!E6*'P4 Forecast'!E10</x:f>
        <x:v>0</x:v>
      </x:c>
      <x:c r="D28" s="211" t="n">
        <x:v>0</x:v>
      </x:c>
      <x:c r="E28" s="211" t="n">
        <x:f>C28-D28</x:f>
        <x:v>0</x:v>
      </x:c>
      <x:c r="F28" s="211" t="n">
        <x:v>0.0001</x:v>
      </x:c>
      <x:c r="G28" s="211" t="str">
        <x:f>IF(ABS(E28)&lt;=F28,"OK","REVIEW")</x:f>
        <x:v>OK</x:v>
      </x:c>
      <x:c r="H28" s="90" t="str">
        <x:v>GMD throughput = national TEU × share.</x:v>
      </x:c>
    </x:row>
    <x:row r="29" ht="25" customHeight="1">
      <x:c r="A29" s="88" t="str">
        <x:v>P4-BASE-2027-PORT</x:v>
      </x:c>
      <x:c r="B29" s="89" t="str">
        <x:v>Base 2027 port-revenue identity</x:v>
      </x:c>
      <x:c r="C29" s="211" t="n">
        <x:f>'P4 Forecast'!E13-'P4 Forecast'!E8*'P4 Forecast'!E11</x:f>
        <x:v>0</x:v>
      </x:c>
      <x:c r="D29" s="211" t="n">
        <x:v>0</x:v>
      </x:c>
      <x:c r="E29" s="211" t="n">
        <x:f>C29-D29</x:f>
        <x:v>0</x:v>
      </x:c>
      <x:c r="F29" s="211" t="n">
        <x:v>0.01</x:v>
      </x:c>
      <x:c r="G29" s="211" t="str">
        <x:f>IF(ABS(E29)&lt;=F29,"OK","REVIEW")</x:f>
        <x:v>OK</x:v>
      </x:c>
      <x:c r="H29" s="90" t="str">
        <x:v>Port revenue = throughput × unit/mix proxy.</x:v>
      </x:c>
    </x:row>
    <x:row r="30" ht="25" customHeight="1">
      <x:c r="A30" s="88" t="str">
        <x:v>P4-BASE-2027-REV</x:v>
      </x:c>
      <x:c r="B30" s="89" t="str">
        <x:v>Base 2027 revenue bridge</x:v>
      </x:c>
      <x:c r="C30" s="211" t="n">
        <x:f>'P4 Forecast'!E16-SUM('P4 Forecast'!E13:'P4 Forecast'!E15)</x:f>
        <x:v>0</x:v>
      </x:c>
      <x:c r="D30" s="211" t="n">
        <x:v>0</x:v>
      </x:c>
      <x:c r="E30" s="211" t="n">
        <x:f>C30-D30</x:f>
        <x:v>0</x:v>
      </x:c>
      <x:c r="F30" s="211" t="n">
        <x:v>0.01</x:v>
      </x:c>
      <x:c r="G30" s="211" t="str">
        <x:f>IF(ABS(E30)&lt;=F30,"OK","REVIEW")</x:f>
        <x:v>OK</x:v>
      </x:c>
      <x:c r="H30" s="90" t="str">
        <x:v>Port + logistics + other = consolidated revenue.</x:v>
      </x:c>
    </x:row>
    <x:row r="31" ht="25" customHeight="1">
      <x:c r="A31" s="88" t="str">
        <x:v>P4-BASE-2027-ASSOC</x:v>
      </x:c>
      <x:c r="B31" s="89" t="str">
        <x:v>Base 2027 associate bridge</x:v>
      </x:c>
      <x:c r="C31" s="211" t="n">
        <x:f>'P4 Forecast'!E26-SUM('P4 Forecast'!E22:'P4 Forecast'!E25)</x:f>
        <x:v>0</x:v>
      </x:c>
      <x:c r="D31" s="211" t="n">
        <x:v>0</x:v>
      </x:c>
      <x:c r="E31" s="211" t="n">
        <x:f>C31-D31</x:f>
        <x:v>0</x:v>
      </x:c>
      <x:c r="F31" s="211" t="n">
        <x:v>0.01</x:v>
      </x:c>
      <x:c r="G31" s="211" t="str">
        <x:f>IF(ABS(E31)&lt;=F31,"OK","REVIEW")</x:f>
        <x:v>OK</x:v>
      </x:c>
      <x:c r="H31" s="90" t="str">
        <x:v>Named associates + residual = total associates.</x:v>
      </x:c>
    </x:row>
    <x:row r="32" ht="25" customHeight="1">
      <x:c r="A32" s="88" t="str">
        <x:v>P4-BASE-2027-PBT</x:v>
      </x:c>
      <x:c r="B32" s="89" t="str">
        <x:v>Base 2027 PBT bridge</x:v>
      </x:c>
      <x:c r="C32" s="211" t="n">
        <x:f>'P4 Forecast'!E28-('P4 Forecast'!E19+'P4 Forecast'!E20-'P4 Forecast'!E21+'P4 Forecast'!E26+'P4 Forecast'!E27)</x:f>
        <x:v>0</x:v>
      </x:c>
      <x:c r="D32" s="211" t="n">
        <x:v>0</x:v>
      </x:c>
      <x:c r="E32" s="211" t="n">
        <x:f>C32-D32</x:f>
        <x:v>0</x:v>
      </x:c>
      <x:c r="F32" s="211" t="n">
        <x:v>0.01</x:v>
      </x:c>
      <x:c r="G32" s="211" t="str">
        <x:f>IF(ABS(E32)&lt;=F32,"OK","REVIEW")</x:f>
        <x:v>OK</x:v>
      </x:c>
      <x:c r="H32" s="90" t="str">
        <x:v>EBIT + net finance + associates + other.</x:v>
      </x:c>
    </x:row>
    <x:row r="33" ht="25" customHeight="1">
      <x:c r="A33" s="88" t="str">
        <x:v>P4-BASE-2027-PAT</x:v>
      </x:c>
      <x:c r="B33" s="89" t="str">
        <x:v>Base 2027 PAT attribution</x:v>
      </x:c>
      <x:c r="C33" s="211" t="n">
        <x:f>'P4 Forecast'!E31-SUM('P4 Forecast'!E33:'P4 Forecast'!E34)</x:f>
        <x:v>0</x:v>
      </x:c>
      <x:c r="D33" s="211" t="n">
        <x:v>0</x:v>
      </x:c>
      <x:c r="E33" s="211" t="n">
        <x:f>C33-D33</x:f>
        <x:v>0</x:v>
      </x:c>
      <x:c r="F33" s="211" t="n">
        <x:v>0.01</x:v>
      </x:c>
      <x:c r="G33" s="211" t="str">
        <x:f>IF(ABS(E33)&lt;=F33,"OK","REVIEW")</x:f>
        <x:v>OK</x:v>
      </x:c>
      <x:c r="H33" s="90" t="str">
        <x:v>Parent PAT + NCI PAT = consolidated PAT.</x:v>
      </x:c>
    </x:row>
    <x:row r="34" ht="25" customHeight="1">
      <x:c r="A34" s="88" t="str">
        <x:v>P4-BASE-2027-FCFF</x:v>
      </x:c>
      <x:c r="B34" s="89" t="str">
        <x:v>Base 2027 FCFF bridge</x:v>
      </x:c>
      <x:c r="C34" s="211" t="n">
        <x:f>'P4 Forecast'!E40-('P4 Forecast'!E19*(1-'P4 Forecast'!E39)+'P4 Forecast'!E36-'P4 Forecast'!E37-'P4 Forecast'!E38)</x:f>
        <x:v>0</x:v>
      </x:c>
      <x:c r="D34" s="211" t="n">
        <x:v>0</x:v>
      </x:c>
      <x:c r="E34" s="211" t="n">
        <x:f>C34-D34</x:f>
        <x:v>0</x:v>
      </x:c>
      <x:c r="F34" s="211" t="n">
        <x:v>0.01</x:v>
      </x:c>
      <x:c r="G34" s="211" t="str">
        <x:f>IF(ABS(E34)&lt;=F34,"OK","REVIEW")</x:f>
        <x:v>OK</x:v>
      </x:c>
      <x:c r="H34" s="90" t="str">
        <x:v>After-tax EBIT + D&amp;A - capex - NWC.</x:v>
      </x:c>
    </x:row>
    <x:row r="35" ht="25" customHeight="1">
      <x:c r="A35" s="88" t="str">
        <x:v>P4-BASE-2028-TEU</x:v>
      </x:c>
      <x:c r="B35" s="89" t="str">
        <x:v>Base 2028 national TEU roll-forward</x:v>
      </x:c>
      <x:c r="C35" s="211" t="n">
        <x:f>'P4 Forecast'!F6-'P4 Forecast'!E6*(1+'P4 Forecast'!F7)</x:f>
        <x:v>0</x:v>
      </x:c>
      <x:c r="D35" s="211" t="n">
        <x:v>0</x:v>
      </x:c>
      <x:c r="E35" s="211" t="n">
        <x:f>C35-D35</x:f>
        <x:v>0</x:v>
      </x:c>
      <x:c r="F35" s="211" t="n">
        <x:v>0.0001</x:v>
      </x:c>
      <x:c r="G35" s="211" t="str">
        <x:f>IF(ABS(E35)&lt;=F35,"OK","REVIEW")</x:f>
        <x:v>OK</x:v>
      </x:c>
      <x:c r="H35" s="90" t="str">
        <x:v>National TEU follows the visible growth assumption.</x:v>
      </x:c>
    </x:row>
    <x:row r="36" ht="25" customHeight="1">
      <x:c r="A36" s="88" t="str">
        <x:v>P4-BASE-2028-SHARE</x:v>
      </x:c>
      <x:c r="B36" s="89" t="str">
        <x:v>Base 2028 throughput identity</x:v>
      </x:c>
      <x:c r="C36" s="211" t="n">
        <x:f>'P4 Forecast'!F8-'P4 Forecast'!F6*'P4 Forecast'!F10</x:f>
        <x:v>0</x:v>
      </x:c>
      <x:c r="D36" s="211" t="n">
        <x:v>0</x:v>
      </x:c>
      <x:c r="E36" s="211" t="n">
        <x:f>C36-D36</x:f>
        <x:v>0</x:v>
      </x:c>
      <x:c r="F36" s="211" t="n">
        <x:v>0.0001</x:v>
      </x:c>
      <x:c r="G36" s="211" t="str">
        <x:f>IF(ABS(E36)&lt;=F36,"OK","REVIEW")</x:f>
        <x:v>OK</x:v>
      </x:c>
      <x:c r="H36" s="90" t="str">
        <x:v>GMD throughput = national TEU × share.</x:v>
      </x:c>
    </x:row>
    <x:row r="37" ht="25" customHeight="1">
      <x:c r="A37" s="88" t="str">
        <x:v>P4-BASE-2028-PORT</x:v>
      </x:c>
      <x:c r="B37" s="89" t="str">
        <x:v>Base 2028 port-revenue identity</x:v>
      </x:c>
      <x:c r="C37" s="211" t="n">
        <x:f>'P4 Forecast'!F13-'P4 Forecast'!F8*'P4 Forecast'!F11</x:f>
        <x:v>0</x:v>
      </x:c>
      <x:c r="D37" s="211" t="n">
        <x:v>0</x:v>
      </x:c>
      <x:c r="E37" s="211" t="n">
        <x:f>C37-D37</x:f>
        <x:v>0</x:v>
      </x:c>
      <x:c r="F37" s="211" t="n">
        <x:v>0.01</x:v>
      </x:c>
      <x:c r="G37" s="211" t="str">
        <x:f>IF(ABS(E37)&lt;=F37,"OK","REVIEW")</x:f>
        <x:v>OK</x:v>
      </x:c>
      <x:c r="H37" s="90" t="str">
        <x:v>Port revenue = throughput × unit/mix proxy.</x:v>
      </x:c>
    </x:row>
    <x:row r="38" ht="25" customHeight="1">
      <x:c r="A38" s="88" t="str">
        <x:v>P4-BASE-2028-REV</x:v>
      </x:c>
      <x:c r="B38" s="89" t="str">
        <x:v>Base 2028 revenue bridge</x:v>
      </x:c>
      <x:c r="C38" s="211" t="n">
        <x:f>'P4 Forecast'!F16-SUM('P4 Forecast'!F13:'P4 Forecast'!F15)</x:f>
        <x:v>0</x:v>
      </x:c>
      <x:c r="D38" s="211" t="n">
        <x:v>0</x:v>
      </x:c>
      <x:c r="E38" s="211" t="n">
        <x:f>C38-D38</x:f>
        <x:v>0</x:v>
      </x:c>
      <x:c r="F38" s="211" t="n">
        <x:v>0.01</x:v>
      </x:c>
      <x:c r="G38" s="211" t="str">
        <x:f>IF(ABS(E38)&lt;=F38,"OK","REVIEW")</x:f>
        <x:v>OK</x:v>
      </x:c>
      <x:c r="H38" s="90" t="str">
        <x:v>Port + logistics + other = consolidated revenue.</x:v>
      </x:c>
    </x:row>
    <x:row r="39" ht="25" customHeight="1">
      <x:c r="A39" s="88" t="str">
        <x:v>P4-BASE-2028-ASSOC</x:v>
      </x:c>
      <x:c r="B39" s="89" t="str">
        <x:v>Base 2028 associate bridge</x:v>
      </x:c>
      <x:c r="C39" s="211" t="n">
        <x:f>'P4 Forecast'!F26-SUM('P4 Forecast'!F22:'P4 Forecast'!F25)</x:f>
        <x:v>0</x:v>
      </x:c>
      <x:c r="D39" s="211" t="n">
        <x:v>0</x:v>
      </x:c>
      <x:c r="E39" s="211" t="n">
        <x:f>C39-D39</x:f>
        <x:v>0</x:v>
      </x:c>
      <x:c r="F39" s="211" t="n">
        <x:v>0.01</x:v>
      </x:c>
      <x:c r="G39" s="211" t="str">
        <x:f>IF(ABS(E39)&lt;=F39,"OK","REVIEW")</x:f>
        <x:v>OK</x:v>
      </x:c>
      <x:c r="H39" s="90" t="str">
        <x:v>Named associates + residual = total associates.</x:v>
      </x:c>
    </x:row>
    <x:row r="40" ht="25" customHeight="1">
      <x:c r="A40" s="88" t="str">
        <x:v>P4-BASE-2028-PBT</x:v>
      </x:c>
      <x:c r="B40" s="89" t="str">
        <x:v>Base 2028 PBT bridge</x:v>
      </x:c>
      <x:c r="C40" s="211" t="n">
        <x:f>'P4 Forecast'!F28-('P4 Forecast'!F19+'P4 Forecast'!F20-'P4 Forecast'!F21+'P4 Forecast'!F26+'P4 Forecast'!F27)</x:f>
        <x:v>0</x:v>
      </x:c>
      <x:c r="D40" s="211" t="n">
        <x:v>0</x:v>
      </x:c>
      <x:c r="E40" s="211" t="n">
        <x:f>C40-D40</x:f>
        <x:v>0</x:v>
      </x:c>
      <x:c r="F40" s="211" t="n">
        <x:v>0.01</x:v>
      </x:c>
      <x:c r="G40" s="211" t="str">
        <x:f>IF(ABS(E40)&lt;=F40,"OK","REVIEW")</x:f>
        <x:v>OK</x:v>
      </x:c>
      <x:c r="H40" s="90" t="str">
        <x:v>EBIT + net finance + associates + other.</x:v>
      </x:c>
    </x:row>
    <x:row r="41" ht="25" customHeight="1">
      <x:c r="A41" s="88" t="str">
        <x:v>P4-BASE-2028-PAT</x:v>
      </x:c>
      <x:c r="B41" s="89" t="str">
        <x:v>Base 2028 PAT attribution</x:v>
      </x:c>
      <x:c r="C41" s="211" t="n">
        <x:f>'P4 Forecast'!F31-SUM('P4 Forecast'!F33:'P4 Forecast'!F34)</x:f>
        <x:v>0</x:v>
      </x:c>
      <x:c r="D41" s="211" t="n">
        <x:v>0</x:v>
      </x:c>
      <x:c r="E41" s="211" t="n">
        <x:f>C41-D41</x:f>
        <x:v>0</x:v>
      </x:c>
      <x:c r="F41" s="211" t="n">
        <x:v>0.01</x:v>
      </x:c>
      <x:c r="G41" s="211" t="str">
        <x:f>IF(ABS(E41)&lt;=F41,"OK","REVIEW")</x:f>
        <x:v>OK</x:v>
      </x:c>
      <x:c r="H41" s="90" t="str">
        <x:v>Parent PAT + NCI PAT = consolidated PAT.</x:v>
      </x:c>
    </x:row>
    <x:row r="42" ht="25" customHeight="1">
      <x:c r="A42" s="88" t="str">
        <x:v>P4-BASE-2028-FCFF</x:v>
      </x:c>
      <x:c r="B42" s="89" t="str">
        <x:v>Base 2028 FCFF bridge</x:v>
      </x:c>
      <x:c r="C42" s="211" t="n">
        <x:f>'P4 Forecast'!F40-('P4 Forecast'!F19*(1-'P4 Forecast'!F39)+'P4 Forecast'!F36-'P4 Forecast'!F37-'P4 Forecast'!F38)</x:f>
        <x:v>0</x:v>
      </x:c>
      <x:c r="D42" s="211" t="n">
        <x:v>0</x:v>
      </x:c>
      <x:c r="E42" s="211" t="n">
        <x:f>C42-D42</x:f>
        <x:v>0</x:v>
      </x:c>
      <x:c r="F42" s="211" t="n">
        <x:v>0.01</x:v>
      </x:c>
      <x:c r="G42" s="211" t="str">
        <x:f>IF(ABS(E42)&lt;=F42,"OK","REVIEW")</x:f>
        <x:v>OK</x:v>
      </x:c>
      <x:c r="H42" s="90" t="str">
        <x:v>After-tax EBIT + D&amp;A - capex - NWC.</x:v>
      </x:c>
    </x:row>
    <x:row r="43" ht="25" customHeight="1">
      <x:c r="A43" s="88" t="str">
        <x:v>P4-BASE-2029-TEU</x:v>
      </x:c>
      <x:c r="B43" s="89" t="str">
        <x:v>Base 2029 national TEU roll-forward</x:v>
      </x:c>
      <x:c r="C43" s="211" t="n">
        <x:f>'P4 Forecast'!G6-'P4 Forecast'!F6*(1+'P4 Forecast'!G7)</x:f>
        <x:v>0</x:v>
      </x:c>
      <x:c r="D43" s="211" t="n">
        <x:v>0</x:v>
      </x:c>
      <x:c r="E43" s="211" t="n">
        <x:f>C43-D43</x:f>
        <x:v>0</x:v>
      </x:c>
      <x:c r="F43" s="211" t="n">
        <x:v>0.0001</x:v>
      </x:c>
      <x:c r="G43" s="211" t="str">
        <x:f>IF(ABS(E43)&lt;=F43,"OK","REVIEW")</x:f>
        <x:v>OK</x:v>
      </x:c>
      <x:c r="H43" s="90" t="str">
        <x:v>National TEU follows the visible growth assumption.</x:v>
      </x:c>
    </x:row>
    <x:row r="44" ht="25" customHeight="1">
      <x:c r="A44" s="88" t="str">
        <x:v>P4-BASE-2029-SHARE</x:v>
      </x:c>
      <x:c r="B44" s="89" t="str">
        <x:v>Base 2029 throughput identity</x:v>
      </x:c>
      <x:c r="C44" s="211" t="n">
        <x:f>'P4 Forecast'!G8-'P4 Forecast'!G6*'P4 Forecast'!G10</x:f>
        <x:v>0</x:v>
      </x:c>
      <x:c r="D44" s="211" t="n">
        <x:v>0</x:v>
      </x:c>
      <x:c r="E44" s="211" t="n">
        <x:f>C44-D44</x:f>
        <x:v>0</x:v>
      </x:c>
      <x:c r="F44" s="211" t="n">
        <x:v>0.0001</x:v>
      </x:c>
      <x:c r="G44" s="211" t="str">
        <x:f>IF(ABS(E44)&lt;=F44,"OK","REVIEW")</x:f>
        <x:v>OK</x:v>
      </x:c>
      <x:c r="H44" s="90" t="str">
        <x:v>GMD throughput = national TEU × share.</x:v>
      </x:c>
    </x:row>
    <x:row r="45" ht="25" customHeight="1">
      <x:c r="A45" s="88" t="str">
        <x:v>P4-BASE-2029-PORT</x:v>
      </x:c>
      <x:c r="B45" s="89" t="str">
        <x:v>Base 2029 port-revenue identity</x:v>
      </x:c>
      <x:c r="C45" s="211" t="n">
        <x:f>'P4 Forecast'!G13-'P4 Forecast'!G8*'P4 Forecast'!G11</x:f>
        <x:v>0</x:v>
      </x:c>
      <x:c r="D45" s="211" t="n">
        <x:v>0</x:v>
      </x:c>
      <x:c r="E45" s="211" t="n">
        <x:f>C45-D45</x:f>
        <x:v>0</x:v>
      </x:c>
      <x:c r="F45" s="211" t="n">
        <x:v>0.01</x:v>
      </x:c>
      <x:c r="G45" s="211" t="str">
        <x:f>IF(ABS(E45)&lt;=F45,"OK","REVIEW")</x:f>
        <x:v>OK</x:v>
      </x:c>
      <x:c r="H45" s="90" t="str">
        <x:v>Port revenue = throughput × unit/mix proxy.</x:v>
      </x:c>
    </x:row>
    <x:row r="46" ht="25" customHeight="1">
      <x:c r="A46" s="88" t="str">
        <x:v>P4-BASE-2029-REV</x:v>
      </x:c>
      <x:c r="B46" s="89" t="str">
        <x:v>Base 2029 revenue bridge</x:v>
      </x:c>
      <x:c r="C46" s="211" t="n">
        <x:f>'P4 Forecast'!G16-SUM('P4 Forecast'!G13:'P4 Forecast'!G15)</x:f>
        <x:v>0</x:v>
      </x:c>
      <x:c r="D46" s="211" t="n">
        <x:v>0</x:v>
      </x:c>
      <x:c r="E46" s="211" t="n">
        <x:f>C46-D46</x:f>
        <x:v>0</x:v>
      </x:c>
      <x:c r="F46" s="211" t="n">
        <x:v>0.01</x:v>
      </x:c>
      <x:c r="G46" s="211" t="str">
        <x:f>IF(ABS(E46)&lt;=F46,"OK","REVIEW")</x:f>
        <x:v>OK</x:v>
      </x:c>
      <x:c r="H46" s="90" t="str">
        <x:v>Port + logistics + other = consolidated revenue.</x:v>
      </x:c>
    </x:row>
    <x:row r="47" ht="25" customHeight="1">
      <x:c r="A47" s="88" t="str">
        <x:v>P4-BASE-2029-ASSOC</x:v>
      </x:c>
      <x:c r="B47" s="89" t="str">
        <x:v>Base 2029 associate bridge</x:v>
      </x:c>
      <x:c r="C47" s="211" t="n">
        <x:f>'P4 Forecast'!G26-SUM('P4 Forecast'!G22:'P4 Forecast'!G25)</x:f>
        <x:v>0</x:v>
      </x:c>
      <x:c r="D47" s="211" t="n">
        <x:v>0</x:v>
      </x:c>
      <x:c r="E47" s="211" t="n">
        <x:f>C47-D47</x:f>
        <x:v>0</x:v>
      </x:c>
      <x:c r="F47" s="211" t="n">
        <x:v>0.01</x:v>
      </x:c>
      <x:c r="G47" s="211" t="str">
        <x:f>IF(ABS(E47)&lt;=F47,"OK","REVIEW")</x:f>
        <x:v>OK</x:v>
      </x:c>
      <x:c r="H47" s="90" t="str">
        <x:v>Named associates + residual = total associates.</x:v>
      </x:c>
    </x:row>
    <x:row r="48" ht="25" customHeight="1">
      <x:c r="A48" s="88" t="str">
        <x:v>P4-BASE-2029-PBT</x:v>
      </x:c>
      <x:c r="B48" s="89" t="str">
        <x:v>Base 2029 PBT bridge</x:v>
      </x:c>
      <x:c r="C48" s="211" t="n">
        <x:f>'P4 Forecast'!G28-('P4 Forecast'!G19+'P4 Forecast'!G20-'P4 Forecast'!G21+'P4 Forecast'!G26+'P4 Forecast'!G27)</x:f>
        <x:v>0</x:v>
      </x:c>
      <x:c r="D48" s="211" t="n">
        <x:v>0</x:v>
      </x:c>
      <x:c r="E48" s="211" t="n">
        <x:f>C48-D48</x:f>
        <x:v>0</x:v>
      </x:c>
      <x:c r="F48" s="211" t="n">
        <x:v>0.01</x:v>
      </x:c>
      <x:c r="G48" s="211" t="str">
        <x:f>IF(ABS(E48)&lt;=F48,"OK","REVIEW")</x:f>
        <x:v>OK</x:v>
      </x:c>
      <x:c r="H48" s="90" t="str">
        <x:v>EBIT + net finance + associates + other.</x:v>
      </x:c>
    </x:row>
    <x:row r="49" ht="25" customHeight="1">
      <x:c r="A49" s="88" t="str">
        <x:v>P4-BASE-2029-PAT</x:v>
      </x:c>
      <x:c r="B49" s="89" t="str">
        <x:v>Base 2029 PAT attribution</x:v>
      </x:c>
      <x:c r="C49" s="211" t="n">
        <x:f>'P4 Forecast'!G31-SUM('P4 Forecast'!G33:'P4 Forecast'!G34)</x:f>
        <x:v>0</x:v>
      </x:c>
      <x:c r="D49" s="211" t="n">
        <x:v>0</x:v>
      </x:c>
      <x:c r="E49" s="211" t="n">
        <x:f>C49-D49</x:f>
        <x:v>0</x:v>
      </x:c>
      <x:c r="F49" s="211" t="n">
        <x:v>0.01</x:v>
      </x:c>
      <x:c r="G49" s="211" t="str">
        <x:f>IF(ABS(E49)&lt;=F49,"OK","REVIEW")</x:f>
        <x:v>OK</x:v>
      </x:c>
      <x:c r="H49" s="90" t="str">
        <x:v>Parent PAT + NCI PAT = consolidated PAT.</x:v>
      </x:c>
    </x:row>
    <x:row r="50" ht="25" customHeight="1">
      <x:c r="A50" s="88" t="str">
        <x:v>P4-BASE-2029-FCFF</x:v>
      </x:c>
      <x:c r="B50" s="89" t="str">
        <x:v>Base 2029 FCFF bridge</x:v>
      </x:c>
      <x:c r="C50" s="211" t="n">
        <x:f>'P4 Forecast'!G40-('P4 Forecast'!G19*(1-'P4 Forecast'!G39)+'P4 Forecast'!G36-'P4 Forecast'!G37-'P4 Forecast'!G38)</x:f>
        <x:v>0</x:v>
      </x:c>
      <x:c r="D50" s="211" t="n">
        <x:v>0</x:v>
      </x:c>
      <x:c r="E50" s="211" t="n">
        <x:f>C50-D50</x:f>
        <x:v>0</x:v>
      </x:c>
      <x:c r="F50" s="211" t="n">
        <x:v>0.01</x:v>
      </x:c>
      <x:c r="G50" s="211" t="str">
        <x:f>IF(ABS(E50)&lt;=F50,"OK","REVIEW")</x:f>
        <x:v>OK</x:v>
      </x:c>
      <x:c r="H50" s="90" t="str">
        <x:v>After-tax EBIT + D&amp;A - capex - NWC.</x:v>
      </x:c>
    </x:row>
    <x:row r="51" ht="25" customHeight="1">
      <x:c r="A51" s="88" t="str">
        <x:v>P4-BASE-2030-TEU</x:v>
      </x:c>
      <x:c r="B51" s="89" t="str">
        <x:v>Base 2030 national TEU roll-forward</x:v>
      </x:c>
      <x:c r="C51" s="211" t="n">
        <x:f>'P4 Forecast'!H6-'P4 Forecast'!G6*(1+'P4 Forecast'!H7)</x:f>
        <x:v>0</x:v>
      </x:c>
      <x:c r="D51" s="211" t="n">
        <x:v>0</x:v>
      </x:c>
      <x:c r="E51" s="211" t="n">
        <x:f>C51-D51</x:f>
        <x:v>0</x:v>
      </x:c>
      <x:c r="F51" s="211" t="n">
        <x:v>0.0001</x:v>
      </x:c>
      <x:c r="G51" s="211" t="str">
        <x:f>IF(ABS(E51)&lt;=F51,"OK","REVIEW")</x:f>
        <x:v>OK</x:v>
      </x:c>
      <x:c r="H51" s="90" t="str">
        <x:v>National TEU follows the visible growth assumption.</x:v>
      </x:c>
    </x:row>
    <x:row r="52" ht="25" customHeight="1">
      <x:c r="A52" s="88" t="str">
        <x:v>P4-BASE-2030-SHARE</x:v>
      </x:c>
      <x:c r="B52" s="89" t="str">
        <x:v>Base 2030 throughput identity</x:v>
      </x:c>
      <x:c r="C52" s="211" t="n">
        <x:f>'P4 Forecast'!H8-'P4 Forecast'!H6*'P4 Forecast'!H10</x:f>
        <x:v>0</x:v>
      </x:c>
      <x:c r="D52" s="211" t="n">
        <x:v>0</x:v>
      </x:c>
      <x:c r="E52" s="211" t="n">
        <x:f>C52-D52</x:f>
        <x:v>0</x:v>
      </x:c>
      <x:c r="F52" s="211" t="n">
        <x:v>0.0001</x:v>
      </x:c>
      <x:c r="G52" s="211" t="str">
        <x:f>IF(ABS(E52)&lt;=F52,"OK","REVIEW")</x:f>
        <x:v>OK</x:v>
      </x:c>
      <x:c r="H52" s="90" t="str">
        <x:v>GMD throughput = national TEU × share.</x:v>
      </x:c>
    </x:row>
    <x:row r="53" ht="25" customHeight="1">
      <x:c r="A53" s="88" t="str">
        <x:v>P4-BASE-2030-PORT</x:v>
      </x:c>
      <x:c r="B53" s="89" t="str">
        <x:v>Base 2030 port-revenue identity</x:v>
      </x:c>
      <x:c r="C53" s="211" t="n">
        <x:f>'P4 Forecast'!H13-'P4 Forecast'!H8*'P4 Forecast'!H11</x:f>
        <x:v>0</x:v>
      </x:c>
      <x:c r="D53" s="211" t="n">
        <x:v>0</x:v>
      </x:c>
      <x:c r="E53" s="211" t="n">
        <x:f>C53-D53</x:f>
        <x:v>0</x:v>
      </x:c>
      <x:c r="F53" s="211" t="n">
        <x:v>0.01</x:v>
      </x:c>
      <x:c r="G53" s="211" t="str">
        <x:f>IF(ABS(E53)&lt;=F53,"OK","REVIEW")</x:f>
        <x:v>OK</x:v>
      </x:c>
      <x:c r="H53" s="90" t="str">
        <x:v>Port revenue = throughput × unit/mix proxy.</x:v>
      </x:c>
    </x:row>
    <x:row r="54" ht="25" customHeight="1">
      <x:c r="A54" s="88" t="str">
        <x:v>P4-BASE-2030-REV</x:v>
      </x:c>
      <x:c r="B54" s="89" t="str">
        <x:v>Base 2030 revenue bridge</x:v>
      </x:c>
      <x:c r="C54" s="211" t="n">
        <x:f>'P4 Forecast'!H16-SUM('P4 Forecast'!H13:'P4 Forecast'!H15)</x:f>
        <x:v>0</x:v>
      </x:c>
      <x:c r="D54" s="211" t="n">
        <x:v>0</x:v>
      </x:c>
      <x:c r="E54" s="211" t="n">
        <x:f>C54-D54</x:f>
        <x:v>0</x:v>
      </x:c>
      <x:c r="F54" s="211" t="n">
        <x:v>0.01</x:v>
      </x:c>
      <x:c r="G54" s="211" t="str">
        <x:f>IF(ABS(E54)&lt;=F54,"OK","REVIEW")</x:f>
        <x:v>OK</x:v>
      </x:c>
      <x:c r="H54" s="90" t="str">
        <x:v>Port + logistics + other = consolidated revenue.</x:v>
      </x:c>
    </x:row>
    <x:row r="55" ht="25" customHeight="1">
      <x:c r="A55" s="88" t="str">
        <x:v>P4-BASE-2030-ASSOC</x:v>
      </x:c>
      <x:c r="B55" s="89" t="str">
        <x:v>Base 2030 associate bridge</x:v>
      </x:c>
      <x:c r="C55" s="211" t="n">
        <x:f>'P4 Forecast'!H26-SUM('P4 Forecast'!H22:'P4 Forecast'!H25)</x:f>
        <x:v>0</x:v>
      </x:c>
      <x:c r="D55" s="211" t="n">
        <x:v>0</x:v>
      </x:c>
      <x:c r="E55" s="211" t="n">
        <x:f>C55-D55</x:f>
        <x:v>0</x:v>
      </x:c>
      <x:c r="F55" s="211" t="n">
        <x:v>0.01</x:v>
      </x:c>
      <x:c r="G55" s="211" t="str">
        <x:f>IF(ABS(E55)&lt;=F55,"OK","REVIEW")</x:f>
        <x:v>OK</x:v>
      </x:c>
      <x:c r="H55" s="90" t="str">
        <x:v>Named associates + residual = total associates.</x:v>
      </x:c>
    </x:row>
    <x:row r="56" ht="25" customHeight="1">
      <x:c r="A56" s="88" t="str">
        <x:v>P4-BASE-2030-PBT</x:v>
      </x:c>
      <x:c r="B56" s="89" t="str">
        <x:v>Base 2030 PBT bridge</x:v>
      </x:c>
      <x:c r="C56" s="211" t="n">
        <x:f>'P4 Forecast'!H28-('P4 Forecast'!H19+'P4 Forecast'!H20-'P4 Forecast'!H21+'P4 Forecast'!H26+'P4 Forecast'!H27)</x:f>
        <x:v>0</x:v>
      </x:c>
      <x:c r="D56" s="211" t="n">
        <x:v>0</x:v>
      </x:c>
      <x:c r="E56" s="211" t="n">
        <x:f>C56-D56</x:f>
        <x:v>0</x:v>
      </x:c>
      <x:c r="F56" s="211" t="n">
        <x:v>0.01</x:v>
      </x:c>
      <x:c r="G56" s="211" t="str">
        <x:f>IF(ABS(E56)&lt;=F56,"OK","REVIEW")</x:f>
        <x:v>OK</x:v>
      </x:c>
      <x:c r="H56" s="90" t="str">
        <x:v>EBIT + net finance + associates + other.</x:v>
      </x:c>
    </x:row>
    <x:row r="57" ht="25" customHeight="1">
      <x:c r="A57" s="88" t="str">
        <x:v>P4-BASE-2030-PAT</x:v>
      </x:c>
      <x:c r="B57" s="89" t="str">
        <x:v>Base 2030 PAT attribution</x:v>
      </x:c>
      <x:c r="C57" s="211" t="n">
        <x:f>'P4 Forecast'!H31-SUM('P4 Forecast'!H33:'P4 Forecast'!H34)</x:f>
        <x:v>0</x:v>
      </x:c>
      <x:c r="D57" s="211" t="n">
        <x:v>0</x:v>
      </x:c>
      <x:c r="E57" s="211" t="n">
        <x:f>C57-D57</x:f>
        <x:v>0</x:v>
      </x:c>
      <x:c r="F57" s="211" t="n">
        <x:v>0.01</x:v>
      </x:c>
      <x:c r="G57" s="211" t="str">
        <x:f>IF(ABS(E57)&lt;=F57,"OK","REVIEW")</x:f>
        <x:v>OK</x:v>
      </x:c>
      <x:c r="H57" s="90" t="str">
        <x:v>Parent PAT + NCI PAT = consolidated PAT.</x:v>
      </x:c>
    </x:row>
    <x:row r="58" ht="25" customHeight="1">
      <x:c r="A58" s="88" t="str">
        <x:v>P4-BASE-2030-FCFF</x:v>
      </x:c>
      <x:c r="B58" s="89" t="str">
        <x:v>Base 2030 FCFF bridge</x:v>
      </x:c>
      <x:c r="C58" s="211" t="n">
        <x:f>'P4 Forecast'!H40-('P4 Forecast'!H19*(1-'P4 Forecast'!H39)+'P4 Forecast'!H36-'P4 Forecast'!H37-'P4 Forecast'!H38)</x:f>
        <x:v>0</x:v>
      </x:c>
      <x:c r="D58" s="211" t="n">
        <x:v>0</x:v>
      </x:c>
      <x:c r="E58" s="211" t="n">
        <x:f>C58-D58</x:f>
        <x:v>0</x:v>
      </x:c>
      <x:c r="F58" s="211" t="n">
        <x:v>0.01</x:v>
      </x:c>
      <x:c r="G58" s="211" t="str">
        <x:f>IF(ABS(E58)&lt;=F58,"OK","REVIEW")</x:f>
        <x:v>OK</x:v>
      </x:c>
      <x:c r="H58" s="90" t="str">
        <x:v>After-tax EBIT + D&amp;A - capex - NWC.</x:v>
      </x:c>
    </x:row>
    <x:row r="59" ht="25" customHeight="1">
      <x:c r="A59" s="88" t="str">
        <x:v>P4-BULL-WACC</x:v>
      </x:c>
      <x:c r="B59" s="89" t="str">
        <x:v>Bull WACC exceeds terminal growth</x:v>
      </x:c>
      <x:c r="C59" s="211" t="n">
        <x:f>IF('P4 DCF'!B41&gt;'P4 DCF'!B42,1,0)</x:f>
        <x:v>1</x:v>
      </x:c>
      <x:c r="D59" s="211" t="n">
        <x:v>1</x:v>
      </x:c>
      <x:c r="E59" s="211" t="n">
        <x:f>C59-D59</x:f>
        <x:v>0</x:v>
      </x:c>
      <x:c r="F59" s="211" t="n">
        <x:v>0</x:v>
      </x:c>
      <x:c r="G59" s="211" t="str">
        <x:f>IF(ABS(E59)&lt;=F59,"OK","REVIEW")</x:f>
        <x:v>OK</x:v>
      </x:c>
      <x:c r="H59" s="90" t="str">
        <x:v>Required for a valid Gordon-growth terminal value.</x:v>
      </x:c>
    </x:row>
    <x:row r="60" ht="25" customHeight="1">
      <x:c r="A60" s="88" t="str">
        <x:v>P4-BULL-DCF</x:v>
      </x:c>
      <x:c r="B60" s="89" t="str">
        <x:v>Bull DCF equity bridge</x:v>
      </x:c>
      <x:c r="C60" s="211" t="n">
        <x:f>'P4 DCF'!B56-('P4 DCF'!B47+'P4 DCF'!B51+'P4 DCF'!B52-'P4 DCF'!B55)</x:f>
        <x:v>0</x:v>
      </x:c>
      <x:c r="D60" s="211" t="n">
        <x:v>0</x:v>
      </x:c>
      <x:c r="E60" s="211" t="n">
        <x:f>C60-D60</x:f>
        <x:v>0</x:v>
      </x:c>
      <x:c r="F60" s="211" t="n">
        <x:v>0.01</x:v>
      </x:c>
      <x:c r="G60" s="211" t="str">
        <x:f>IF(ABS(E60)&lt;=F60,"OK","REVIEW")</x:f>
        <x:v>OK</x:v>
      </x:c>
      <x:c r="H60" s="90" t="str">
        <x:v>Enterprise value + associates + net cash - NCI.</x:v>
      </x:c>
    </x:row>
    <x:row r="61" ht="25" customHeight="1">
      <x:c r="A61" s="88" t="str">
        <x:v>P4-BULL-2026-TEU</x:v>
      </x:c>
      <x:c r="B61" s="89" t="str">
        <x:v>Bull 2026 national TEU roll-forward</x:v>
      </x:c>
      <x:c r="C61" s="211" t="n">
        <x:f>'P4 Forecast'!D46-'P4 Forecast'!C46*(1+'P4 Forecast'!D47)</x:f>
        <x:v>0</x:v>
      </x:c>
      <x:c r="D61" s="211" t="n">
        <x:v>0</x:v>
      </x:c>
      <x:c r="E61" s="211" t="n">
        <x:f>C61-D61</x:f>
        <x:v>0</x:v>
      </x:c>
      <x:c r="F61" s="211" t="n">
        <x:v>0.0001</x:v>
      </x:c>
      <x:c r="G61" s="211" t="str">
        <x:f>IF(ABS(E61)&lt;=F61,"OK","REVIEW")</x:f>
        <x:v>OK</x:v>
      </x:c>
      <x:c r="H61" s="90" t="str">
        <x:v>National TEU follows the visible growth assumption.</x:v>
      </x:c>
    </x:row>
    <x:row r="62" ht="25" customHeight="1">
      <x:c r="A62" s="88" t="str">
        <x:v>P4-BULL-2026-SHARE</x:v>
      </x:c>
      <x:c r="B62" s="89" t="str">
        <x:v>Bull 2026 throughput identity</x:v>
      </x:c>
      <x:c r="C62" s="211" t="n">
        <x:f>'P4 Forecast'!D48-'P4 Forecast'!D46*'P4 Forecast'!D50</x:f>
        <x:v>0</x:v>
      </x:c>
      <x:c r="D62" s="211" t="n">
        <x:v>0</x:v>
      </x:c>
      <x:c r="E62" s="211" t="n">
        <x:f>C62-D62</x:f>
        <x:v>0</x:v>
      </x:c>
      <x:c r="F62" s="211" t="n">
        <x:v>0.0001</x:v>
      </x:c>
      <x:c r="G62" s="211" t="str">
        <x:f>IF(ABS(E62)&lt;=F62,"OK","REVIEW")</x:f>
        <x:v>OK</x:v>
      </x:c>
      <x:c r="H62" s="90" t="str">
        <x:v>GMD throughput = national TEU × share.</x:v>
      </x:c>
    </x:row>
    <x:row r="63" ht="25" customHeight="1">
      <x:c r="A63" s="88" t="str">
        <x:v>P4-BULL-2026-PORT</x:v>
      </x:c>
      <x:c r="B63" s="89" t="str">
        <x:v>Bull 2026 port-revenue identity</x:v>
      </x:c>
      <x:c r="C63" s="211" t="n">
        <x:f>'P4 Forecast'!D53-'P4 Forecast'!D48*'P4 Forecast'!D51</x:f>
        <x:v>0</x:v>
      </x:c>
      <x:c r="D63" s="211" t="n">
        <x:v>0</x:v>
      </x:c>
      <x:c r="E63" s="211" t="n">
        <x:f>C63-D63</x:f>
        <x:v>0</x:v>
      </x:c>
      <x:c r="F63" s="211" t="n">
        <x:v>0.01</x:v>
      </x:c>
      <x:c r="G63" s="211" t="str">
        <x:f>IF(ABS(E63)&lt;=F63,"OK","REVIEW")</x:f>
        <x:v>OK</x:v>
      </x:c>
      <x:c r="H63" s="90" t="str">
        <x:v>Port revenue = throughput × unit/mix proxy.</x:v>
      </x:c>
    </x:row>
    <x:row r="64" ht="25" customHeight="1">
      <x:c r="A64" s="88" t="str">
        <x:v>P4-BULL-2026-REV</x:v>
      </x:c>
      <x:c r="B64" s="89" t="str">
        <x:v>Bull 2026 revenue bridge</x:v>
      </x:c>
      <x:c r="C64" s="211" t="n">
        <x:f>'P4 Forecast'!D56-SUM('P4 Forecast'!D53:'P4 Forecast'!D55)</x:f>
        <x:v>0</x:v>
      </x:c>
      <x:c r="D64" s="211" t="n">
        <x:v>0</x:v>
      </x:c>
      <x:c r="E64" s="211" t="n">
        <x:f>C64-D64</x:f>
        <x:v>0</x:v>
      </x:c>
      <x:c r="F64" s="211" t="n">
        <x:v>0.01</x:v>
      </x:c>
      <x:c r="G64" s="211" t="str">
        <x:f>IF(ABS(E64)&lt;=F64,"OK","REVIEW")</x:f>
        <x:v>OK</x:v>
      </x:c>
      <x:c r="H64" s="90" t="str">
        <x:v>Port + logistics + other = consolidated revenue.</x:v>
      </x:c>
    </x:row>
    <x:row r="65" ht="25" customHeight="1">
      <x:c r="A65" s="88" t="str">
        <x:v>P4-BULL-2026-ASSOC</x:v>
      </x:c>
      <x:c r="B65" s="89" t="str">
        <x:v>Bull 2026 associate bridge</x:v>
      </x:c>
      <x:c r="C65" s="211" t="n">
        <x:f>'P4 Forecast'!D66-SUM('P4 Forecast'!D62:'P4 Forecast'!D65)</x:f>
        <x:v>0</x:v>
      </x:c>
      <x:c r="D65" s="211" t="n">
        <x:v>0</x:v>
      </x:c>
      <x:c r="E65" s="211" t="n">
        <x:f>C65-D65</x:f>
        <x:v>0</x:v>
      </x:c>
      <x:c r="F65" s="211" t="n">
        <x:v>0.01</x:v>
      </x:c>
      <x:c r="G65" s="211" t="str">
        <x:f>IF(ABS(E65)&lt;=F65,"OK","REVIEW")</x:f>
        <x:v>OK</x:v>
      </x:c>
      <x:c r="H65" s="90" t="str">
        <x:v>Named associates + residual = total associates.</x:v>
      </x:c>
    </x:row>
    <x:row r="66" ht="25" customHeight="1">
      <x:c r="A66" s="88" t="str">
        <x:v>P4-BULL-2026-PBT</x:v>
      </x:c>
      <x:c r="B66" s="89" t="str">
        <x:v>Bull 2026 PBT bridge</x:v>
      </x:c>
      <x:c r="C66" s="211" t="n">
        <x:f>'P4 Forecast'!D68-('P4 Forecast'!D59+'P4 Forecast'!D60-'P4 Forecast'!D61+'P4 Forecast'!D66+'P4 Forecast'!D67)</x:f>
        <x:v>0</x:v>
      </x:c>
      <x:c r="D66" s="211" t="n">
        <x:v>0</x:v>
      </x:c>
      <x:c r="E66" s="211" t="n">
        <x:f>C66-D66</x:f>
        <x:v>0</x:v>
      </x:c>
      <x:c r="F66" s="211" t="n">
        <x:v>0.01</x:v>
      </x:c>
      <x:c r="G66" s="211" t="str">
        <x:f>IF(ABS(E66)&lt;=F66,"OK","REVIEW")</x:f>
        <x:v>OK</x:v>
      </x:c>
      <x:c r="H66" s="90" t="str">
        <x:v>EBIT + net finance + associates + other.</x:v>
      </x:c>
    </x:row>
    <x:row r="67" ht="25" customHeight="1">
      <x:c r="A67" s="88" t="str">
        <x:v>P4-BULL-2026-PAT</x:v>
      </x:c>
      <x:c r="B67" s="89" t="str">
        <x:v>Bull 2026 PAT attribution</x:v>
      </x:c>
      <x:c r="C67" s="211" t="n">
        <x:f>'P4 Forecast'!D71-SUM('P4 Forecast'!D73:'P4 Forecast'!D74)</x:f>
        <x:v>0</x:v>
      </x:c>
      <x:c r="D67" s="211" t="n">
        <x:v>0</x:v>
      </x:c>
      <x:c r="E67" s="211" t="n">
        <x:f>C67-D67</x:f>
        <x:v>0</x:v>
      </x:c>
      <x:c r="F67" s="211" t="n">
        <x:v>0.01</x:v>
      </x:c>
      <x:c r="G67" s="211" t="str">
        <x:f>IF(ABS(E67)&lt;=F67,"OK","REVIEW")</x:f>
        <x:v>OK</x:v>
      </x:c>
      <x:c r="H67" s="90" t="str">
        <x:v>Parent PAT + NCI PAT = consolidated PAT.</x:v>
      </x:c>
    </x:row>
    <x:row r="68" ht="25" customHeight="1">
      <x:c r="A68" s="88" t="str">
        <x:v>P4-BULL-2026-FCFF</x:v>
      </x:c>
      <x:c r="B68" s="89" t="str">
        <x:v>Bull 2026 FCFF bridge</x:v>
      </x:c>
      <x:c r="C68" s="211" t="n">
        <x:f>'P4 Forecast'!D80-('P4 Forecast'!D59*(1-'P4 Forecast'!D79)+'P4 Forecast'!D76-'P4 Forecast'!D77-'P4 Forecast'!D78)</x:f>
        <x:v>0</x:v>
      </x:c>
      <x:c r="D68" s="211" t="n">
        <x:v>0</x:v>
      </x:c>
      <x:c r="E68" s="211" t="n">
        <x:f>C68-D68</x:f>
        <x:v>0</x:v>
      </x:c>
      <x:c r="F68" s="211" t="n">
        <x:v>0.01</x:v>
      </x:c>
      <x:c r="G68" s="211" t="str">
        <x:f>IF(ABS(E68)&lt;=F68,"OK","REVIEW")</x:f>
        <x:v>OK</x:v>
      </x:c>
      <x:c r="H68" s="90" t="str">
        <x:v>After-tax EBIT + D&amp;A - capex - NWC.</x:v>
      </x:c>
    </x:row>
    <x:row r="69" ht="25" customHeight="1">
      <x:c r="A69" s="88" t="str">
        <x:v>P4-BULL-2027-TEU</x:v>
      </x:c>
      <x:c r="B69" s="89" t="str">
        <x:v>Bull 2027 national TEU roll-forward</x:v>
      </x:c>
      <x:c r="C69" s="211" t="n">
        <x:f>'P4 Forecast'!E46-'P4 Forecast'!D46*(1+'P4 Forecast'!E47)</x:f>
        <x:v>0</x:v>
      </x:c>
      <x:c r="D69" s="211" t="n">
        <x:v>0</x:v>
      </x:c>
      <x:c r="E69" s="211" t="n">
        <x:f>C69-D69</x:f>
        <x:v>0</x:v>
      </x:c>
      <x:c r="F69" s="211" t="n">
        <x:v>0.0001</x:v>
      </x:c>
      <x:c r="G69" s="211" t="str">
        <x:f>IF(ABS(E69)&lt;=F69,"OK","REVIEW")</x:f>
        <x:v>OK</x:v>
      </x:c>
      <x:c r="H69" s="90" t="str">
        <x:v>National TEU follows the visible growth assumption.</x:v>
      </x:c>
    </x:row>
    <x:row r="70" ht="25" customHeight="1">
      <x:c r="A70" s="88" t="str">
        <x:v>P4-BULL-2027-SHARE</x:v>
      </x:c>
      <x:c r="B70" s="89" t="str">
        <x:v>Bull 2027 throughput identity</x:v>
      </x:c>
      <x:c r="C70" s="211" t="n">
        <x:f>'P4 Forecast'!E48-'P4 Forecast'!E46*'P4 Forecast'!E50</x:f>
        <x:v>0</x:v>
      </x:c>
      <x:c r="D70" s="211" t="n">
        <x:v>0</x:v>
      </x:c>
      <x:c r="E70" s="211" t="n">
        <x:f>C70-D70</x:f>
        <x:v>0</x:v>
      </x:c>
      <x:c r="F70" s="211" t="n">
        <x:v>0.0001</x:v>
      </x:c>
      <x:c r="G70" s="211" t="str">
        <x:f>IF(ABS(E70)&lt;=F70,"OK","REVIEW")</x:f>
        <x:v>OK</x:v>
      </x:c>
      <x:c r="H70" s="90" t="str">
        <x:v>GMD throughput = national TEU × share.</x:v>
      </x:c>
    </x:row>
    <x:row r="71" ht="25" customHeight="1">
      <x:c r="A71" s="88" t="str">
        <x:v>P4-BULL-2027-PORT</x:v>
      </x:c>
      <x:c r="B71" s="89" t="str">
        <x:v>Bull 2027 port-revenue identity</x:v>
      </x:c>
      <x:c r="C71" s="211" t="n">
        <x:f>'P4 Forecast'!E53-'P4 Forecast'!E48*'P4 Forecast'!E51</x:f>
        <x:v>0</x:v>
      </x:c>
      <x:c r="D71" s="211" t="n">
        <x:v>0</x:v>
      </x:c>
      <x:c r="E71" s="211" t="n">
        <x:f>C71-D71</x:f>
        <x:v>0</x:v>
      </x:c>
      <x:c r="F71" s="211" t="n">
        <x:v>0.01</x:v>
      </x:c>
      <x:c r="G71" s="211" t="str">
        <x:f>IF(ABS(E71)&lt;=F71,"OK","REVIEW")</x:f>
        <x:v>OK</x:v>
      </x:c>
      <x:c r="H71" s="90" t="str">
        <x:v>Port revenue = throughput × unit/mix proxy.</x:v>
      </x:c>
    </x:row>
    <x:row r="72" ht="25" customHeight="1">
      <x:c r="A72" s="88" t="str">
        <x:v>P4-BULL-2027-REV</x:v>
      </x:c>
      <x:c r="B72" s="89" t="str">
        <x:v>Bull 2027 revenue bridge</x:v>
      </x:c>
      <x:c r="C72" s="211" t="n">
        <x:f>'P4 Forecast'!E56-SUM('P4 Forecast'!E53:'P4 Forecast'!E55)</x:f>
        <x:v>0</x:v>
      </x:c>
      <x:c r="D72" s="211" t="n">
        <x:v>0</x:v>
      </x:c>
      <x:c r="E72" s="211" t="n">
        <x:f>C72-D72</x:f>
        <x:v>0</x:v>
      </x:c>
      <x:c r="F72" s="211" t="n">
        <x:v>0.01</x:v>
      </x:c>
      <x:c r="G72" s="211" t="str">
        <x:f>IF(ABS(E72)&lt;=F72,"OK","REVIEW")</x:f>
        <x:v>OK</x:v>
      </x:c>
      <x:c r="H72" s="90" t="str">
        <x:v>Port + logistics + other = consolidated revenue.</x:v>
      </x:c>
    </x:row>
    <x:row r="73" ht="25" customHeight="1">
      <x:c r="A73" s="88" t="str">
        <x:v>P4-BULL-2027-ASSOC</x:v>
      </x:c>
      <x:c r="B73" s="89" t="str">
        <x:v>Bull 2027 associate bridge</x:v>
      </x:c>
      <x:c r="C73" s="211" t="n">
        <x:f>'P4 Forecast'!E66-SUM('P4 Forecast'!E62:'P4 Forecast'!E65)</x:f>
        <x:v>0</x:v>
      </x:c>
      <x:c r="D73" s="211" t="n">
        <x:v>0</x:v>
      </x:c>
      <x:c r="E73" s="211" t="n">
        <x:f>C73-D73</x:f>
        <x:v>0</x:v>
      </x:c>
      <x:c r="F73" s="211" t="n">
        <x:v>0.01</x:v>
      </x:c>
      <x:c r="G73" s="211" t="str">
        <x:f>IF(ABS(E73)&lt;=F73,"OK","REVIEW")</x:f>
        <x:v>OK</x:v>
      </x:c>
      <x:c r="H73" s="90" t="str">
        <x:v>Named associates + residual = total associates.</x:v>
      </x:c>
    </x:row>
    <x:row r="74" ht="25" customHeight="1">
      <x:c r="A74" s="88" t="str">
        <x:v>P4-BULL-2027-PBT</x:v>
      </x:c>
      <x:c r="B74" s="89" t="str">
        <x:v>Bull 2027 PBT bridge</x:v>
      </x:c>
      <x:c r="C74" s="211" t="n">
        <x:f>'P4 Forecast'!E68-('P4 Forecast'!E59+'P4 Forecast'!E60-'P4 Forecast'!E61+'P4 Forecast'!E66+'P4 Forecast'!E67)</x:f>
        <x:v>0</x:v>
      </x:c>
      <x:c r="D74" s="211" t="n">
        <x:v>0</x:v>
      </x:c>
      <x:c r="E74" s="211" t="n">
        <x:f>C74-D74</x:f>
        <x:v>0</x:v>
      </x:c>
      <x:c r="F74" s="211" t="n">
        <x:v>0.01</x:v>
      </x:c>
      <x:c r="G74" s="211" t="str">
        <x:f>IF(ABS(E74)&lt;=F74,"OK","REVIEW")</x:f>
        <x:v>OK</x:v>
      </x:c>
      <x:c r="H74" s="90" t="str">
        <x:v>EBIT + net finance + associates + other.</x:v>
      </x:c>
    </x:row>
    <x:row r="75" ht="25" customHeight="1">
      <x:c r="A75" s="88" t="str">
        <x:v>P4-BULL-2027-PAT</x:v>
      </x:c>
      <x:c r="B75" s="89" t="str">
        <x:v>Bull 2027 PAT attribution</x:v>
      </x:c>
      <x:c r="C75" s="211" t="n">
        <x:f>'P4 Forecast'!E71-SUM('P4 Forecast'!E73:'P4 Forecast'!E74)</x:f>
        <x:v>0</x:v>
      </x:c>
      <x:c r="D75" s="211" t="n">
        <x:v>0</x:v>
      </x:c>
      <x:c r="E75" s="211" t="n">
        <x:f>C75-D75</x:f>
        <x:v>0</x:v>
      </x:c>
      <x:c r="F75" s="211" t="n">
        <x:v>0.01</x:v>
      </x:c>
      <x:c r="G75" s="211" t="str">
        <x:f>IF(ABS(E75)&lt;=F75,"OK","REVIEW")</x:f>
        <x:v>OK</x:v>
      </x:c>
      <x:c r="H75" s="90" t="str">
        <x:v>Parent PAT + NCI PAT = consolidated PAT.</x:v>
      </x:c>
    </x:row>
    <x:row r="76" ht="25" customHeight="1">
      <x:c r="A76" s="88" t="str">
        <x:v>P4-BULL-2027-FCFF</x:v>
      </x:c>
      <x:c r="B76" s="89" t="str">
        <x:v>Bull 2027 FCFF bridge</x:v>
      </x:c>
      <x:c r="C76" s="211" t="n">
        <x:f>'P4 Forecast'!E80-('P4 Forecast'!E59*(1-'P4 Forecast'!E79)+'P4 Forecast'!E76-'P4 Forecast'!E77-'P4 Forecast'!E78)</x:f>
        <x:v>0</x:v>
      </x:c>
      <x:c r="D76" s="211" t="n">
        <x:v>0</x:v>
      </x:c>
      <x:c r="E76" s="211" t="n">
        <x:f>C76-D76</x:f>
        <x:v>0</x:v>
      </x:c>
      <x:c r="F76" s="211" t="n">
        <x:v>0.01</x:v>
      </x:c>
      <x:c r="G76" s="211" t="str">
        <x:f>IF(ABS(E76)&lt;=F76,"OK","REVIEW")</x:f>
        <x:v>OK</x:v>
      </x:c>
      <x:c r="H76" s="90" t="str">
        <x:v>After-tax EBIT + D&amp;A - capex - NWC.</x:v>
      </x:c>
    </x:row>
    <x:row r="77" ht="25" customHeight="1">
      <x:c r="A77" s="88" t="str">
        <x:v>P4-BULL-2028-TEU</x:v>
      </x:c>
      <x:c r="B77" s="89" t="str">
        <x:v>Bull 2028 national TEU roll-forward</x:v>
      </x:c>
      <x:c r="C77" s="211" t="n">
        <x:f>'P4 Forecast'!F46-'P4 Forecast'!E46*(1+'P4 Forecast'!F47)</x:f>
        <x:v>0</x:v>
      </x:c>
      <x:c r="D77" s="211" t="n">
        <x:v>0</x:v>
      </x:c>
      <x:c r="E77" s="211" t="n">
        <x:f>C77-D77</x:f>
        <x:v>0</x:v>
      </x:c>
      <x:c r="F77" s="211" t="n">
        <x:v>0.0001</x:v>
      </x:c>
      <x:c r="G77" s="211" t="str">
        <x:f>IF(ABS(E77)&lt;=F77,"OK","REVIEW")</x:f>
        <x:v>OK</x:v>
      </x:c>
      <x:c r="H77" s="90" t="str">
        <x:v>National TEU follows the visible growth assumption.</x:v>
      </x:c>
    </x:row>
    <x:row r="78" ht="25" customHeight="1">
      <x:c r="A78" s="88" t="str">
        <x:v>P4-BULL-2028-SHARE</x:v>
      </x:c>
      <x:c r="B78" s="89" t="str">
        <x:v>Bull 2028 throughput identity</x:v>
      </x:c>
      <x:c r="C78" s="211" t="n">
        <x:f>'P4 Forecast'!F48-'P4 Forecast'!F46*'P4 Forecast'!F50</x:f>
        <x:v>0</x:v>
      </x:c>
      <x:c r="D78" s="211" t="n">
        <x:v>0</x:v>
      </x:c>
      <x:c r="E78" s="211" t="n">
        <x:f>C78-D78</x:f>
        <x:v>0</x:v>
      </x:c>
      <x:c r="F78" s="211" t="n">
        <x:v>0.0001</x:v>
      </x:c>
      <x:c r="G78" s="211" t="str">
        <x:f>IF(ABS(E78)&lt;=F78,"OK","REVIEW")</x:f>
        <x:v>OK</x:v>
      </x:c>
      <x:c r="H78" s="90" t="str">
        <x:v>GMD throughput = national TEU × share.</x:v>
      </x:c>
    </x:row>
    <x:row r="79" ht="25" customHeight="1">
      <x:c r="A79" s="88" t="str">
        <x:v>P4-BULL-2028-PORT</x:v>
      </x:c>
      <x:c r="B79" s="89" t="str">
        <x:v>Bull 2028 port-revenue identity</x:v>
      </x:c>
      <x:c r="C79" s="211" t="n">
        <x:f>'P4 Forecast'!F53-'P4 Forecast'!F48*'P4 Forecast'!F51</x:f>
        <x:v>0</x:v>
      </x:c>
      <x:c r="D79" s="211" t="n">
        <x:v>0</x:v>
      </x:c>
      <x:c r="E79" s="211" t="n">
        <x:f>C79-D79</x:f>
        <x:v>0</x:v>
      </x:c>
      <x:c r="F79" s="211" t="n">
        <x:v>0.01</x:v>
      </x:c>
      <x:c r="G79" s="211" t="str">
        <x:f>IF(ABS(E79)&lt;=F79,"OK","REVIEW")</x:f>
        <x:v>OK</x:v>
      </x:c>
      <x:c r="H79" s="90" t="str">
        <x:v>Port revenue = throughput × unit/mix proxy.</x:v>
      </x:c>
    </x:row>
    <x:row r="80" ht="25" customHeight="1">
      <x:c r="A80" s="88" t="str">
        <x:v>P4-BULL-2028-REV</x:v>
      </x:c>
      <x:c r="B80" s="89" t="str">
        <x:v>Bull 2028 revenue bridge</x:v>
      </x:c>
      <x:c r="C80" s="211" t="n">
        <x:f>'P4 Forecast'!F56-SUM('P4 Forecast'!F53:'P4 Forecast'!F55)</x:f>
        <x:v>0</x:v>
      </x:c>
      <x:c r="D80" s="211" t="n">
        <x:v>0</x:v>
      </x:c>
      <x:c r="E80" s="211" t="n">
        <x:f>C80-D80</x:f>
        <x:v>0</x:v>
      </x:c>
      <x:c r="F80" s="211" t="n">
        <x:v>0.01</x:v>
      </x:c>
      <x:c r="G80" s="211" t="str">
        <x:f>IF(ABS(E80)&lt;=F80,"OK","REVIEW")</x:f>
        <x:v>OK</x:v>
      </x:c>
      <x:c r="H80" s="90" t="str">
        <x:v>Port + logistics + other = consolidated revenue.</x:v>
      </x:c>
    </x:row>
    <x:row r="81" ht="25" customHeight="1">
      <x:c r="A81" s="88" t="str">
        <x:v>P4-BULL-2028-ASSOC</x:v>
      </x:c>
      <x:c r="B81" s="89" t="str">
        <x:v>Bull 2028 associate bridge</x:v>
      </x:c>
      <x:c r="C81" s="211" t="n">
        <x:f>'P4 Forecast'!F66-SUM('P4 Forecast'!F62:'P4 Forecast'!F65)</x:f>
        <x:v>0</x:v>
      </x:c>
      <x:c r="D81" s="211" t="n">
        <x:v>0</x:v>
      </x:c>
      <x:c r="E81" s="211" t="n">
        <x:f>C81-D81</x:f>
        <x:v>0</x:v>
      </x:c>
      <x:c r="F81" s="211" t="n">
        <x:v>0.01</x:v>
      </x:c>
      <x:c r="G81" s="211" t="str">
        <x:f>IF(ABS(E81)&lt;=F81,"OK","REVIEW")</x:f>
        <x:v>OK</x:v>
      </x:c>
      <x:c r="H81" s="90" t="str">
        <x:v>Named associates + residual = total associates.</x:v>
      </x:c>
    </x:row>
    <x:row r="82" ht="25" customHeight="1">
      <x:c r="A82" s="88" t="str">
        <x:v>P4-BULL-2028-PBT</x:v>
      </x:c>
      <x:c r="B82" s="89" t="str">
        <x:v>Bull 2028 PBT bridge</x:v>
      </x:c>
      <x:c r="C82" s="211" t="n">
        <x:f>'P4 Forecast'!F68-('P4 Forecast'!F59+'P4 Forecast'!F60-'P4 Forecast'!F61+'P4 Forecast'!F66+'P4 Forecast'!F67)</x:f>
        <x:v>0</x:v>
      </x:c>
      <x:c r="D82" s="211" t="n">
        <x:v>0</x:v>
      </x:c>
      <x:c r="E82" s="211" t="n">
        <x:f>C82-D82</x:f>
        <x:v>0</x:v>
      </x:c>
      <x:c r="F82" s="211" t="n">
        <x:v>0.01</x:v>
      </x:c>
      <x:c r="G82" s="211" t="str">
        <x:f>IF(ABS(E82)&lt;=F82,"OK","REVIEW")</x:f>
        <x:v>OK</x:v>
      </x:c>
      <x:c r="H82" s="90" t="str">
        <x:v>EBIT + net finance + associates + other.</x:v>
      </x:c>
    </x:row>
    <x:row r="83" ht="25" customHeight="1">
      <x:c r="A83" s="88" t="str">
        <x:v>P4-BULL-2028-PAT</x:v>
      </x:c>
      <x:c r="B83" s="89" t="str">
        <x:v>Bull 2028 PAT attribution</x:v>
      </x:c>
      <x:c r="C83" s="211" t="n">
        <x:f>'P4 Forecast'!F71-SUM('P4 Forecast'!F73:'P4 Forecast'!F74)</x:f>
        <x:v>0</x:v>
      </x:c>
      <x:c r="D83" s="211" t="n">
        <x:v>0</x:v>
      </x:c>
      <x:c r="E83" s="211" t="n">
        <x:f>C83-D83</x:f>
        <x:v>0</x:v>
      </x:c>
      <x:c r="F83" s="211" t="n">
        <x:v>0.01</x:v>
      </x:c>
      <x:c r="G83" s="211" t="str">
        <x:f>IF(ABS(E83)&lt;=F83,"OK","REVIEW")</x:f>
        <x:v>OK</x:v>
      </x:c>
      <x:c r="H83" s="90" t="str">
        <x:v>Parent PAT + NCI PAT = consolidated PAT.</x:v>
      </x:c>
    </x:row>
    <x:row r="84" ht="25" customHeight="1">
      <x:c r="A84" s="88" t="str">
        <x:v>P4-BULL-2028-FCFF</x:v>
      </x:c>
      <x:c r="B84" s="89" t="str">
        <x:v>Bull 2028 FCFF bridge</x:v>
      </x:c>
      <x:c r="C84" s="211" t="n">
        <x:f>'P4 Forecast'!F80-('P4 Forecast'!F59*(1-'P4 Forecast'!F79)+'P4 Forecast'!F76-'P4 Forecast'!F77-'P4 Forecast'!F78)</x:f>
        <x:v>0</x:v>
      </x:c>
      <x:c r="D84" s="211" t="n">
        <x:v>0</x:v>
      </x:c>
      <x:c r="E84" s="211" t="n">
        <x:f>C84-D84</x:f>
        <x:v>0</x:v>
      </x:c>
      <x:c r="F84" s="211" t="n">
        <x:v>0.01</x:v>
      </x:c>
      <x:c r="G84" s="211" t="str">
        <x:f>IF(ABS(E84)&lt;=F84,"OK","REVIEW")</x:f>
        <x:v>OK</x:v>
      </x:c>
      <x:c r="H84" s="90" t="str">
        <x:v>After-tax EBIT + D&amp;A - capex - NWC.</x:v>
      </x:c>
    </x:row>
    <x:row r="85" ht="25" customHeight="1">
      <x:c r="A85" s="88" t="str">
        <x:v>P4-BULL-2029-TEU</x:v>
      </x:c>
      <x:c r="B85" s="89" t="str">
        <x:v>Bull 2029 national TEU roll-forward</x:v>
      </x:c>
      <x:c r="C85" s="211" t="n">
        <x:f>'P4 Forecast'!G46-'P4 Forecast'!F46*(1+'P4 Forecast'!G47)</x:f>
        <x:v>0</x:v>
      </x:c>
      <x:c r="D85" s="211" t="n">
        <x:v>0</x:v>
      </x:c>
      <x:c r="E85" s="211" t="n">
        <x:f>C85-D85</x:f>
        <x:v>0</x:v>
      </x:c>
      <x:c r="F85" s="211" t="n">
        <x:v>0.0001</x:v>
      </x:c>
      <x:c r="G85" s="211" t="str">
        <x:f>IF(ABS(E85)&lt;=F85,"OK","REVIEW")</x:f>
        <x:v>OK</x:v>
      </x:c>
      <x:c r="H85" s="90" t="str">
        <x:v>National TEU follows the visible growth assumption.</x:v>
      </x:c>
    </x:row>
    <x:row r="86" ht="25" customHeight="1">
      <x:c r="A86" s="88" t="str">
        <x:v>P4-BULL-2029-SHARE</x:v>
      </x:c>
      <x:c r="B86" s="89" t="str">
        <x:v>Bull 2029 throughput identity</x:v>
      </x:c>
      <x:c r="C86" s="211" t="n">
        <x:f>'P4 Forecast'!G48-'P4 Forecast'!G46*'P4 Forecast'!G50</x:f>
        <x:v>0</x:v>
      </x:c>
      <x:c r="D86" s="211" t="n">
        <x:v>0</x:v>
      </x:c>
      <x:c r="E86" s="211" t="n">
        <x:f>C86-D86</x:f>
        <x:v>0</x:v>
      </x:c>
      <x:c r="F86" s="211" t="n">
        <x:v>0.0001</x:v>
      </x:c>
      <x:c r="G86" s="211" t="str">
        <x:f>IF(ABS(E86)&lt;=F86,"OK","REVIEW")</x:f>
        <x:v>OK</x:v>
      </x:c>
      <x:c r="H86" s="90" t="str">
        <x:v>GMD throughput = national TEU × share.</x:v>
      </x:c>
    </x:row>
    <x:row r="87" ht="25" customHeight="1">
      <x:c r="A87" s="88" t="str">
        <x:v>P4-BULL-2029-PORT</x:v>
      </x:c>
      <x:c r="B87" s="89" t="str">
        <x:v>Bull 2029 port-revenue identity</x:v>
      </x:c>
      <x:c r="C87" s="211" t="n">
        <x:f>'P4 Forecast'!G53-'P4 Forecast'!G48*'P4 Forecast'!G51</x:f>
        <x:v>0</x:v>
      </x:c>
      <x:c r="D87" s="211" t="n">
        <x:v>0</x:v>
      </x:c>
      <x:c r="E87" s="211" t="n">
        <x:f>C87-D87</x:f>
        <x:v>0</x:v>
      </x:c>
      <x:c r="F87" s="211" t="n">
        <x:v>0.01</x:v>
      </x:c>
      <x:c r="G87" s="211" t="str">
        <x:f>IF(ABS(E87)&lt;=F87,"OK","REVIEW")</x:f>
        <x:v>OK</x:v>
      </x:c>
      <x:c r="H87" s="90" t="str">
        <x:v>Port revenue = throughput × unit/mix proxy.</x:v>
      </x:c>
    </x:row>
    <x:row r="88" ht="25" customHeight="1">
      <x:c r="A88" s="88" t="str">
        <x:v>P4-BULL-2029-REV</x:v>
      </x:c>
      <x:c r="B88" s="89" t="str">
        <x:v>Bull 2029 revenue bridge</x:v>
      </x:c>
      <x:c r="C88" s="211" t="n">
        <x:f>'P4 Forecast'!G56-SUM('P4 Forecast'!G53:'P4 Forecast'!G55)</x:f>
        <x:v>0</x:v>
      </x:c>
      <x:c r="D88" s="211" t="n">
        <x:v>0</x:v>
      </x:c>
      <x:c r="E88" s="211" t="n">
        <x:f>C88-D88</x:f>
        <x:v>0</x:v>
      </x:c>
      <x:c r="F88" s="211" t="n">
        <x:v>0.01</x:v>
      </x:c>
      <x:c r="G88" s="211" t="str">
        <x:f>IF(ABS(E88)&lt;=F88,"OK","REVIEW")</x:f>
        <x:v>OK</x:v>
      </x:c>
      <x:c r="H88" s="90" t="str">
        <x:v>Port + logistics + other = consolidated revenue.</x:v>
      </x:c>
    </x:row>
    <x:row r="89" ht="25" customHeight="1">
      <x:c r="A89" s="88" t="str">
        <x:v>P4-BULL-2029-ASSOC</x:v>
      </x:c>
      <x:c r="B89" s="89" t="str">
        <x:v>Bull 2029 associate bridge</x:v>
      </x:c>
      <x:c r="C89" s="211" t="n">
        <x:f>'P4 Forecast'!G66-SUM('P4 Forecast'!G62:'P4 Forecast'!G65)</x:f>
        <x:v>0</x:v>
      </x:c>
      <x:c r="D89" s="211" t="n">
        <x:v>0</x:v>
      </x:c>
      <x:c r="E89" s="211" t="n">
        <x:f>C89-D89</x:f>
        <x:v>0</x:v>
      </x:c>
      <x:c r="F89" s="211" t="n">
        <x:v>0.01</x:v>
      </x:c>
      <x:c r="G89" s="211" t="str">
        <x:f>IF(ABS(E89)&lt;=F89,"OK","REVIEW")</x:f>
        <x:v>OK</x:v>
      </x:c>
      <x:c r="H89" s="90" t="str">
        <x:v>Named associates + residual = total associates.</x:v>
      </x:c>
    </x:row>
    <x:row r="90" ht="25" customHeight="1">
      <x:c r="A90" s="88" t="str">
        <x:v>P4-BULL-2029-PBT</x:v>
      </x:c>
      <x:c r="B90" s="89" t="str">
        <x:v>Bull 2029 PBT bridge</x:v>
      </x:c>
      <x:c r="C90" s="211" t="n">
        <x:f>'P4 Forecast'!G68-('P4 Forecast'!G59+'P4 Forecast'!G60-'P4 Forecast'!G61+'P4 Forecast'!G66+'P4 Forecast'!G67)</x:f>
        <x:v>0</x:v>
      </x:c>
      <x:c r="D90" s="211" t="n">
        <x:v>0</x:v>
      </x:c>
      <x:c r="E90" s="211" t="n">
        <x:f>C90-D90</x:f>
        <x:v>0</x:v>
      </x:c>
      <x:c r="F90" s="211" t="n">
        <x:v>0.01</x:v>
      </x:c>
      <x:c r="G90" s="211" t="str">
        <x:f>IF(ABS(E90)&lt;=F90,"OK","REVIEW")</x:f>
        <x:v>OK</x:v>
      </x:c>
      <x:c r="H90" s="90" t="str">
        <x:v>EBIT + net finance + associates + other.</x:v>
      </x:c>
    </x:row>
    <x:row r="91" ht="25" customHeight="1">
      <x:c r="A91" s="88" t="str">
        <x:v>P4-BULL-2029-PAT</x:v>
      </x:c>
      <x:c r="B91" s="89" t="str">
        <x:v>Bull 2029 PAT attribution</x:v>
      </x:c>
      <x:c r="C91" s="211" t="n">
        <x:f>'P4 Forecast'!G71-SUM('P4 Forecast'!G73:'P4 Forecast'!G74)</x:f>
        <x:v>-9.094947017729282e-13</x:v>
      </x:c>
      <x:c r="D91" s="211" t="n">
        <x:v>0</x:v>
      </x:c>
      <x:c r="E91" s="211" t="n">
        <x:f>C91-D91</x:f>
        <x:v>-9.094947017729282e-13</x:v>
      </x:c>
      <x:c r="F91" s="211" t="n">
        <x:v>0.01</x:v>
      </x:c>
      <x:c r="G91" s="211" t="str">
        <x:f>IF(ABS(E91)&lt;=F91,"OK","REVIEW")</x:f>
        <x:v>OK</x:v>
      </x:c>
      <x:c r="H91" s="90" t="str">
        <x:v>Parent PAT + NCI PAT = consolidated PAT.</x:v>
      </x:c>
    </x:row>
    <x:row r="92" ht="25" customHeight="1">
      <x:c r="A92" s="88" t="str">
        <x:v>P4-BULL-2029-FCFF</x:v>
      </x:c>
      <x:c r="B92" s="89" t="str">
        <x:v>Bull 2029 FCFF bridge</x:v>
      </x:c>
      <x:c r="C92" s="211" t="n">
        <x:f>'P4 Forecast'!G80-('P4 Forecast'!G59*(1-'P4 Forecast'!G79)+'P4 Forecast'!G76-'P4 Forecast'!G77-'P4 Forecast'!G78)</x:f>
        <x:v>0</x:v>
      </x:c>
      <x:c r="D92" s="211" t="n">
        <x:v>0</x:v>
      </x:c>
      <x:c r="E92" s="211" t="n">
        <x:f>C92-D92</x:f>
        <x:v>0</x:v>
      </x:c>
      <x:c r="F92" s="211" t="n">
        <x:v>0.01</x:v>
      </x:c>
      <x:c r="G92" s="211" t="str">
        <x:f>IF(ABS(E92)&lt;=F92,"OK","REVIEW")</x:f>
        <x:v>OK</x:v>
      </x:c>
      <x:c r="H92" s="90" t="str">
        <x:v>After-tax EBIT + D&amp;A - capex - NWC.</x:v>
      </x:c>
    </x:row>
    <x:row r="93" ht="25" customHeight="1">
      <x:c r="A93" s="88" t="str">
        <x:v>P4-BULL-2030-TEU</x:v>
      </x:c>
      <x:c r="B93" s="89" t="str">
        <x:v>Bull 2030 national TEU roll-forward</x:v>
      </x:c>
      <x:c r="C93" s="211" t="n">
        <x:f>'P4 Forecast'!H46-'P4 Forecast'!G46*(1+'P4 Forecast'!H47)</x:f>
        <x:v>0</x:v>
      </x:c>
      <x:c r="D93" s="211" t="n">
        <x:v>0</x:v>
      </x:c>
      <x:c r="E93" s="211" t="n">
        <x:f>C93-D93</x:f>
        <x:v>0</x:v>
      </x:c>
      <x:c r="F93" s="211" t="n">
        <x:v>0.0001</x:v>
      </x:c>
      <x:c r="G93" s="211" t="str">
        <x:f>IF(ABS(E93)&lt;=F93,"OK","REVIEW")</x:f>
        <x:v>OK</x:v>
      </x:c>
      <x:c r="H93" s="90" t="str">
        <x:v>National TEU follows the visible growth assumption.</x:v>
      </x:c>
    </x:row>
    <x:row r="94" ht="25" customHeight="1">
      <x:c r="A94" s="88" t="str">
        <x:v>P4-BULL-2030-SHARE</x:v>
      </x:c>
      <x:c r="B94" s="89" t="str">
        <x:v>Bull 2030 throughput identity</x:v>
      </x:c>
      <x:c r="C94" s="211" t="n">
        <x:f>'P4 Forecast'!H48-'P4 Forecast'!H46*'P4 Forecast'!H50</x:f>
        <x:v>0</x:v>
      </x:c>
      <x:c r="D94" s="211" t="n">
        <x:v>0</x:v>
      </x:c>
      <x:c r="E94" s="211" t="n">
        <x:f>C94-D94</x:f>
        <x:v>0</x:v>
      </x:c>
      <x:c r="F94" s="211" t="n">
        <x:v>0.0001</x:v>
      </x:c>
      <x:c r="G94" s="211" t="str">
        <x:f>IF(ABS(E94)&lt;=F94,"OK","REVIEW")</x:f>
        <x:v>OK</x:v>
      </x:c>
      <x:c r="H94" s="90" t="str">
        <x:v>GMD throughput = national TEU × share.</x:v>
      </x:c>
    </x:row>
    <x:row r="95" ht="25" customHeight="1">
      <x:c r="A95" s="88" t="str">
        <x:v>P4-BULL-2030-PORT</x:v>
      </x:c>
      <x:c r="B95" s="89" t="str">
        <x:v>Bull 2030 port-revenue identity</x:v>
      </x:c>
      <x:c r="C95" s="211" t="n">
        <x:f>'P4 Forecast'!H53-'P4 Forecast'!H48*'P4 Forecast'!H51</x:f>
        <x:v>0</x:v>
      </x:c>
      <x:c r="D95" s="211" t="n">
        <x:v>0</x:v>
      </x:c>
      <x:c r="E95" s="211" t="n">
        <x:f>C95-D95</x:f>
        <x:v>0</x:v>
      </x:c>
      <x:c r="F95" s="211" t="n">
        <x:v>0.01</x:v>
      </x:c>
      <x:c r="G95" s="211" t="str">
        <x:f>IF(ABS(E95)&lt;=F95,"OK","REVIEW")</x:f>
        <x:v>OK</x:v>
      </x:c>
      <x:c r="H95" s="90" t="str">
        <x:v>Port revenue = throughput × unit/mix proxy.</x:v>
      </x:c>
    </x:row>
    <x:row r="96" ht="25" customHeight="1">
      <x:c r="A96" s="88" t="str">
        <x:v>P4-BULL-2030-REV</x:v>
      </x:c>
      <x:c r="B96" s="89" t="str">
        <x:v>Bull 2030 revenue bridge</x:v>
      </x:c>
      <x:c r="C96" s="211" t="n">
        <x:f>'P4 Forecast'!H56-SUM('P4 Forecast'!H53:'P4 Forecast'!H55)</x:f>
        <x:v>0</x:v>
      </x:c>
      <x:c r="D96" s="211" t="n">
        <x:v>0</x:v>
      </x:c>
      <x:c r="E96" s="211" t="n">
        <x:f>C96-D96</x:f>
        <x:v>0</x:v>
      </x:c>
      <x:c r="F96" s="211" t="n">
        <x:v>0.01</x:v>
      </x:c>
      <x:c r="G96" s="211" t="str">
        <x:f>IF(ABS(E96)&lt;=F96,"OK","REVIEW")</x:f>
        <x:v>OK</x:v>
      </x:c>
      <x:c r="H96" s="90" t="str">
        <x:v>Port + logistics + other = consolidated revenue.</x:v>
      </x:c>
    </x:row>
    <x:row r="97" ht="25" customHeight="1">
      <x:c r="A97" s="88" t="str">
        <x:v>P4-BULL-2030-ASSOC</x:v>
      </x:c>
      <x:c r="B97" s="89" t="str">
        <x:v>Bull 2030 associate bridge</x:v>
      </x:c>
      <x:c r="C97" s="211" t="n">
        <x:f>'P4 Forecast'!H66-SUM('P4 Forecast'!H62:'P4 Forecast'!H65)</x:f>
        <x:v>0</x:v>
      </x:c>
      <x:c r="D97" s="211" t="n">
        <x:v>0</x:v>
      </x:c>
      <x:c r="E97" s="211" t="n">
        <x:f>C97-D97</x:f>
        <x:v>0</x:v>
      </x:c>
      <x:c r="F97" s="211" t="n">
        <x:v>0.01</x:v>
      </x:c>
      <x:c r="G97" s="211" t="str">
        <x:f>IF(ABS(E97)&lt;=F97,"OK","REVIEW")</x:f>
        <x:v>OK</x:v>
      </x:c>
      <x:c r="H97" s="90" t="str">
        <x:v>Named associates + residual = total associates.</x:v>
      </x:c>
    </x:row>
    <x:row r="98" ht="25" customHeight="1">
      <x:c r="A98" s="88" t="str">
        <x:v>P4-BULL-2030-PBT</x:v>
      </x:c>
      <x:c r="B98" s="89" t="str">
        <x:v>Bull 2030 PBT bridge</x:v>
      </x:c>
      <x:c r="C98" s="211" t="n">
        <x:f>'P4 Forecast'!H68-('P4 Forecast'!H59+'P4 Forecast'!H60-'P4 Forecast'!H61+'P4 Forecast'!H66+'P4 Forecast'!H67)</x:f>
        <x:v>0</x:v>
      </x:c>
      <x:c r="D98" s="211" t="n">
        <x:v>0</x:v>
      </x:c>
      <x:c r="E98" s="211" t="n">
        <x:f>C98-D98</x:f>
        <x:v>0</x:v>
      </x:c>
      <x:c r="F98" s="211" t="n">
        <x:v>0.01</x:v>
      </x:c>
      <x:c r="G98" s="211" t="str">
        <x:f>IF(ABS(E98)&lt;=F98,"OK","REVIEW")</x:f>
        <x:v>OK</x:v>
      </x:c>
      <x:c r="H98" s="90" t="str">
        <x:v>EBIT + net finance + associates + other.</x:v>
      </x:c>
    </x:row>
    <x:row r="99" ht="25" customHeight="1">
      <x:c r="A99" s="88" t="str">
        <x:v>P4-BULL-2030-PAT</x:v>
      </x:c>
      <x:c r="B99" s="89" t="str">
        <x:v>Bull 2030 PAT attribution</x:v>
      </x:c>
      <x:c r="C99" s="211" t="n">
        <x:f>'P4 Forecast'!H71-SUM('P4 Forecast'!H73:'P4 Forecast'!H74)</x:f>
        <x:v>0</x:v>
      </x:c>
      <x:c r="D99" s="211" t="n">
        <x:v>0</x:v>
      </x:c>
      <x:c r="E99" s="211" t="n">
        <x:f>C99-D99</x:f>
        <x:v>0</x:v>
      </x:c>
      <x:c r="F99" s="211" t="n">
        <x:v>0.01</x:v>
      </x:c>
      <x:c r="G99" s="211" t="str">
        <x:f>IF(ABS(E99)&lt;=F99,"OK","REVIEW")</x:f>
        <x:v>OK</x:v>
      </x:c>
      <x:c r="H99" s="90" t="str">
        <x:v>Parent PAT + NCI PAT = consolidated PAT.</x:v>
      </x:c>
    </x:row>
    <x:row r="100" ht="25" customHeight="1">
      <x:c r="A100" s="88" t="str">
        <x:v>P4-BULL-2030-FCFF</x:v>
      </x:c>
      <x:c r="B100" s="89" t="str">
        <x:v>Bull 2030 FCFF bridge</x:v>
      </x:c>
      <x:c r="C100" s="211" t="n">
        <x:f>'P4 Forecast'!H80-('P4 Forecast'!H59*(1-'P4 Forecast'!H79)+'P4 Forecast'!H76-'P4 Forecast'!H77-'P4 Forecast'!H78)</x:f>
        <x:v>0</x:v>
      </x:c>
      <x:c r="D100" s="211" t="n">
        <x:v>0</x:v>
      </x:c>
      <x:c r="E100" s="211" t="n">
        <x:f>C100-D100</x:f>
        <x:v>0</x:v>
      </x:c>
      <x:c r="F100" s="211" t="n">
        <x:v>0.01</x:v>
      </x:c>
      <x:c r="G100" s="211" t="str">
        <x:f>IF(ABS(E100)&lt;=F100,"OK","REVIEW")</x:f>
        <x:v>OK</x:v>
      </x:c>
      <x:c r="H100" s="90" t="str">
        <x:v>After-tax EBIT + D&amp;A - capex - NWC.</x:v>
      </x:c>
    </x:row>
    <x:row r="101" ht="25" customHeight="1">
      <x:c r="A101" s="88" t="str">
        <x:v>P4-BEAR-WACC</x:v>
      </x:c>
      <x:c r="B101" s="89" t="str">
        <x:v>Bear WACC exceeds terminal growth</x:v>
      </x:c>
      <x:c r="C101" s="211" t="n">
        <x:f>IF('P4 DCF'!B71&gt;'P4 DCF'!B72,1,0)</x:f>
        <x:v>1</x:v>
      </x:c>
      <x:c r="D101" s="211" t="n">
        <x:v>1</x:v>
      </x:c>
      <x:c r="E101" s="211" t="n">
        <x:f>C101-D101</x:f>
        <x:v>0</x:v>
      </x:c>
      <x:c r="F101" s="211" t="n">
        <x:v>0</x:v>
      </x:c>
      <x:c r="G101" s="211" t="str">
        <x:f>IF(ABS(E101)&lt;=F101,"OK","REVIEW")</x:f>
        <x:v>OK</x:v>
      </x:c>
      <x:c r="H101" s="90" t="str">
        <x:v>Required for a valid Gordon-growth terminal value.</x:v>
      </x:c>
    </x:row>
    <x:row r="102" ht="25" customHeight="1">
      <x:c r="A102" s="88" t="str">
        <x:v>P4-BEAR-DCF</x:v>
      </x:c>
      <x:c r="B102" s="89" t="str">
        <x:v>Bear DCF equity bridge</x:v>
      </x:c>
      <x:c r="C102" s="211" t="n">
        <x:f>'P4 DCF'!B86-('P4 DCF'!B77+'P4 DCF'!B81+'P4 DCF'!B82-'P4 DCF'!B85)</x:f>
        <x:v>0</x:v>
      </x:c>
      <x:c r="D102" s="211" t="n">
        <x:v>0</x:v>
      </x:c>
      <x:c r="E102" s="211" t="n">
        <x:f>C102-D102</x:f>
        <x:v>0</x:v>
      </x:c>
      <x:c r="F102" s="211" t="n">
        <x:v>0.01</x:v>
      </x:c>
      <x:c r="G102" s="211" t="str">
        <x:f>IF(ABS(E102)&lt;=F102,"OK","REVIEW")</x:f>
        <x:v>OK</x:v>
      </x:c>
      <x:c r="H102" s="90" t="str">
        <x:v>Enterprise value + associates + net cash - NCI.</x:v>
      </x:c>
    </x:row>
    <x:row r="103" ht="25" customHeight="1">
      <x:c r="A103" s="88" t="str">
        <x:v>P4-BEAR-2026-TEU</x:v>
      </x:c>
      <x:c r="B103" s="89" t="str">
        <x:v>Bear 2026 national TEU roll-forward</x:v>
      </x:c>
      <x:c r="C103" s="211" t="n">
        <x:f>'P4 Forecast'!D86-'P4 Forecast'!C86*(1+'P4 Forecast'!D87)</x:f>
        <x:v>0</x:v>
      </x:c>
      <x:c r="D103" s="211" t="n">
        <x:v>0</x:v>
      </x:c>
      <x:c r="E103" s="211" t="n">
        <x:f>C103-D103</x:f>
        <x:v>0</x:v>
      </x:c>
      <x:c r="F103" s="211" t="n">
        <x:v>0.0001</x:v>
      </x:c>
      <x:c r="G103" s="211" t="str">
        <x:f>IF(ABS(E103)&lt;=F103,"OK","REVIEW")</x:f>
        <x:v>OK</x:v>
      </x:c>
      <x:c r="H103" s="90" t="str">
        <x:v>National TEU follows the visible growth assumption.</x:v>
      </x:c>
    </x:row>
    <x:row r="104" ht="25" customHeight="1">
      <x:c r="A104" s="88" t="str">
        <x:v>P4-BEAR-2026-SHARE</x:v>
      </x:c>
      <x:c r="B104" s="89" t="str">
        <x:v>Bear 2026 throughput identity</x:v>
      </x:c>
      <x:c r="C104" s="211" t="n">
        <x:f>'P4 Forecast'!D88-'P4 Forecast'!D86*'P4 Forecast'!D90</x:f>
        <x:v>0</x:v>
      </x:c>
      <x:c r="D104" s="211" t="n">
        <x:v>0</x:v>
      </x:c>
      <x:c r="E104" s="211" t="n">
        <x:f>C104-D104</x:f>
        <x:v>0</x:v>
      </x:c>
      <x:c r="F104" s="211" t="n">
        <x:v>0.0001</x:v>
      </x:c>
      <x:c r="G104" s="211" t="str">
        <x:f>IF(ABS(E104)&lt;=F104,"OK","REVIEW")</x:f>
        <x:v>OK</x:v>
      </x:c>
      <x:c r="H104" s="90" t="str">
        <x:v>GMD throughput = national TEU × share.</x:v>
      </x:c>
    </x:row>
    <x:row r="105" ht="25" customHeight="1">
      <x:c r="A105" s="88" t="str">
        <x:v>P4-BEAR-2026-PORT</x:v>
      </x:c>
      <x:c r="B105" s="89" t="str">
        <x:v>Bear 2026 port-revenue identity</x:v>
      </x:c>
      <x:c r="C105" s="211" t="n">
        <x:f>'P4 Forecast'!D93-'P4 Forecast'!D88*'P4 Forecast'!D91</x:f>
        <x:v>0</x:v>
      </x:c>
      <x:c r="D105" s="211" t="n">
        <x:v>0</x:v>
      </x:c>
      <x:c r="E105" s="211" t="n">
        <x:f>C105-D105</x:f>
        <x:v>0</x:v>
      </x:c>
      <x:c r="F105" s="211" t="n">
        <x:v>0.01</x:v>
      </x:c>
      <x:c r="G105" s="211" t="str">
        <x:f>IF(ABS(E105)&lt;=F105,"OK","REVIEW")</x:f>
        <x:v>OK</x:v>
      </x:c>
      <x:c r="H105" s="90" t="str">
        <x:v>Port revenue = throughput × unit/mix proxy.</x:v>
      </x:c>
    </x:row>
    <x:row r="106" ht="25" customHeight="1">
      <x:c r="A106" s="88" t="str">
        <x:v>P4-BEAR-2026-REV</x:v>
      </x:c>
      <x:c r="B106" s="89" t="str">
        <x:v>Bear 2026 revenue bridge</x:v>
      </x:c>
      <x:c r="C106" s="211" t="n">
        <x:f>'P4 Forecast'!D96-SUM('P4 Forecast'!D93:'P4 Forecast'!D95)</x:f>
        <x:v>0</x:v>
      </x:c>
      <x:c r="D106" s="211" t="n">
        <x:v>0</x:v>
      </x:c>
      <x:c r="E106" s="211" t="n">
        <x:f>C106-D106</x:f>
        <x:v>0</x:v>
      </x:c>
      <x:c r="F106" s="211" t="n">
        <x:v>0.01</x:v>
      </x:c>
      <x:c r="G106" s="211" t="str">
        <x:f>IF(ABS(E106)&lt;=F106,"OK","REVIEW")</x:f>
        <x:v>OK</x:v>
      </x:c>
      <x:c r="H106" s="90" t="str">
        <x:v>Port + logistics + other = consolidated revenue.</x:v>
      </x:c>
    </x:row>
    <x:row r="107" ht="25" customHeight="1">
      <x:c r="A107" s="88" t="str">
        <x:v>P4-BEAR-2026-ASSOC</x:v>
      </x:c>
      <x:c r="B107" s="89" t="str">
        <x:v>Bear 2026 associate bridge</x:v>
      </x:c>
      <x:c r="C107" s="211" t="n">
        <x:f>'P4 Forecast'!D106-SUM('P4 Forecast'!D102:'P4 Forecast'!D105)</x:f>
        <x:v>0</x:v>
      </x:c>
      <x:c r="D107" s="211" t="n">
        <x:v>0</x:v>
      </x:c>
      <x:c r="E107" s="211" t="n">
        <x:f>C107-D107</x:f>
        <x:v>0</x:v>
      </x:c>
      <x:c r="F107" s="211" t="n">
        <x:v>0.01</x:v>
      </x:c>
      <x:c r="G107" s="211" t="str">
        <x:f>IF(ABS(E107)&lt;=F107,"OK","REVIEW")</x:f>
        <x:v>OK</x:v>
      </x:c>
      <x:c r="H107" s="90" t="str">
        <x:v>Named associates + residual = total associates.</x:v>
      </x:c>
    </x:row>
    <x:row r="108" ht="25" customHeight="1">
      <x:c r="A108" s="88" t="str">
        <x:v>P4-BEAR-2026-PBT</x:v>
      </x:c>
      <x:c r="B108" s="89" t="str">
        <x:v>Bear 2026 PBT bridge</x:v>
      </x:c>
      <x:c r="C108" s="211" t="n">
        <x:f>'P4 Forecast'!D108-('P4 Forecast'!D99+'P4 Forecast'!D100-'P4 Forecast'!D101+'P4 Forecast'!D106+'P4 Forecast'!D107)</x:f>
        <x:v>0</x:v>
      </x:c>
      <x:c r="D108" s="211" t="n">
        <x:v>0</x:v>
      </x:c>
      <x:c r="E108" s="211" t="n">
        <x:f>C108-D108</x:f>
        <x:v>0</x:v>
      </x:c>
      <x:c r="F108" s="211" t="n">
        <x:v>0.01</x:v>
      </x:c>
      <x:c r="G108" s="211" t="str">
        <x:f>IF(ABS(E108)&lt;=F108,"OK","REVIEW")</x:f>
        <x:v>OK</x:v>
      </x:c>
      <x:c r="H108" s="90" t="str">
        <x:v>EBIT + net finance + associates + other.</x:v>
      </x:c>
    </x:row>
    <x:row r="109" ht="25" customHeight="1">
      <x:c r="A109" s="88" t="str">
        <x:v>P4-BEAR-2026-PAT</x:v>
      </x:c>
      <x:c r="B109" s="89" t="str">
        <x:v>Bear 2026 PAT attribution</x:v>
      </x:c>
      <x:c r="C109" s="211" t="n">
        <x:f>'P4 Forecast'!D111-SUM('P4 Forecast'!D113:'P4 Forecast'!D114)</x:f>
        <x:v>0</x:v>
      </x:c>
      <x:c r="D109" s="211" t="n">
        <x:v>0</x:v>
      </x:c>
      <x:c r="E109" s="211" t="n">
        <x:f>C109-D109</x:f>
        <x:v>0</x:v>
      </x:c>
      <x:c r="F109" s="211" t="n">
        <x:v>0.01</x:v>
      </x:c>
      <x:c r="G109" s="211" t="str">
        <x:f>IF(ABS(E109)&lt;=F109,"OK","REVIEW")</x:f>
        <x:v>OK</x:v>
      </x:c>
      <x:c r="H109" s="90" t="str">
        <x:v>Parent PAT + NCI PAT = consolidated PAT.</x:v>
      </x:c>
    </x:row>
    <x:row r="110" ht="25" customHeight="1">
      <x:c r="A110" s="88" t="str">
        <x:v>P4-BEAR-2026-FCFF</x:v>
      </x:c>
      <x:c r="B110" s="89" t="str">
        <x:v>Bear 2026 FCFF bridge</x:v>
      </x:c>
      <x:c r="C110" s="211" t="n">
        <x:f>'P4 Forecast'!D120-('P4 Forecast'!D99*(1-'P4 Forecast'!D119)+'P4 Forecast'!D116-'P4 Forecast'!D117-'P4 Forecast'!D118)</x:f>
        <x:v>0</x:v>
      </x:c>
      <x:c r="D110" s="211" t="n">
        <x:v>0</x:v>
      </x:c>
      <x:c r="E110" s="211" t="n">
        <x:f>C110-D110</x:f>
        <x:v>0</x:v>
      </x:c>
      <x:c r="F110" s="211" t="n">
        <x:v>0.01</x:v>
      </x:c>
      <x:c r="G110" s="211" t="str">
        <x:f>IF(ABS(E110)&lt;=F110,"OK","REVIEW")</x:f>
        <x:v>OK</x:v>
      </x:c>
      <x:c r="H110" s="90" t="str">
        <x:v>After-tax EBIT + D&amp;A - capex - NWC.</x:v>
      </x:c>
    </x:row>
    <x:row r="111" ht="25" customHeight="1">
      <x:c r="A111" s="88" t="str">
        <x:v>P4-BEAR-2027-TEU</x:v>
      </x:c>
      <x:c r="B111" s="89" t="str">
        <x:v>Bear 2027 national TEU roll-forward</x:v>
      </x:c>
      <x:c r="C111" s="211" t="n">
        <x:f>'P4 Forecast'!E86-'P4 Forecast'!D86*(1+'P4 Forecast'!E87)</x:f>
        <x:v>0</x:v>
      </x:c>
      <x:c r="D111" s="211" t="n">
        <x:v>0</x:v>
      </x:c>
      <x:c r="E111" s="211" t="n">
        <x:f>C111-D111</x:f>
        <x:v>0</x:v>
      </x:c>
      <x:c r="F111" s="211" t="n">
        <x:v>0.0001</x:v>
      </x:c>
      <x:c r="G111" s="211" t="str">
        <x:f>IF(ABS(E111)&lt;=F111,"OK","REVIEW")</x:f>
        <x:v>OK</x:v>
      </x:c>
      <x:c r="H111" s="90" t="str">
        <x:v>National TEU follows the visible growth assumption.</x:v>
      </x:c>
    </x:row>
    <x:row r="112" ht="25" customHeight="1">
      <x:c r="A112" s="88" t="str">
        <x:v>P4-BEAR-2027-SHARE</x:v>
      </x:c>
      <x:c r="B112" s="89" t="str">
        <x:v>Bear 2027 throughput identity</x:v>
      </x:c>
      <x:c r="C112" s="211" t="n">
        <x:f>'P4 Forecast'!E88-'P4 Forecast'!E86*'P4 Forecast'!E90</x:f>
        <x:v>0</x:v>
      </x:c>
      <x:c r="D112" s="211" t="n">
        <x:v>0</x:v>
      </x:c>
      <x:c r="E112" s="211" t="n">
        <x:f>C112-D112</x:f>
        <x:v>0</x:v>
      </x:c>
      <x:c r="F112" s="211" t="n">
        <x:v>0.0001</x:v>
      </x:c>
      <x:c r="G112" s="211" t="str">
        <x:f>IF(ABS(E112)&lt;=F112,"OK","REVIEW")</x:f>
        <x:v>OK</x:v>
      </x:c>
      <x:c r="H112" s="90" t="str">
        <x:v>GMD throughput = national TEU × share.</x:v>
      </x:c>
    </x:row>
    <x:row r="113" ht="25" customHeight="1">
      <x:c r="A113" s="88" t="str">
        <x:v>P4-BEAR-2027-PORT</x:v>
      </x:c>
      <x:c r="B113" s="89" t="str">
        <x:v>Bear 2027 port-revenue identity</x:v>
      </x:c>
      <x:c r="C113" s="211" t="n">
        <x:f>'P4 Forecast'!E93-'P4 Forecast'!E88*'P4 Forecast'!E91</x:f>
        <x:v>0</x:v>
      </x:c>
      <x:c r="D113" s="211" t="n">
        <x:v>0</x:v>
      </x:c>
      <x:c r="E113" s="211" t="n">
        <x:f>C113-D113</x:f>
        <x:v>0</x:v>
      </x:c>
      <x:c r="F113" s="211" t="n">
        <x:v>0.01</x:v>
      </x:c>
      <x:c r="G113" s="211" t="str">
        <x:f>IF(ABS(E113)&lt;=F113,"OK","REVIEW")</x:f>
        <x:v>OK</x:v>
      </x:c>
      <x:c r="H113" s="90" t="str">
        <x:v>Port revenue = throughput × unit/mix proxy.</x:v>
      </x:c>
    </x:row>
    <x:row r="114" ht="25" customHeight="1">
      <x:c r="A114" s="88" t="str">
        <x:v>P4-BEAR-2027-REV</x:v>
      </x:c>
      <x:c r="B114" s="89" t="str">
        <x:v>Bear 2027 revenue bridge</x:v>
      </x:c>
      <x:c r="C114" s="211" t="n">
        <x:f>'P4 Forecast'!E96-SUM('P4 Forecast'!E93:'P4 Forecast'!E95)</x:f>
        <x:v>0</x:v>
      </x:c>
      <x:c r="D114" s="211" t="n">
        <x:v>0</x:v>
      </x:c>
      <x:c r="E114" s="211" t="n">
        <x:f>C114-D114</x:f>
        <x:v>0</x:v>
      </x:c>
      <x:c r="F114" s="211" t="n">
        <x:v>0.01</x:v>
      </x:c>
      <x:c r="G114" s="211" t="str">
        <x:f>IF(ABS(E114)&lt;=F114,"OK","REVIEW")</x:f>
        <x:v>OK</x:v>
      </x:c>
      <x:c r="H114" s="90" t="str">
        <x:v>Port + logistics + other = consolidated revenue.</x:v>
      </x:c>
    </x:row>
    <x:row r="115" ht="25" customHeight="1">
      <x:c r="A115" s="88" t="str">
        <x:v>P4-BEAR-2027-ASSOC</x:v>
      </x:c>
      <x:c r="B115" s="89" t="str">
        <x:v>Bear 2027 associate bridge</x:v>
      </x:c>
      <x:c r="C115" s="211" t="n">
        <x:f>'P4 Forecast'!E106-SUM('P4 Forecast'!E102:'P4 Forecast'!E105)</x:f>
        <x:v>0</x:v>
      </x:c>
      <x:c r="D115" s="211" t="n">
        <x:v>0</x:v>
      </x:c>
      <x:c r="E115" s="211" t="n">
        <x:f>C115-D115</x:f>
        <x:v>0</x:v>
      </x:c>
      <x:c r="F115" s="211" t="n">
        <x:v>0.01</x:v>
      </x:c>
      <x:c r="G115" s="211" t="str">
        <x:f>IF(ABS(E115)&lt;=F115,"OK","REVIEW")</x:f>
        <x:v>OK</x:v>
      </x:c>
      <x:c r="H115" s="90" t="str">
        <x:v>Named associates + residual = total associates.</x:v>
      </x:c>
    </x:row>
    <x:row r="116" ht="25" customHeight="1">
      <x:c r="A116" s="88" t="str">
        <x:v>P4-BEAR-2027-PBT</x:v>
      </x:c>
      <x:c r="B116" s="89" t="str">
        <x:v>Bear 2027 PBT bridge</x:v>
      </x:c>
      <x:c r="C116" s="211" t="n">
        <x:f>'P4 Forecast'!E108-('P4 Forecast'!E99+'P4 Forecast'!E100-'P4 Forecast'!E101+'P4 Forecast'!E106+'P4 Forecast'!E107)</x:f>
        <x:v>0</x:v>
      </x:c>
      <x:c r="D116" s="211" t="n">
        <x:v>0</x:v>
      </x:c>
      <x:c r="E116" s="211" t="n">
        <x:f>C116-D116</x:f>
        <x:v>0</x:v>
      </x:c>
      <x:c r="F116" s="211" t="n">
        <x:v>0.01</x:v>
      </x:c>
      <x:c r="G116" s="211" t="str">
        <x:f>IF(ABS(E116)&lt;=F116,"OK","REVIEW")</x:f>
        <x:v>OK</x:v>
      </x:c>
      <x:c r="H116" s="90" t="str">
        <x:v>EBIT + net finance + associates + other.</x:v>
      </x:c>
    </x:row>
    <x:row r="117" ht="25" customHeight="1">
      <x:c r="A117" s="88" t="str">
        <x:v>P4-BEAR-2027-PAT</x:v>
      </x:c>
      <x:c r="B117" s="89" t="str">
        <x:v>Bear 2027 PAT attribution</x:v>
      </x:c>
      <x:c r="C117" s="211" t="n">
        <x:f>'P4 Forecast'!E111-SUM('P4 Forecast'!E113:'P4 Forecast'!E114)</x:f>
        <x:v>0</x:v>
      </x:c>
      <x:c r="D117" s="211" t="n">
        <x:v>0</x:v>
      </x:c>
      <x:c r="E117" s="211" t="n">
        <x:f>C117-D117</x:f>
        <x:v>0</x:v>
      </x:c>
      <x:c r="F117" s="211" t="n">
        <x:v>0.01</x:v>
      </x:c>
      <x:c r="G117" s="211" t="str">
        <x:f>IF(ABS(E117)&lt;=F117,"OK","REVIEW")</x:f>
        <x:v>OK</x:v>
      </x:c>
      <x:c r="H117" s="90" t="str">
        <x:v>Parent PAT + NCI PAT = consolidated PAT.</x:v>
      </x:c>
    </x:row>
    <x:row r="118" ht="25" customHeight="1">
      <x:c r="A118" s="88" t="str">
        <x:v>P4-BEAR-2027-FCFF</x:v>
      </x:c>
      <x:c r="B118" s="89" t="str">
        <x:v>Bear 2027 FCFF bridge</x:v>
      </x:c>
      <x:c r="C118" s="211" t="n">
        <x:f>'P4 Forecast'!E120-('P4 Forecast'!E99*(1-'P4 Forecast'!E119)+'P4 Forecast'!E116-'P4 Forecast'!E117-'P4 Forecast'!E118)</x:f>
        <x:v>0</x:v>
      </x:c>
      <x:c r="D118" s="211" t="n">
        <x:v>0</x:v>
      </x:c>
      <x:c r="E118" s="211" t="n">
        <x:f>C118-D118</x:f>
        <x:v>0</x:v>
      </x:c>
      <x:c r="F118" s="211" t="n">
        <x:v>0.01</x:v>
      </x:c>
      <x:c r="G118" s="211" t="str">
        <x:f>IF(ABS(E118)&lt;=F118,"OK","REVIEW")</x:f>
        <x:v>OK</x:v>
      </x:c>
      <x:c r="H118" s="90" t="str">
        <x:v>After-tax EBIT + D&amp;A - capex - NWC.</x:v>
      </x:c>
    </x:row>
    <x:row r="119" ht="25" customHeight="1">
      <x:c r="A119" s="88" t="str">
        <x:v>P4-BEAR-2028-TEU</x:v>
      </x:c>
      <x:c r="B119" s="89" t="str">
        <x:v>Bear 2028 national TEU roll-forward</x:v>
      </x:c>
      <x:c r="C119" s="211" t="n">
        <x:f>'P4 Forecast'!F86-'P4 Forecast'!E86*(1+'P4 Forecast'!F87)</x:f>
        <x:v>0</x:v>
      </x:c>
      <x:c r="D119" s="211" t="n">
        <x:v>0</x:v>
      </x:c>
      <x:c r="E119" s="211" t="n">
        <x:f>C119-D119</x:f>
        <x:v>0</x:v>
      </x:c>
      <x:c r="F119" s="211" t="n">
        <x:v>0.0001</x:v>
      </x:c>
      <x:c r="G119" s="211" t="str">
        <x:f>IF(ABS(E119)&lt;=F119,"OK","REVIEW")</x:f>
        <x:v>OK</x:v>
      </x:c>
      <x:c r="H119" s="90" t="str">
        <x:v>National TEU follows the visible growth assumption.</x:v>
      </x:c>
    </x:row>
    <x:row r="120" ht="25" customHeight="1">
      <x:c r="A120" s="88" t="str">
        <x:v>P4-BEAR-2028-SHARE</x:v>
      </x:c>
      <x:c r="B120" s="89" t="str">
        <x:v>Bear 2028 throughput identity</x:v>
      </x:c>
      <x:c r="C120" s="211" t="n">
        <x:f>'P4 Forecast'!F88-'P4 Forecast'!F86*'P4 Forecast'!F90</x:f>
        <x:v>0</x:v>
      </x:c>
      <x:c r="D120" s="211" t="n">
        <x:v>0</x:v>
      </x:c>
      <x:c r="E120" s="211" t="n">
        <x:f>C120-D120</x:f>
        <x:v>0</x:v>
      </x:c>
      <x:c r="F120" s="211" t="n">
        <x:v>0.0001</x:v>
      </x:c>
      <x:c r="G120" s="211" t="str">
        <x:f>IF(ABS(E120)&lt;=F120,"OK","REVIEW")</x:f>
        <x:v>OK</x:v>
      </x:c>
      <x:c r="H120" s="90" t="str">
        <x:v>GMD throughput = national TEU × share.</x:v>
      </x:c>
    </x:row>
    <x:row r="121" ht="25" customHeight="1">
      <x:c r="A121" s="88" t="str">
        <x:v>P4-BEAR-2028-PORT</x:v>
      </x:c>
      <x:c r="B121" s="89" t="str">
        <x:v>Bear 2028 port-revenue identity</x:v>
      </x:c>
      <x:c r="C121" s="211" t="n">
        <x:f>'P4 Forecast'!F93-'P4 Forecast'!F88*'P4 Forecast'!F91</x:f>
        <x:v>0</x:v>
      </x:c>
      <x:c r="D121" s="211" t="n">
        <x:v>0</x:v>
      </x:c>
      <x:c r="E121" s="211" t="n">
        <x:f>C121-D121</x:f>
        <x:v>0</x:v>
      </x:c>
      <x:c r="F121" s="211" t="n">
        <x:v>0.01</x:v>
      </x:c>
      <x:c r="G121" s="211" t="str">
        <x:f>IF(ABS(E121)&lt;=F121,"OK","REVIEW")</x:f>
        <x:v>OK</x:v>
      </x:c>
      <x:c r="H121" s="90" t="str">
        <x:v>Port revenue = throughput × unit/mix proxy.</x:v>
      </x:c>
    </x:row>
    <x:row r="122" ht="25" customHeight="1">
      <x:c r="A122" s="88" t="str">
        <x:v>P4-BEAR-2028-REV</x:v>
      </x:c>
      <x:c r="B122" s="89" t="str">
        <x:v>Bear 2028 revenue bridge</x:v>
      </x:c>
      <x:c r="C122" s="211" t="n">
        <x:f>'P4 Forecast'!F96-SUM('P4 Forecast'!F93:'P4 Forecast'!F95)</x:f>
        <x:v>0</x:v>
      </x:c>
      <x:c r="D122" s="211" t="n">
        <x:v>0</x:v>
      </x:c>
      <x:c r="E122" s="211" t="n">
        <x:f>C122-D122</x:f>
        <x:v>0</x:v>
      </x:c>
      <x:c r="F122" s="211" t="n">
        <x:v>0.01</x:v>
      </x:c>
      <x:c r="G122" s="211" t="str">
        <x:f>IF(ABS(E122)&lt;=F122,"OK","REVIEW")</x:f>
        <x:v>OK</x:v>
      </x:c>
      <x:c r="H122" s="90" t="str">
        <x:v>Port + logistics + other = consolidated revenue.</x:v>
      </x:c>
    </x:row>
    <x:row r="123" ht="25" customHeight="1">
      <x:c r="A123" s="88" t="str">
        <x:v>P4-BEAR-2028-ASSOC</x:v>
      </x:c>
      <x:c r="B123" s="89" t="str">
        <x:v>Bear 2028 associate bridge</x:v>
      </x:c>
      <x:c r="C123" s="211" t="n">
        <x:f>'P4 Forecast'!F106-SUM('P4 Forecast'!F102:'P4 Forecast'!F105)</x:f>
        <x:v>0</x:v>
      </x:c>
      <x:c r="D123" s="211" t="n">
        <x:v>0</x:v>
      </x:c>
      <x:c r="E123" s="211" t="n">
        <x:f>C123-D123</x:f>
        <x:v>0</x:v>
      </x:c>
      <x:c r="F123" s="211" t="n">
        <x:v>0.01</x:v>
      </x:c>
      <x:c r="G123" s="211" t="str">
        <x:f>IF(ABS(E123)&lt;=F123,"OK","REVIEW")</x:f>
        <x:v>OK</x:v>
      </x:c>
      <x:c r="H123" s="90" t="str">
        <x:v>Named associates + residual = total associates.</x:v>
      </x:c>
    </x:row>
    <x:row r="124" ht="25" customHeight="1">
      <x:c r="A124" s="88" t="str">
        <x:v>P4-BEAR-2028-PBT</x:v>
      </x:c>
      <x:c r="B124" s="89" t="str">
        <x:v>Bear 2028 PBT bridge</x:v>
      </x:c>
      <x:c r="C124" s="211" t="n">
        <x:f>'P4 Forecast'!F108-('P4 Forecast'!F99+'P4 Forecast'!F100-'P4 Forecast'!F101+'P4 Forecast'!F106+'P4 Forecast'!F107)</x:f>
        <x:v>0</x:v>
      </x:c>
      <x:c r="D124" s="211" t="n">
        <x:v>0</x:v>
      </x:c>
      <x:c r="E124" s="211" t="n">
        <x:f>C124-D124</x:f>
        <x:v>0</x:v>
      </x:c>
      <x:c r="F124" s="211" t="n">
        <x:v>0.01</x:v>
      </x:c>
      <x:c r="G124" s="211" t="str">
        <x:f>IF(ABS(E124)&lt;=F124,"OK","REVIEW")</x:f>
        <x:v>OK</x:v>
      </x:c>
      <x:c r="H124" s="90" t="str">
        <x:v>EBIT + net finance + associates + other.</x:v>
      </x:c>
    </x:row>
    <x:row r="125" ht="25" customHeight="1">
      <x:c r="A125" s="88" t="str">
        <x:v>P4-BEAR-2028-PAT</x:v>
      </x:c>
      <x:c r="B125" s="89" t="str">
        <x:v>Bear 2028 PAT attribution</x:v>
      </x:c>
      <x:c r="C125" s="211" t="n">
        <x:f>'P4 Forecast'!F111-SUM('P4 Forecast'!F113:'P4 Forecast'!F114)</x:f>
        <x:v>0</x:v>
      </x:c>
      <x:c r="D125" s="211" t="n">
        <x:v>0</x:v>
      </x:c>
      <x:c r="E125" s="211" t="n">
        <x:f>C125-D125</x:f>
        <x:v>0</x:v>
      </x:c>
      <x:c r="F125" s="211" t="n">
        <x:v>0.01</x:v>
      </x:c>
      <x:c r="G125" s="211" t="str">
        <x:f>IF(ABS(E125)&lt;=F125,"OK","REVIEW")</x:f>
        <x:v>OK</x:v>
      </x:c>
      <x:c r="H125" s="90" t="str">
        <x:v>Parent PAT + NCI PAT = consolidated PAT.</x:v>
      </x:c>
    </x:row>
    <x:row r="126" ht="25" customHeight="1">
      <x:c r="A126" s="88" t="str">
        <x:v>P4-BEAR-2028-FCFF</x:v>
      </x:c>
      <x:c r="B126" s="89" t="str">
        <x:v>Bear 2028 FCFF bridge</x:v>
      </x:c>
      <x:c r="C126" s="211" t="n">
        <x:f>'P4 Forecast'!F120-('P4 Forecast'!F99*(1-'P4 Forecast'!F119)+'P4 Forecast'!F116-'P4 Forecast'!F117-'P4 Forecast'!F118)</x:f>
        <x:v>0</x:v>
      </x:c>
      <x:c r="D126" s="211" t="n">
        <x:v>0</x:v>
      </x:c>
      <x:c r="E126" s="211" t="n">
        <x:f>C126-D126</x:f>
        <x:v>0</x:v>
      </x:c>
      <x:c r="F126" s="211" t="n">
        <x:v>0.01</x:v>
      </x:c>
      <x:c r="G126" s="211" t="str">
        <x:f>IF(ABS(E126)&lt;=F126,"OK","REVIEW")</x:f>
        <x:v>OK</x:v>
      </x:c>
      <x:c r="H126" s="90" t="str">
        <x:v>After-tax EBIT + D&amp;A - capex - NWC.</x:v>
      </x:c>
    </x:row>
    <x:row r="127" ht="25" customHeight="1">
      <x:c r="A127" s="88" t="str">
        <x:v>P4-BEAR-2029-TEU</x:v>
      </x:c>
      <x:c r="B127" s="89" t="str">
        <x:v>Bear 2029 national TEU roll-forward</x:v>
      </x:c>
      <x:c r="C127" s="211" t="n">
        <x:f>'P4 Forecast'!G86-'P4 Forecast'!F86*(1+'P4 Forecast'!G87)</x:f>
        <x:v>0</x:v>
      </x:c>
      <x:c r="D127" s="211" t="n">
        <x:v>0</x:v>
      </x:c>
      <x:c r="E127" s="211" t="n">
        <x:f>C127-D127</x:f>
        <x:v>0</x:v>
      </x:c>
      <x:c r="F127" s="211" t="n">
        <x:v>0.0001</x:v>
      </x:c>
      <x:c r="G127" s="211" t="str">
        <x:f>IF(ABS(E127)&lt;=F127,"OK","REVIEW")</x:f>
        <x:v>OK</x:v>
      </x:c>
      <x:c r="H127" s="90" t="str">
        <x:v>National TEU follows the visible growth assumption.</x:v>
      </x:c>
    </x:row>
    <x:row r="128" ht="25" customHeight="1">
      <x:c r="A128" s="88" t="str">
        <x:v>P4-BEAR-2029-SHARE</x:v>
      </x:c>
      <x:c r="B128" s="89" t="str">
        <x:v>Bear 2029 throughput identity</x:v>
      </x:c>
      <x:c r="C128" s="211" t="n">
        <x:f>'P4 Forecast'!G88-'P4 Forecast'!G86*'P4 Forecast'!G90</x:f>
        <x:v>0</x:v>
      </x:c>
      <x:c r="D128" s="211" t="n">
        <x:v>0</x:v>
      </x:c>
      <x:c r="E128" s="211" t="n">
        <x:f>C128-D128</x:f>
        <x:v>0</x:v>
      </x:c>
      <x:c r="F128" s="211" t="n">
        <x:v>0.0001</x:v>
      </x:c>
      <x:c r="G128" s="211" t="str">
        <x:f>IF(ABS(E128)&lt;=F128,"OK","REVIEW")</x:f>
        <x:v>OK</x:v>
      </x:c>
      <x:c r="H128" s="90" t="str">
        <x:v>GMD throughput = national TEU × share.</x:v>
      </x:c>
    </x:row>
    <x:row r="129" ht="25" customHeight="1">
      <x:c r="A129" s="88" t="str">
        <x:v>P4-BEAR-2029-PORT</x:v>
      </x:c>
      <x:c r="B129" s="89" t="str">
        <x:v>Bear 2029 port-revenue identity</x:v>
      </x:c>
      <x:c r="C129" s="211" t="n">
        <x:f>'P4 Forecast'!G93-'P4 Forecast'!G88*'P4 Forecast'!G91</x:f>
        <x:v>0</x:v>
      </x:c>
      <x:c r="D129" s="211" t="n">
        <x:v>0</x:v>
      </x:c>
      <x:c r="E129" s="211" t="n">
        <x:f>C129-D129</x:f>
        <x:v>0</x:v>
      </x:c>
      <x:c r="F129" s="211" t="n">
        <x:v>0.01</x:v>
      </x:c>
      <x:c r="G129" s="211" t="str">
        <x:f>IF(ABS(E129)&lt;=F129,"OK","REVIEW")</x:f>
        <x:v>OK</x:v>
      </x:c>
      <x:c r="H129" s="90" t="str">
        <x:v>Port revenue = throughput × unit/mix proxy.</x:v>
      </x:c>
    </x:row>
    <x:row r="130" ht="25" customHeight="1">
      <x:c r="A130" s="88" t="str">
        <x:v>P4-BEAR-2029-REV</x:v>
      </x:c>
      <x:c r="B130" s="89" t="str">
        <x:v>Bear 2029 revenue bridge</x:v>
      </x:c>
      <x:c r="C130" s="211" t="n">
        <x:f>'P4 Forecast'!G96-SUM('P4 Forecast'!G93:'P4 Forecast'!G95)</x:f>
        <x:v>0</x:v>
      </x:c>
      <x:c r="D130" s="211" t="n">
        <x:v>0</x:v>
      </x:c>
      <x:c r="E130" s="211" t="n">
        <x:f>C130-D130</x:f>
        <x:v>0</x:v>
      </x:c>
      <x:c r="F130" s="211" t="n">
        <x:v>0.01</x:v>
      </x:c>
      <x:c r="G130" s="211" t="str">
        <x:f>IF(ABS(E130)&lt;=F130,"OK","REVIEW")</x:f>
        <x:v>OK</x:v>
      </x:c>
      <x:c r="H130" s="90" t="str">
        <x:v>Port + logistics + other = consolidated revenue.</x:v>
      </x:c>
    </x:row>
    <x:row r="131" ht="25" customHeight="1">
      <x:c r="A131" s="88" t="str">
        <x:v>P4-BEAR-2029-ASSOC</x:v>
      </x:c>
      <x:c r="B131" s="89" t="str">
        <x:v>Bear 2029 associate bridge</x:v>
      </x:c>
      <x:c r="C131" s="211" t="n">
        <x:f>'P4 Forecast'!G106-SUM('P4 Forecast'!G102:'P4 Forecast'!G105)</x:f>
        <x:v>0</x:v>
      </x:c>
      <x:c r="D131" s="211" t="n">
        <x:v>0</x:v>
      </x:c>
      <x:c r="E131" s="211" t="n">
        <x:f>C131-D131</x:f>
        <x:v>0</x:v>
      </x:c>
      <x:c r="F131" s="211" t="n">
        <x:v>0.01</x:v>
      </x:c>
      <x:c r="G131" s="211" t="str">
        <x:f>IF(ABS(E131)&lt;=F131,"OK","REVIEW")</x:f>
        <x:v>OK</x:v>
      </x:c>
      <x:c r="H131" s="90" t="str">
        <x:v>Named associates + residual = total associates.</x:v>
      </x:c>
    </x:row>
    <x:row r="132" ht="25" customHeight="1">
      <x:c r="A132" s="88" t="str">
        <x:v>P4-BEAR-2029-PBT</x:v>
      </x:c>
      <x:c r="B132" s="89" t="str">
        <x:v>Bear 2029 PBT bridge</x:v>
      </x:c>
      <x:c r="C132" s="211" t="n">
        <x:f>'P4 Forecast'!G108-('P4 Forecast'!G99+'P4 Forecast'!G100-'P4 Forecast'!G101+'P4 Forecast'!G106+'P4 Forecast'!G107)</x:f>
        <x:v>0</x:v>
      </x:c>
      <x:c r="D132" s="211" t="n">
        <x:v>0</x:v>
      </x:c>
      <x:c r="E132" s="211" t="n">
        <x:f>C132-D132</x:f>
        <x:v>0</x:v>
      </x:c>
      <x:c r="F132" s="211" t="n">
        <x:v>0.01</x:v>
      </x:c>
      <x:c r="G132" s="211" t="str">
        <x:f>IF(ABS(E132)&lt;=F132,"OK","REVIEW")</x:f>
        <x:v>OK</x:v>
      </x:c>
      <x:c r="H132" s="90" t="str">
        <x:v>EBIT + net finance + associates + other.</x:v>
      </x:c>
    </x:row>
    <x:row r="133" ht="25" customHeight="1">
      <x:c r="A133" s="88" t="str">
        <x:v>P4-BEAR-2029-PAT</x:v>
      </x:c>
      <x:c r="B133" s="89" t="str">
        <x:v>Bear 2029 PAT attribution</x:v>
      </x:c>
      <x:c r="C133" s="211" t="n">
        <x:f>'P4 Forecast'!G111-SUM('P4 Forecast'!G113:'P4 Forecast'!G114)</x:f>
        <x:v>0</x:v>
      </x:c>
      <x:c r="D133" s="211" t="n">
        <x:v>0</x:v>
      </x:c>
      <x:c r="E133" s="211" t="n">
        <x:f>C133-D133</x:f>
        <x:v>0</x:v>
      </x:c>
      <x:c r="F133" s="211" t="n">
        <x:v>0.01</x:v>
      </x:c>
      <x:c r="G133" s="211" t="str">
        <x:f>IF(ABS(E133)&lt;=F133,"OK","REVIEW")</x:f>
        <x:v>OK</x:v>
      </x:c>
      <x:c r="H133" s="90" t="str">
        <x:v>Parent PAT + NCI PAT = consolidated PAT.</x:v>
      </x:c>
    </x:row>
    <x:row r="134" ht="25" customHeight="1">
      <x:c r="A134" s="88" t="str">
        <x:v>P4-BEAR-2029-FCFF</x:v>
      </x:c>
      <x:c r="B134" s="89" t="str">
        <x:v>Bear 2029 FCFF bridge</x:v>
      </x:c>
      <x:c r="C134" s="211" t="n">
        <x:f>'P4 Forecast'!G120-('P4 Forecast'!G99*(1-'P4 Forecast'!G119)+'P4 Forecast'!G116-'P4 Forecast'!G117-'P4 Forecast'!G118)</x:f>
        <x:v>0</x:v>
      </x:c>
      <x:c r="D134" s="211" t="n">
        <x:v>0</x:v>
      </x:c>
      <x:c r="E134" s="211" t="n">
        <x:f>C134-D134</x:f>
        <x:v>0</x:v>
      </x:c>
      <x:c r="F134" s="211" t="n">
        <x:v>0.01</x:v>
      </x:c>
      <x:c r="G134" s="211" t="str">
        <x:f>IF(ABS(E134)&lt;=F134,"OK","REVIEW")</x:f>
        <x:v>OK</x:v>
      </x:c>
      <x:c r="H134" s="90" t="str">
        <x:v>After-tax EBIT + D&amp;A - capex - NWC.</x:v>
      </x:c>
    </x:row>
    <x:row r="135" ht="25" customHeight="1">
      <x:c r="A135" s="88" t="str">
        <x:v>P4-BEAR-2030-TEU</x:v>
      </x:c>
      <x:c r="B135" s="89" t="str">
        <x:v>Bear 2030 national TEU roll-forward</x:v>
      </x:c>
      <x:c r="C135" s="211" t="n">
        <x:f>'P4 Forecast'!H86-'P4 Forecast'!G86*(1+'P4 Forecast'!H87)</x:f>
        <x:v>0</x:v>
      </x:c>
      <x:c r="D135" s="211" t="n">
        <x:v>0</x:v>
      </x:c>
      <x:c r="E135" s="211" t="n">
        <x:f>C135-D135</x:f>
        <x:v>0</x:v>
      </x:c>
      <x:c r="F135" s="211" t="n">
        <x:v>0.0001</x:v>
      </x:c>
      <x:c r="G135" s="211" t="str">
        <x:f>IF(ABS(E135)&lt;=F135,"OK","REVIEW")</x:f>
        <x:v>OK</x:v>
      </x:c>
      <x:c r="H135" s="90" t="str">
        <x:v>National TEU follows the visible growth assumption.</x:v>
      </x:c>
    </x:row>
    <x:row r="136" ht="25" customHeight="1">
      <x:c r="A136" s="88" t="str">
        <x:v>P4-BEAR-2030-SHARE</x:v>
      </x:c>
      <x:c r="B136" s="89" t="str">
        <x:v>Bear 2030 throughput identity</x:v>
      </x:c>
      <x:c r="C136" s="211" t="n">
        <x:f>'P4 Forecast'!H88-'P4 Forecast'!H86*'P4 Forecast'!H90</x:f>
        <x:v>0</x:v>
      </x:c>
      <x:c r="D136" s="211" t="n">
        <x:v>0</x:v>
      </x:c>
      <x:c r="E136" s="211" t="n">
        <x:f>C136-D136</x:f>
        <x:v>0</x:v>
      </x:c>
      <x:c r="F136" s="211" t="n">
        <x:v>0.0001</x:v>
      </x:c>
      <x:c r="G136" s="211" t="str">
        <x:f>IF(ABS(E136)&lt;=F136,"OK","REVIEW")</x:f>
        <x:v>OK</x:v>
      </x:c>
      <x:c r="H136" s="90" t="str">
        <x:v>GMD throughput = national TEU × share.</x:v>
      </x:c>
    </x:row>
    <x:row r="137" ht="25" customHeight="1">
      <x:c r="A137" s="88" t="str">
        <x:v>P4-BEAR-2030-PORT</x:v>
      </x:c>
      <x:c r="B137" s="89" t="str">
        <x:v>Bear 2030 port-revenue identity</x:v>
      </x:c>
      <x:c r="C137" s="211" t="n">
        <x:f>'P4 Forecast'!H93-'P4 Forecast'!H88*'P4 Forecast'!H91</x:f>
        <x:v>0</x:v>
      </x:c>
      <x:c r="D137" s="211" t="n">
        <x:v>0</x:v>
      </x:c>
      <x:c r="E137" s="211" t="n">
        <x:f>C137-D137</x:f>
        <x:v>0</x:v>
      </x:c>
      <x:c r="F137" s="211" t="n">
        <x:v>0.01</x:v>
      </x:c>
      <x:c r="G137" s="211" t="str">
        <x:f>IF(ABS(E137)&lt;=F137,"OK","REVIEW")</x:f>
        <x:v>OK</x:v>
      </x:c>
      <x:c r="H137" s="90" t="str">
        <x:v>Port revenue = throughput × unit/mix proxy.</x:v>
      </x:c>
    </x:row>
    <x:row r="138" ht="25" customHeight="1">
      <x:c r="A138" s="88" t="str">
        <x:v>P4-BEAR-2030-REV</x:v>
      </x:c>
      <x:c r="B138" s="89" t="str">
        <x:v>Bear 2030 revenue bridge</x:v>
      </x:c>
      <x:c r="C138" s="211" t="n">
        <x:f>'P4 Forecast'!H96-SUM('P4 Forecast'!H93:'P4 Forecast'!H95)</x:f>
        <x:v>0</x:v>
      </x:c>
      <x:c r="D138" s="211" t="n">
        <x:v>0</x:v>
      </x:c>
      <x:c r="E138" s="211" t="n">
        <x:f>C138-D138</x:f>
        <x:v>0</x:v>
      </x:c>
      <x:c r="F138" s="211" t="n">
        <x:v>0.01</x:v>
      </x:c>
      <x:c r="G138" s="211" t="str">
        <x:f>IF(ABS(E138)&lt;=F138,"OK","REVIEW")</x:f>
        <x:v>OK</x:v>
      </x:c>
      <x:c r="H138" s="90" t="str">
        <x:v>Port + logistics + other = consolidated revenue.</x:v>
      </x:c>
    </x:row>
    <x:row r="139" ht="25" customHeight="1">
      <x:c r="A139" s="88" t="str">
        <x:v>P4-BEAR-2030-ASSOC</x:v>
      </x:c>
      <x:c r="B139" s="89" t="str">
        <x:v>Bear 2030 associate bridge</x:v>
      </x:c>
      <x:c r="C139" s="211" t="n">
        <x:f>'P4 Forecast'!H106-SUM('P4 Forecast'!H102:'P4 Forecast'!H105)</x:f>
        <x:v>0</x:v>
      </x:c>
      <x:c r="D139" s="211" t="n">
        <x:v>0</x:v>
      </x:c>
      <x:c r="E139" s="211" t="n">
        <x:f>C139-D139</x:f>
        <x:v>0</x:v>
      </x:c>
      <x:c r="F139" s="211" t="n">
        <x:v>0.01</x:v>
      </x:c>
      <x:c r="G139" s="211" t="str">
        <x:f>IF(ABS(E139)&lt;=F139,"OK","REVIEW")</x:f>
        <x:v>OK</x:v>
      </x:c>
      <x:c r="H139" s="90" t="str">
        <x:v>Named associates + residual = total associates.</x:v>
      </x:c>
    </x:row>
    <x:row r="140" ht="25" customHeight="1">
      <x:c r="A140" s="88" t="str">
        <x:v>P4-BEAR-2030-PBT</x:v>
      </x:c>
      <x:c r="B140" s="89" t="str">
        <x:v>Bear 2030 PBT bridge</x:v>
      </x:c>
      <x:c r="C140" s="211" t="n">
        <x:f>'P4 Forecast'!H108-('P4 Forecast'!H99+'P4 Forecast'!H100-'P4 Forecast'!H101+'P4 Forecast'!H106+'P4 Forecast'!H107)</x:f>
        <x:v>0</x:v>
      </x:c>
      <x:c r="D140" s="211" t="n">
        <x:v>0</x:v>
      </x:c>
      <x:c r="E140" s="211" t="n">
        <x:f>C140-D140</x:f>
        <x:v>0</x:v>
      </x:c>
      <x:c r="F140" s="211" t="n">
        <x:v>0.01</x:v>
      </x:c>
      <x:c r="G140" s="211" t="str">
        <x:f>IF(ABS(E140)&lt;=F140,"OK","REVIEW")</x:f>
        <x:v>OK</x:v>
      </x:c>
      <x:c r="H140" s="90" t="str">
        <x:v>EBIT + net finance + associates + other.</x:v>
      </x:c>
    </x:row>
    <x:row r="141" ht="25" customHeight="1">
      <x:c r="A141" s="88" t="str">
        <x:v>P4-BEAR-2030-PAT</x:v>
      </x:c>
      <x:c r="B141" s="89" t="str">
        <x:v>Bear 2030 PAT attribution</x:v>
      </x:c>
      <x:c r="C141" s="211" t="n">
        <x:f>'P4 Forecast'!H111-SUM('P4 Forecast'!H113:'P4 Forecast'!H114)</x:f>
        <x:v>0</x:v>
      </x:c>
      <x:c r="D141" s="211" t="n">
        <x:v>0</x:v>
      </x:c>
      <x:c r="E141" s="211" t="n">
        <x:f>C141-D141</x:f>
        <x:v>0</x:v>
      </x:c>
      <x:c r="F141" s="211" t="n">
        <x:v>0.01</x:v>
      </x:c>
      <x:c r="G141" s="211" t="str">
        <x:f>IF(ABS(E141)&lt;=F141,"OK","REVIEW")</x:f>
        <x:v>OK</x:v>
      </x:c>
      <x:c r="H141" s="90" t="str">
        <x:v>Parent PAT + NCI PAT = consolidated PAT.</x:v>
      </x:c>
    </x:row>
    <x:row r="142" ht="25" customHeight="1">
      <x:c r="A142" s="91" t="str">
        <x:v>P4-BEAR-2030-FCFF</x:v>
      </x:c>
      <x:c r="B142" s="92" t="str">
        <x:v>Bear 2030 FCFF bridge</x:v>
      </x:c>
      <x:c r="C142" s="212" t="n">
        <x:f>'P4 Forecast'!H120-('P4 Forecast'!H99*(1-'P4 Forecast'!H119)+'P4 Forecast'!H116-'P4 Forecast'!H117-'P4 Forecast'!H118)</x:f>
        <x:v>0</x:v>
      </x:c>
      <x:c r="D142" s="212" t="n">
        <x:v>0</x:v>
      </x:c>
      <x:c r="E142" s="212" t="n">
        <x:f>C142-D142</x:f>
        <x:v>0</x:v>
      </x:c>
      <x:c r="F142" s="212" t="n">
        <x:v>0.01</x:v>
      </x:c>
      <x:c r="G142" s="212" t="str">
        <x:f>IF(ABS(E142)&lt;=F142,"OK","REVIEW")</x:f>
        <x:v>OK</x:v>
      </x:c>
      <x:c r="H142" s="93" t="str">
        <x:v>After-tax EBIT + D&amp;A - capex - NWC.</x:v>
      </x:c>
    </x:row>
    <x:row r="145" ht="22" customHeight="1">
      <x:c r="A145" s="415" t="str">
        <x:v>Phase 4 model status</x:v>
      </x:c>
      <x:c r="B145" s="415" t="str">
        <x:v>Phase 4 model status</x:v>
      </x:c>
      <x:c r="C145" s="415" t="str">
        <x:v>Phase 4 model status</x:v>
      </x:c>
      <x:c r="D145" s="415" t="str">
        <x:v>Phase 4 model status</x:v>
      </x:c>
      <x:c r="E145" s="415" t="str">
        <x:v>Phase 4 model status</x:v>
      </x:c>
      <x:c r="F145" s="415" t="str">
        <x:v>Phase 4 model status</x:v>
      </x:c>
      <x:c r="G145" s="415" t="str">
        <x:v>Phase 4 model status</x:v>
      </x:c>
      <x:c r="H145" s="415" t="str">
        <x:v>Phase 4 model status</x:v>
      </x:c>
    </x:row>
    <x:row r="146" ht="34" customHeight="1">
      <x:c r="A146" s="600" t="str">
        <x:f>IF(COUNTIF(G6:G142,"REVIEW")=0,"OK — Phase 4 forecast and valuation reconciled; ready for Phase 5","REVIEW — resolve failed Phase 4 controls before packaging")</x:f>
        <x:v>OK — Phase 4 forecast and valuation reconciled; ready for Phase 5</x:v>
      </x:c>
      <x:c r="B146" s="601"/>
      <x:c r="C146" s="601"/>
      <x:c r="D146" s="601"/>
      <x:c r="E146" s="601"/>
      <x:c r="F146" s="601"/>
      <x:c r="G146" s="601"/>
      <x:c r="H146" s="602"/>
    </x:row>
    <x:row r="147" ht="34" customHeight="1">
      <x:c r="A147" s="603"/>
      <x:c r="B147" s="604"/>
      <x:c r="C147" s="604"/>
      <x:c r="D147" s="604"/>
      <x:c r="E147" s="604"/>
      <x:c r="F147" s="604"/>
      <x:c r="G147" s="604"/>
      <x:c r="H147" s="605"/>
    </x:row>
  </x:sheetData>
  <x:mergeCells>
    <x:mergeCell ref="A1:H1"/>
    <x:mergeCell ref="A2:H2"/>
    <x:mergeCell ref="A4:H4"/>
    <x:mergeCell ref="A145:H145"/>
    <x:mergeCell ref="A146:H147"/>
  </x:mergeCells>
  <x:conditionalFormatting sqref="G6:G142">
    <x:cfRule type="containsText" dxfId="10" priority="1" operator="containsText" text="OK"/>
    <x:cfRule type="containsText" dxfId="11" priority="2" operator="containsText" text="REVIEW"/>
  </x:conditionalFormatting>
  <x:pageMargins left="0.7" right="0.7" top="0.75" bottom="0.75" header="0.3" footer="0.3"/>
</x:worksheet>
</file>

<file path=xl/worksheets/sheet34.xml><?xml version="1.0" encoding="utf-8"?>
<x:worksheet xmlns:x="http://schemas.openxmlformats.org/spreadsheetml/2006/main">
  <x:sheetViews>
    <x:sheetView showGridLines="0" workbookViewId="0"/>
  </x:sheetViews>
  <x:sheetFormatPr defaultRowHeight="15"/>
  <x:cols>
    <x:col min="1" max="1" width="16" hidden="0" customWidth="1"/>
    <x:col min="2" max="2" width="17" hidden="0" customWidth="1"/>
    <x:col min="3" max="3" width="16" hidden="0" customWidth="1"/>
    <x:col min="4" max="4" width="18" hidden="0" customWidth="1"/>
    <x:col min="5" max="5" width="17" hidden="0" customWidth="1"/>
    <x:col min="6" max="6" width="17" hidden="0" customWidth="1"/>
    <x:col min="7" max="7" width="17" hidden="0" customWidth="1"/>
    <x:col min="8" max="8" width="17" hidden="0" customWidth="1"/>
    <x:col min="9" max="9" width="17" hidden="0" customWidth="1"/>
    <x:col min="10" max="10" width="15" hidden="0" customWidth="1"/>
    <x:col min="11" max="11" width="15" hidden="0" customWidth="1"/>
    <x:col min="12" max="12" width="15" hidden="0" customWidth="1"/>
    <x:col min="13" max="13" width="23" hidden="0" customWidth="1"/>
    <x:col min="14" max="14" width="23" hidden="0" customWidth="1"/>
  </x:cols>
  <x:sheetData>
    <x:row r="1" ht="30" customHeight="1">
      <x:c r="A1" s="408" t="str">
        <x:v>Phase 4 — GMD Forecast, Valuation &amp; Investment Dashboard</x:v>
      </x:c>
      <x:c r="B1" s="408" t="str">
        <x:v>Phase 4 — GMD Forecast, Valuation &amp; Investment Dashboard</x:v>
      </x:c>
      <x:c r="C1" s="408" t="str">
        <x:v>Phase 4 — GMD Forecast, Valuation &amp; Investment Dashboard</x:v>
      </x:c>
      <x:c r="D1" s="408" t="str">
        <x:v>Phase 4 — GMD Forecast, Valuation &amp; Investment Dashboard</x:v>
      </x:c>
      <x:c r="E1" s="408" t="str">
        <x:v>Phase 4 — GMD Forecast, Valuation &amp; Investment Dashboard</x:v>
      </x:c>
      <x:c r="F1" s="408" t="str">
        <x:v>Phase 4 — GMD Forecast, Valuation &amp; Investment Dashboard</x:v>
      </x:c>
      <x:c r="G1" s="408" t="str">
        <x:v>Phase 4 — GMD Forecast, Valuation &amp; Investment Dashboard</x:v>
      </x:c>
      <x:c r="H1" s="408" t="str">
        <x:v>Phase 4 — GMD Forecast, Valuation &amp; Investment Dashboard</x:v>
      </x:c>
      <x:c r="I1" s="408" t="str">
        <x:v>Phase 4 — GMD Forecast, Valuation &amp; Investment Dashboard</x:v>
      </x:c>
      <x:c r="J1" s="408" t="str">
        <x:v>Phase 4 — GMD Forecast, Valuation &amp; Investment Dashboard</x:v>
      </x:c>
      <x:c r="K1" s="408" t="str">
        <x:v>Phase 4 — GMD Forecast, Valuation &amp; Investment Dashboard</x:v>
      </x:c>
      <x:c r="L1" s="408" t="str">
        <x:v>Phase 4 — GMD Forecast, Valuation &amp; Investment Dashboard</x:v>
      </x:c>
      <x:c r="M1" s="408" t="str">
        <x:v>Phase 4 — GMD Forecast, Valuation &amp; Investment Dashboard</x:v>
      </x:c>
      <x:c r="N1" s="408" t="str">
        <x:v>Phase 4 — GMD Forecast, Valuation &amp; Investment Dashboard</x:v>
      </x:c>
    </x:row>
    <x:row r="2" ht="34" customHeight="1">
      <x:c r="A2" s="412" t="str">
        <x:v>Recruiter-facing summary. Green formulas trace to the underlying forecast/valuation sheets; full scenario assumptions, DCF sensitivity and checks remain visible in the model.</x:v>
      </x:c>
      <x:c r="B2" s="412" t="str">
        <x:v>Recruiter-facing summary. Green formulas trace to the underlying forecast/valuation sheets; full scenario assumptions, DCF sensitivity and checks remain visible in the model.</x:v>
      </x:c>
      <x:c r="C2" s="412" t="str">
        <x:v>Recruiter-facing summary. Green formulas trace to the underlying forecast/valuation sheets; full scenario assumptions, DCF sensitivity and checks remain visible in the model.</x:v>
      </x:c>
      <x:c r="D2" s="412" t="str">
        <x:v>Recruiter-facing summary. Green formulas trace to the underlying forecast/valuation sheets; full scenario assumptions, DCF sensitivity and checks remain visible in the model.</x:v>
      </x:c>
      <x:c r="E2" s="412" t="str">
        <x:v>Recruiter-facing summary. Green formulas trace to the underlying forecast/valuation sheets; full scenario assumptions, DCF sensitivity and checks remain visible in the model.</x:v>
      </x:c>
      <x:c r="F2" s="412" t="str">
        <x:v>Recruiter-facing summary. Green formulas trace to the underlying forecast/valuation sheets; full scenario assumptions, DCF sensitivity and checks remain visible in the model.</x:v>
      </x:c>
      <x:c r="G2" s="412" t="str">
        <x:v>Recruiter-facing summary. Green formulas trace to the underlying forecast/valuation sheets; full scenario assumptions, DCF sensitivity and checks remain visible in the model.</x:v>
      </x:c>
      <x:c r="H2" s="412" t="str">
        <x:v>Recruiter-facing summary. Green formulas trace to the underlying forecast/valuation sheets; full scenario assumptions, DCF sensitivity and checks remain visible in the model.</x:v>
      </x:c>
      <x:c r="I2" s="412" t="str">
        <x:v>Recruiter-facing summary. Green formulas trace to the underlying forecast/valuation sheets; full scenario assumptions, DCF sensitivity and checks remain visible in the model.</x:v>
      </x:c>
      <x:c r="J2" s="412" t="str">
        <x:v>Recruiter-facing summary. Green formulas trace to the underlying forecast/valuation sheets; full scenario assumptions, DCF sensitivity and checks remain visible in the model.</x:v>
      </x:c>
      <x:c r="K2" s="412" t="str">
        <x:v>Recruiter-facing summary. Green formulas trace to the underlying forecast/valuation sheets; full scenario assumptions, DCF sensitivity and checks remain visible in the model.</x:v>
      </x:c>
      <x:c r="L2" s="412" t="str">
        <x:v>Recruiter-facing summary. Green formulas trace to the underlying forecast/valuation sheets; full scenario assumptions, DCF sensitivity and checks remain visible in the model.</x:v>
      </x:c>
      <x:c r="M2" s="412" t="str">
        <x:v>Recruiter-facing summary. Green formulas trace to the underlying forecast/valuation sheets; full scenario assumptions, DCF sensitivity and checks remain visible in the model.</x:v>
      </x:c>
      <x:c r="N2" s="412" t="str">
        <x:v>Recruiter-facing summary. Green formulas trace to the underlying forecast/valuation sheets; full scenario assumptions, DCF sensitivity and checks remain visible in the model.</x:v>
      </x:c>
    </x:row>
    <x:row r="4" ht="22" customHeight="1">
      <x:c r="A4" s="415" t="str">
        <x:v>Investment call and 2026E Base case</x:v>
      </x:c>
      <x:c r="B4" s="415" t="str">
        <x:v>Investment call and 2026E Base case</x:v>
      </x:c>
      <x:c r="C4" s="415" t="str">
        <x:v>Investment call and 2026E Base case</x:v>
      </x:c>
      <x:c r="D4" s="415" t="str">
        <x:v>Investment call and 2026E Base case</x:v>
      </x:c>
      <x:c r="E4" s="415" t="str">
        <x:v>Investment call and 2026E Base case</x:v>
      </x:c>
      <x:c r="F4" s="415" t="str">
        <x:v>Investment call and 2026E Base case</x:v>
      </x:c>
      <x:c r="G4" s="415" t="str">
        <x:v>Investment call and 2026E Base case</x:v>
      </x:c>
      <x:c r="H4" s="415" t="str">
        <x:v>Investment call and 2026E Base case</x:v>
      </x:c>
      <x:c r="I4" s="415" t="str">
        <x:v>Investment call and 2026E Base case</x:v>
      </x:c>
      <x:c r="J4" s="415" t="str">
        <x:v>Investment call and 2026E Base case</x:v>
      </x:c>
      <x:c r="K4" s="415" t="str">
        <x:v>Investment call and 2026E Base case</x:v>
      </x:c>
      <x:c r="L4" s="415" t="str">
        <x:v>Investment call and 2026E Base case</x:v>
      </x:c>
      <x:c r="M4" s="415" t="str">
        <x:v>Investment call and 2026E Base case</x:v>
      </x:c>
      <x:c r="N4" s="415" t="str">
        <x:v>Investment call and 2026E Base case</x:v>
      </x:c>
    </x:row>
    <x:row r="5">
      <x:c r="A5" s="545" t="str">
        <x:v>Rating</x:v>
      </x:c>
      <x:c r="B5" s="545" t="str">
        <x:v>Rating</x:v>
      </x:c>
      <x:c r="C5" s="545" t="str">
        <x:v>Target price</x:v>
      </x:c>
      <x:c r="D5" s="545" t="str">
        <x:v>Target price</x:v>
      </x:c>
      <x:c r="E5" s="545" t="str">
        <x:v>Current price</x:v>
      </x:c>
      <x:c r="F5" s="545" t="str">
        <x:v>Current price</x:v>
      </x:c>
      <x:c r="G5" s="545" t="str">
        <x:v>Upside</x:v>
      </x:c>
      <x:c r="H5" s="545" t="str">
        <x:v>Upside</x:v>
      </x:c>
      <x:c r="I5" s="545" t="str">
        <x:v>2026E revenue</x:v>
      </x:c>
      <x:c r="J5" s="545" t="str">
        <x:v>2026E revenue</x:v>
      </x:c>
      <x:c r="K5" s="545" t="str">
        <x:v>2026E core PBT</x:v>
      </x:c>
      <x:c r="L5" s="545" t="str">
        <x:v>2026E core PBT</x:v>
      </x:c>
      <x:c r="M5" s="545" t="str">
        <x:v>2026E EPS</x:v>
      </x:c>
      <x:c r="N5" s="545" t="str">
        <x:v>2026E EPS</x:v>
      </x:c>
    </x:row>
    <x:row r="6">
      <x:c r="A6" s="613" t="str">
        <x:f>'P4 Valuation'!C18</x:f>
        <x:v>BUY</x:v>
      </x:c>
      <x:c r="B6" s="613"/>
      <x:c r="C6" s="614" t="n">
        <x:f>'P4 Valuation'!C16</x:f>
        <x:v>84500</x:v>
      </x:c>
      <x:c r="D6" s="614"/>
      <x:c r="E6" s="614" t="n">
        <x:f>'P4 Valuation'!C6</x:f>
        <x:v>73200</x:v>
      </x:c>
      <x:c r="F6" s="614"/>
      <x:c r="G6" s="615" t="n">
        <x:f>'P4 Valuation'!C17</x:f>
        <x:v>0.15437158469945356</x:v>
      </x:c>
      <x:c r="H6" s="613"/>
      <x:c r="I6" s="614" t="n">
        <x:f>'P4 Forecast'!D16</x:f>
        <x:v>6757.498469512975</x:v>
      </x:c>
      <x:c r="J6" s="614"/>
      <x:c r="K6" s="614" t="n">
        <x:f>'P4 Forecast'!D28</x:f>
        <x:v>3009.3552045285132</x:v>
      </x:c>
      <x:c r="L6" s="613"/>
      <x:c r="M6" s="614" t="n">
        <x:f>'P4 Forecast'!D35</x:f>
        <x:v>4980.839859705584</x:v>
      </x:c>
      <x:c r="N6" s="611"/>
    </x:row>
    <x:row r="7">
      <x:c r="A7" s="611"/>
      <x:c r="B7" s="611"/>
      <x:c r="C7" s="611"/>
      <x:c r="D7" s="611"/>
      <x:c r="E7" s="611"/>
      <x:c r="F7" s="611"/>
      <x:c r="G7" s="611"/>
      <x:c r="H7" s="611"/>
      <x:c r="I7" s="611"/>
      <x:c r="J7" s="611"/>
      <x:c r="K7" s="611"/>
      <x:c r="L7" s="611"/>
      <x:c r="M7" s="611"/>
      <x:c r="N7" s="611"/>
    </x:row>
    <x:row r="8">
      <x:c r="A8" s="611"/>
      <x:c r="B8" s="611"/>
      <x:c r="C8" s="611"/>
      <x:c r="D8" s="611"/>
      <x:c r="E8" s="611"/>
      <x:c r="F8" s="611"/>
      <x:c r="G8" s="611"/>
      <x:c r="H8" s="611"/>
      <x:c r="I8" s="611"/>
      <x:c r="J8" s="611"/>
      <x:c r="K8" s="611"/>
      <x:c r="L8" s="611"/>
      <x:c r="M8" s="611"/>
      <x:c r="N8" s="611"/>
    </x:row>
    <x:row r="10" ht="22" customHeight="1">
      <x:c r="A10" s="415" t="str">
        <x:v>Scenario takeaways</x:v>
      </x:c>
      <x:c r="B10" s="415" t="str">
        <x:v>Scenario takeaways</x:v>
      </x:c>
      <x:c r="C10" s="415" t="str">
        <x:v>Scenario takeaways</x:v>
      </x:c>
      <x:c r="D10" s="415" t="str">
        <x:v>Scenario takeaways</x:v>
      </x:c>
      <x:c r="E10" s="415" t="str">
        <x:v>Scenario takeaways</x:v>
      </x:c>
      <x:c r="F10" s="415" t="str">
        <x:v>Scenario takeaways</x:v>
      </x:c>
      <x:c r="G10" s="415" t="str">
        <x:v>Scenario takeaways</x:v>
      </x:c>
      <x:c r="H10" s="415" t="str">
        <x:v>Scenario takeaways</x:v>
      </x:c>
      <x:c r="I10" s="415" t="str">
        <x:v>Scenario takeaways</x:v>
      </x:c>
      <x:c r="J10" s="415" t="str">
        <x:v>Scenario takeaways</x:v>
      </x:c>
      <x:c r="K10" s="415" t="str">
        <x:v>Scenario takeaways</x:v>
      </x:c>
      <x:c r="L10" s="415" t="str">
        <x:v>Scenario takeaways</x:v>
      </x:c>
      <x:c r="M10" s="415" t="str">
        <x:v>Scenario takeaways</x:v>
      </x:c>
      <x:c r="N10" s="415" t="str">
        <x:v>Scenario takeaways</x:v>
      </x:c>
    </x:row>
    <x:row r="11" ht="32" customHeight="1">
      <x:c r="A11" s="421" t="str">
        <x:v>Case</x:v>
      </x:c>
      <x:c r="B11" s="421" t="str">
        <x:v>National TEU 2026 growth</x:v>
      </x:c>
      <x:c r="C11" s="421" t="str">
        <x:v>GMD share 2026</x:v>
      </x:c>
      <x:c r="D11" s="421" t="str">
        <x:v>GMD throughput 2026</x:v>
      </x:c>
      <x:c r="E11" s="421" t="str">
        <x:v>Revenue 2026</x:v>
      </x:c>
      <x:c r="F11" s="421" t="str">
        <x:v>Core PBT 2026</x:v>
      </x:c>
      <x:c r="G11" s="421" t="str">
        <x:v>EPS 2026</x:v>
      </x:c>
      <x:c r="H11" s="421" t="str">
        <x:v>Target price</x:v>
      </x:c>
      <x:c r="I11" s="421" t="str">
        <x:v>Upside</x:v>
      </x:c>
      <x:c r="J11" s="421" t="str">
        <x:v>Rating</x:v>
      </x:c>
      <x:c r="K11" s="421" t="str">
        <x:v>WACC</x:v>
      </x:c>
      <x:c r="L11" s="421" t="str">
        <x:v>TGR</x:v>
      </x:c>
      <x:c r="M11" s="421" t="str">
        <x:v>Key assumption</x:v>
      </x:c>
      <x:c r="N11" s="421" t="str">
        <x:v>Primary risk</x:v>
      </x:c>
    </x:row>
    <x:row r="12" ht="36" customHeight="1">
      <x:c r="A12" s="85" t="str">
        <x:v>Base</x:v>
      </x:c>
      <x:c r="B12" s="124" t="n">
        <x:f>'P4 Forecast'!D7</x:f>
        <x:v>0.1</x:v>
      </x:c>
      <x:c r="C12" s="124" t="n">
        <x:f>'P4 Forecast'!D10</x:f>
        <x:v>0.152</x:v>
      </x:c>
      <x:c r="D12" s="317" t="n">
        <x:f>'P4 Forecast'!D8</x:f>
        <x:v>5.684800000000001</x:v>
      </x:c>
      <x:c r="E12" s="370" t="n">
        <x:f>'P4 Forecast'!D16</x:f>
        <x:v>6757.498469512975</x:v>
      </x:c>
      <x:c r="F12" s="370" t="n">
        <x:f>'P4 Forecast'!D28</x:f>
        <x:v>3009.3552045285132</x:v>
      </x:c>
      <x:c r="G12" s="370" t="n">
        <x:f>'P4 Forecast'!D35</x:f>
        <x:v>4980.839859705584</x:v>
      </x:c>
      <x:c r="H12" s="370" t="n">
        <x:f>'P4 Valuation'!C16</x:f>
        <x:v>84500</x:v>
      </x:c>
      <x:c r="I12" s="124" t="n">
        <x:f>'P4 Valuation'!C17</x:f>
        <x:v>0.15437158469945356</x:v>
      </x:c>
      <x:c r="J12" s="287" t="str">
        <x:f>'P4 Valuation'!C18</x:f>
        <x:v>BUY</x:v>
      </x:c>
      <x:c r="K12" s="124" t="n">
        <x:f>'P4 DCF'!B11</x:f>
        <x:v>0.115817</x:v>
      </x:c>
      <x:c r="L12" s="124" t="n">
        <x:f>'P4 DCF'!B12</x:f>
        <x:v>0.04</x:v>
      </x:c>
      <x:c r="M12" s="86" t="str">
        <x:v>10% national TEU growth; 15.2% share</x:v>
      </x:c>
      <x:c r="N12" s="87" t="str">
        <x:v>Share/capex execution</x:v>
      </x:c>
    </x:row>
    <x:row r="13" ht="36" customHeight="1">
      <x:c r="A13" s="91" t="str">
        <x:v>Bull</x:v>
      </x:c>
      <x:c r="B13" s="126" t="n">
        <x:f>'P4 Forecast'!D47</x:f>
        <x:v>0.14</x:v>
      </x:c>
      <x:c r="C13" s="126" t="n">
        <x:f>'P4 Forecast'!D50</x:f>
        <x:v>0.154</x:v>
      </x:c>
      <x:c r="D13" s="349" t="n">
        <x:f>'P4 Forecast'!D48</x:f>
        <x:v>5.969040000000001</x:v>
      </x:c>
      <x:c r="E13" s="365" t="n">
        <x:f>'P4 Forecast'!D56</x:f>
        <x:v>7172.332860044947</x:v>
      </x:c>
      <x:c r="F13" s="365" t="n">
        <x:f>'P4 Forecast'!D68</x:f>
        <x:v>3249.3279857366297</x:v>
      </x:c>
      <x:c r="G13" s="365" t="n">
        <x:f>'P4 Forecast'!D75</x:f>
        <x:v>5546.396016504533</x:v>
      </x:c>
      <x:c r="H13" s="365" t="n">
        <x:f>'P4 Valuation'!D16</x:f>
        <x:v>115500</x:v>
      </x:c>
      <x:c r="I13" s="126" t="n">
        <x:f>'P4 Valuation'!D17</x:f>
        <x:v>0.5778688524590163</x:v>
      </x:c>
      <x:c r="J13" s="360" t="str">
        <x:f>'P4 Valuation'!D18</x:f>
        <x:v>BUY</x:v>
      </x:c>
      <x:c r="K13" s="126" t="n">
        <x:f>'P4 DCF'!B41</x:f>
        <x:v>0.10454125</x:v>
      </x:c>
      <x:c r="L13" s="126" t="n">
        <x:f>'P4 DCF'!B42</x:f>
        <x:v>0.045</x:v>
      </x:c>
      <x:c r="M13" s="92" t="str">
        <x:v>Faster trade and Gemalink ramp</x:v>
      </x:c>
      <x:c r="N13" s="93" t="str">
        <x:v>High sensitivity to terminal assumptions</x:v>
      </x:c>
    </x:row>
    <x:row r="14" ht="36" customHeight="1">
      <x:c r="A14" s="392" t="str">
        <x:v>Bear</x:v>
      </x:c>
      <x:c r="B14" s="617" t="n">
        <x:f>'P4 Forecast'!D87</x:f>
        <x:v>0.05</x:v>
      </x:c>
      <x:c r="C14" s="617" t="n">
        <x:f>'P4 Forecast'!D90</x:f>
        <x:v>0.148</x:v>
      </x:c>
      <x:c r="D14" s="618" t="n">
        <x:f>'P4 Forecast'!D88</x:f>
        <x:v>5.2836</x:v>
      </x:c>
      <x:c r="E14" s="619" t="n">
        <x:f>'P4 Forecast'!D96</x:f>
        <x:v>6113.025217048246</x:v>
      </x:c>
      <x:c r="F14" s="619" t="n">
        <x:f>'P4 Forecast'!D108</x:f>
        <x:v>2548.753894379544</x:v>
      </x:c>
      <x:c r="G14" s="619" t="n">
        <x:f>'P4 Forecast'!D115</x:f>
        <x:v>4042.1967281184543</x:v>
      </x:c>
      <x:c r="H14" s="619" t="n">
        <x:f>'P4 Valuation'!E16</x:f>
        <x:v>51000</x:v>
      </x:c>
      <x:c r="I14" s="617" t="n">
        <x:f>'P4 Valuation'!E17</x:f>
        <x:v>-0.30327868852459017</x:v>
      </x:c>
      <x:c r="J14" s="616" t="str">
        <x:f>'P4 Valuation'!E18</x:f>
        <x:v>SELL</x:v>
      </x:c>
      <x:c r="K14" s="617" t="n">
        <x:f>'P4 DCF'!B71</x:f>
        <x:v>0.12759875</x:v>
      </x:c>
      <x:c r="L14" s="617" t="n">
        <x:f>'P4 DCF'!B72</x:f>
        <x:v>0.03</x:v>
      </x:c>
      <x:c r="M14" s="393" t="str">
        <x:v>5% national TEU growth; share compression</x:v>
      </x:c>
      <x:c r="N14" s="394" t="str">
        <x:v>Earnings and valuation de-rate</x:v>
      </x:c>
    </x:row>
    <x:row r="33" ht="22" customHeight="1">
      <x:c r="H33" s="415" t="str">
        <x:v>Investment conclusion</x:v>
      </x:c>
      <x:c r="I33" s="415" t="str">
        <x:v>Investment conclusion</x:v>
      </x:c>
      <x:c r="J33" s="415" t="str">
        <x:v>Investment conclusion</x:v>
      </x:c>
      <x:c r="K33" s="415" t="str">
        <x:v>Investment conclusion</x:v>
      </x:c>
      <x:c r="L33" s="415" t="str">
        <x:v>Investment conclusion</x:v>
      </x:c>
      <x:c r="M33" s="415" t="str">
        <x:v>Investment conclusion</x:v>
      </x:c>
      <x:c r="N33" s="415" t="str">
        <x:v>Investment conclusion</x:v>
      </x:c>
    </x:row>
    <x:row r="34" ht="28" customHeight="1">
      <x:c r="H34" s="685" t="str">
        <x:v>Base case clears the BUY threshold with mid-teens price upside. The thesis is driven by national container growth, modest share gains and a step-up in Gemalink associate earnings from 2028. The recommendation is not low-risk: the Bear target is materially below market, so capacity ramp, share retention, capex and NCI conversion must be monitored.</x:v>
      </x:c>
      <x:c r="I34" s="686"/>
      <x:c r="J34" s="686"/>
      <x:c r="K34" s="686"/>
      <x:c r="L34" s="686"/>
      <x:c r="M34" s="686"/>
      <x:c r="N34" s="687"/>
    </x:row>
    <x:row r="35" ht="28" customHeight="1">
      <x:c r="H35" s="688"/>
      <x:c r="I35" s="689"/>
      <x:c r="J35" s="689"/>
      <x:c r="K35" s="689"/>
      <x:c r="L35" s="689"/>
      <x:c r="M35" s="689"/>
      <x:c r="N35" s="690"/>
    </x:row>
    <x:row r="36" ht="28" customHeight="1">
      <x:c r="H36" s="688"/>
      <x:c r="I36" s="689"/>
      <x:c r="J36" s="689"/>
      <x:c r="K36" s="689"/>
      <x:c r="L36" s="689"/>
      <x:c r="M36" s="689"/>
      <x:c r="N36" s="690"/>
    </x:row>
    <x:row r="37" ht="28" customHeight="1">
      <x:c r="H37" s="688"/>
      <x:c r="I37" s="689"/>
      <x:c r="J37" s="689"/>
      <x:c r="K37" s="689"/>
      <x:c r="L37" s="689"/>
      <x:c r="M37" s="689"/>
      <x:c r="N37" s="690"/>
    </x:row>
    <x:row r="38" ht="28" customHeight="1">
      <x:c r="H38" s="688"/>
      <x:c r="I38" s="689"/>
      <x:c r="J38" s="689"/>
      <x:c r="K38" s="689"/>
      <x:c r="L38" s="689"/>
      <x:c r="M38" s="689"/>
      <x:c r="N38" s="690"/>
    </x:row>
    <x:row r="39" ht="28" customHeight="1">
      <x:c r="H39" s="688"/>
      <x:c r="I39" s="689"/>
      <x:c r="J39" s="689"/>
      <x:c r="K39" s="689"/>
      <x:c r="L39" s="689"/>
      <x:c r="M39" s="689"/>
      <x:c r="N39" s="690"/>
    </x:row>
    <x:row r="40" ht="28" customHeight="1">
      <x:c r="H40" s="688"/>
      <x:c r="I40" s="689"/>
      <x:c r="J40" s="689"/>
      <x:c r="K40" s="689"/>
      <x:c r="L40" s="689"/>
      <x:c r="M40" s="689"/>
      <x:c r="N40" s="690"/>
    </x:row>
    <x:row r="41" ht="28" customHeight="1">
      <x:c r="H41" s="691"/>
      <x:c r="I41" s="692"/>
      <x:c r="J41" s="692"/>
      <x:c r="K41" s="692"/>
      <x:c r="L41" s="692"/>
      <x:c r="M41" s="692"/>
      <x:c r="N41" s="693"/>
    </x:row>
    <x:row r="43" ht="22" customHeight="1">
      <x:c r="H43" s="415" t="str">
        <x:v>Model control</x:v>
      </x:c>
      <x:c r="I43" s="415" t="str">
        <x:v>Model control</x:v>
      </x:c>
      <x:c r="J43" s="415" t="str">
        <x:v>Model control</x:v>
      </x:c>
      <x:c r="K43" s="415" t="str">
        <x:v>Model control</x:v>
      </x:c>
      <x:c r="L43" s="415" t="str">
        <x:v>Model control</x:v>
      </x:c>
      <x:c r="M43" s="415" t="str">
        <x:v>Model control</x:v>
      </x:c>
      <x:c r="N43" s="415" t="str">
        <x:v>Model control</x:v>
      </x:c>
    </x:row>
    <x:row r="44">
      <x:c r="H44" s="722" t="str">
        <x:f>'P4 Checks'!A146</x:f>
        <x:v>OK — Phase 4 forecast and valuation reconciled; ready for Phase 5</x:v>
      </x:c>
      <x:c r="I44" s="723"/>
      <x:c r="J44" s="723"/>
      <x:c r="K44" s="723"/>
      <x:c r="L44" s="723"/>
      <x:c r="M44" s="723"/>
      <x:c r="N44" s="724"/>
    </x:row>
    <x:row r="45">
      <x:c r="H45" s="725"/>
      <x:c r="I45" s="726"/>
      <x:c r="J45" s="726"/>
      <x:c r="K45" s="726"/>
      <x:c r="L45" s="726"/>
      <x:c r="M45" s="726"/>
      <x:c r="N45" s="727"/>
    </x:row>
    <x:row r="46">
      <x:c r="H46" s="728"/>
      <x:c r="I46" s="729"/>
      <x:c r="J46" s="729"/>
      <x:c r="K46" s="729"/>
      <x:c r="L46" s="729"/>
      <x:c r="M46" s="729"/>
      <x:c r="N46" s="730"/>
    </x:row>
    <x:row r="48" ht="32" customHeight="1">
      <x:c r="A48" s="421" t="str">
        <x:v>Year</x:v>
      </x:c>
      <x:c r="B48" s="421" t="str">
        <x:v>Base throughput</x:v>
      </x:c>
      <x:c r="C48" s="421" t="str">
        <x:v>Bull throughput</x:v>
      </x:c>
      <x:c r="D48" s="421" t="str">
        <x:v>Bear throughput</x:v>
      </x:c>
      <x:c r="F48" s="421" t="str">
        <x:v>Year</x:v>
      </x:c>
      <x:c r="G48" s="421" t="str">
        <x:v>Revenue</x:v>
      </x:c>
      <x:c r="H48" s="421" t="str">
        <x:v>Parent PAT</x:v>
      </x:c>
      <x:c r="J48" s="421" t="str">
        <x:v>Scenario</x:v>
      </x:c>
      <x:c r="K48" s="421" t="str">
        <x:v>Value</x:v>
      </x:c>
    </x:row>
    <x:row r="49" ht="22" customHeight="1">
      <x:c r="A49" s="85" t="str">
        <x:v>2025A</x:v>
      </x:c>
      <x:c r="B49" s="133" t="n">
        <x:f>'P4 Forecast'!C8</x:f>
        <x:v>5.079</x:v>
      </x:c>
      <x:c r="C49" s="133" t="n">
        <x:f>'P4 Forecast'!C48</x:f>
        <x:v>5.079</x:v>
      </x:c>
      <x:c r="D49" s="637" t="n">
        <x:f>'P4 Forecast'!C88</x:f>
        <x:v>5.079</x:v>
      </x:c>
      <x:c r="F49" s="85" t="str">
        <x:v>2025A</x:v>
      </x:c>
      <x:c r="G49" s="210" t="n">
        <x:f>'P4 Forecast'!C16</x:f>
        <x:v>5956.025297015</x:v>
      </x:c>
      <x:c r="H49" s="653" t="n">
        <x:f>'P4 Forecast'!C34</x:f>
        <x:v>1755.629825296</x:v>
      </x:c>
      <x:c r="J49" s="85" t="str">
        <x:v>Current</x:v>
      </x:c>
      <x:c r="K49" s="663" t="n">
        <x:f>'P4 Valuation'!C6</x:f>
        <x:v>73200</x:v>
      </x:c>
    </x:row>
    <x:row r="50" ht="22" customHeight="1">
      <x:c r="A50" s="88" t="str">
        <x:v>2026E</x:v>
      </x:c>
      <x:c r="B50" s="134" t="n">
        <x:f>'P4 Forecast'!D8</x:f>
        <x:v>5.684800000000001</x:v>
      </x:c>
      <x:c r="C50" s="134" t="n">
        <x:f>'P4 Forecast'!D48</x:f>
        <x:v>5.969040000000001</x:v>
      </x:c>
      <x:c r="D50" s="638" t="n">
        <x:f>'P4 Forecast'!D88</x:f>
        <x:v>5.2836</x:v>
      </x:c>
      <x:c r="F50" s="88" t="str">
        <x:v>2026E</x:v>
      </x:c>
      <x:c r="G50" s="211" t="n">
        <x:f>'P4 Forecast'!D16</x:f>
        <x:v>6757.498469512975</x:v>
      </x:c>
      <x:c r="H50" s="654" t="n">
        <x:f>'P4 Forecast'!D34</x:f>
        <x:v>2124.3038388766777</x:v>
      </x:c>
      <x:c r="J50" s="88" t="str">
        <x:v>Base</x:v>
      </x:c>
      <x:c r="K50" s="664" t="n">
        <x:f>'P4 Valuation'!C16</x:f>
        <x:v>84500</x:v>
      </x:c>
    </x:row>
    <x:row r="51" ht="22" customHeight="1">
      <x:c r="A51" s="88" t="str">
        <x:v>2027E</x:v>
      </x:c>
      <x:c r="B51" s="134" t="n">
        <x:f>'P4 Forecast'!E8</x:f>
        <x:v>6.260760000000001</x:v>
      </x:c>
      <x:c r="C51" s="134" t="n">
        <x:f>'P4 Forecast'!E48</x:f>
        <x:v>6.945792000000002</x:v>
      </x:c>
      <x:c r="D51" s="638" t="n">
        <x:f>'P4 Forecast'!E88</x:f>
        <x:v>5.3685659999999995</x:v>
      </x:c>
      <x:c r="F51" s="88" t="str">
        <x:v>2027E</x:v>
      </x:c>
      <x:c r="G51" s="211" t="n">
        <x:f>'P4 Forecast'!E16</x:f>
        <x:v>7603.459943653505</x:v>
      </x:c>
      <x:c r="H51" s="654" t="n">
        <x:f>'P4 Forecast'!E34</x:f>
        <x:v>2391.999423569727</x:v>
      </x:c>
      <x:c r="J51" s="88" t="str">
        <x:v>Bull</x:v>
      </x:c>
      <x:c r="K51" s="664" t="n">
        <x:f>'P4 Valuation'!D16</x:f>
        <x:v>115500</x:v>
      </x:c>
    </x:row>
    <x:row r="52" ht="22" customHeight="1">
      <x:c r="A52" s="88" t="str">
        <x:v>2028E</x:v>
      </x:c>
      <x:c r="B52" s="134" t="n">
        <x:f>'P4 Forecast'!F8</x:f>
        <x:v>7.044768720000002</x:v>
      </x:c>
      <x:c r="C52" s="134" t="n">
        <x:f>'P4 Forecast'!F48</x:f>
        <x:v>8.356656000000001</x:v>
      </x:c>
      <x:c r="D52" s="638" t="n">
        <x:f>'P4 Forecast'!F88</x:f>
        <x:v>5.550950159999999</x:v>
      </x:c>
      <x:c r="F52" s="88" t="str">
        <x:v>2028E</x:v>
      </x:c>
      <x:c r="G52" s="211" t="n">
        <x:f>'P4 Forecast'!F16</x:f>
        <x:v>8736.01097698022</x:v>
      </x:c>
      <x:c r="H52" s="654" t="n">
        <x:f>'P4 Forecast'!F34</x:f>
        <x:v>2818.6100153044968</x:v>
      </x:c>
      <x:c r="J52" s="91" t="str">
        <x:v>Bear</x:v>
      </x:c>
      <x:c r="K52" s="665" t="n">
        <x:f>'P4 Valuation'!E16</x:f>
        <x:v>51000</x:v>
      </x:c>
    </x:row>
    <x:row r="53" ht="22" customHeight="1">
      <x:c r="A53" s="88" t="str">
        <x:v>2029E</x:v>
      </x:c>
      <x:c r="B53" s="134" t="n">
        <x:f>'P4 Forecast'!G8</x:f>
        <x:v>7.824879612000003</x:v>
      </x:c>
      <x:c r="C53" s="134" t="n">
        <x:f>'P4 Forecast'!G48</x:f>
        <x:v>9.540913536000003</x:v>
      </x:c>
      <x:c r="D53" s="638" t="n">
        <x:f>'P4 Forecast'!G88</x:f>
        <x:v>5.794741889999999</x:v>
      </x:c>
      <x:c r="F53" s="88" t="str">
        <x:v>2029E</x:v>
      </x:c>
      <x:c r="G53" s="211" t="n">
        <x:f>'P4 Forecast'!G16</x:f>
        <x:v>9925.844654586946</x:v>
      </x:c>
      <x:c r="H53" s="654" t="n">
        <x:f>'P4 Forecast'!G34</x:f>
        <x:v>3261.872718281634</x:v>
      </x:c>
    </x:row>
    <x:row r="54" ht="22" customHeight="1">
      <x:c r="A54" s="91" t="str">
        <x:v>2030E</x:v>
      </x:c>
      <x:c r="B54" s="135" t="n">
        <x:f>'P4 Forecast'!H8</x:f>
        <x:v>8.538324517800003</x:v>
      </x:c>
      <x:c r="C54" s="135" t="n">
        <x:f>'P4 Forecast'!H48</x:f>
        <x:v>10.484690388480004</x:v>
      </x:c>
      <x:c r="D54" s="639" t="n">
        <x:f>'P4 Forecast'!H88</x:f>
        <x:v>6.106885319808</x:v>
      </x:c>
      <x:c r="F54" s="91" t="str">
        <x:v>2030E</x:v>
      </x:c>
      <x:c r="G54" s="212" t="n">
        <x:f>'P4 Forecast'!H16</x:f>
        <x:v>11100.373535548777</x:v>
      </x:c>
      <x:c r="H54" s="655" t="n">
        <x:f>'P4 Forecast'!H34</x:f>
        <x:v>3677.8156533843276</x:v>
      </x:c>
    </x:row>
  </x:sheetData>
  <x:mergeCells>
    <x:mergeCell ref="A1:N1"/>
    <x:mergeCell ref="A2:N2"/>
    <x:mergeCell ref="A4:N4"/>
    <x:mergeCell ref="A5:B5"/>
    <x:mergeCell ref="C5:D5"/>
    <x:mergeCell ref="E5:F5"/>
    <x:mergeCell ref="G5:H5"/>
    <x:mergeCell ref="I5:J5"/>
    <x:mergeCell ref="K5:L5"/>
    <x:mergeCell ref="M5:N5"/>
    <x:mergeCell ref="A6:B8"/>
    <x:mergeCell ref="C6:D8"/>
    <x:mergeCell ref="E6:F8"/>
    <x:mergeCell ref="G6:H8"/>
    <x:mergeCell ref="I6:J8"/>
    <x:mergeCell ref="K6:L8"/>
    <x:mergeCell ref="M6:N8"/>
    <x:mergeCell ref="A10:N10"/>
    <x:mergeCell ref="H33:N33"/>
    <x:mergeCell ref="H34:N41"/>
    <x:mergeCell ref="H43:N43"/>
    <x:mergeCell ref="H44:N46"/>
  </x:mergeCells>
  <x:conditionalFormatting sqref="A6:A6">
    <x:cfRule type="containsText" dxfId="12" priority="1" operator="containsText" text="BUY"/>
  </x:conditionalFormatting>
  <x:pageMargins left="0.7" right="0.7" top="0.75" bottom="0.75" header="0.3" footer="0.3"/>
  <x:drawing xmlns:r="http://schemas.openxmlformats.org/officeDocument/2006/relationships" r:id="R6c1e9c1799dd4552"/>
</x:worksheet>
</file>

<file path=xl/worksheets/sheet35.xml><?xml version="1.0" encoding="utf-8"?>
<x:worksheet xmlns:x="http://schemas.openxmlformats.org/spreadsheetml/2006/main">
  <x:sheetViews>
    <x:sheetView showGridLines="0" workbookViewId="0"/>
  </x:sheetViews>
  <x:sheetFormatPr defaultRowHeight="15"/>
  <x:cols>
    <x:col min="1" max="1" width="15" hidden="0" customWidth="1"/>
    <x:col min="2" max="2" width="37" hidden="0" customWidth="1"/>
    <x:col min="3" max="3" width="17" hidden="0" customWidth="1"/>
    <x:col min="4" max="4" width="17" hidden="0" customWidth="1"/>
    <x:col min="5" max="5" width="17" hidden="0" customWidth="1"/>
    <x:col min="6" max="6" width="14" hidden="0" customWidth="1"/>
    <x:col min="7" max="7" width="15" hidden="0" customWidth="1"/>
    <x:col min="8" max="8" width="64" hidden="0" customWidth="1"/>
  </x:cols>
  <x:sheetData>
    <x:row r="1" ht="32" customHeight="1">
      <x:c r="A1" s="840" t="str">
        <x:v>Phase 5 — Portfolio Packaging &amp; Narrative Consistency Checks</x:v>
      </x:c>
      <x:c r="B1" s="840"/>
      <x:c r="C1" s="840"/>
      <x:c r="D1" s="840"/>
      <x:c r="E1" s="840"/>
      <x:c r="F1" s="840"/>
      <x:c r="G1" s="840"/>
      <x:c r="H1" s="840"/>
    </x:row>
    <x:row r="2" ht="28" customHeight="1">
      <x:c r="A2" s="738" t="str">
        <x:v>These controls tie the recruiter-facing call, note and interview script back to the audited model. Narrative caveats remain explicit even when the formula checks pass.</x:v>
      </x:c>
      <x:c r="B2" s="738"/>
      <x:c r="C2" s="738"/>
      <x:c r="D2" s="738"/>
      <x:c r="E2" s="738"/>
      <x:c r="F2" s="738"/>
      <x:c r="G2" s="738"/>
      <x:c r="H2" s="738"/>
    </x:row>
    <x:row r="4" ht="24" customHeight="1">
      <x:c r="A4" s="747" t="str">
        <x:v>Packaging control register</x:v>
      </x:c>
      <x:c r="B4" s="748" t="str">
        <x:v>Packaging control register</x:v>
      </x:c>
      <x:c r="C4" s="748" t="str">
        <x:v>Packaging control register</x:v>
      </x:c>
      <x:c r="D4" s="748" t="str">
        <x:v>Packaging control register</x:v>
      </x:c>
      <x:c r="E4" s="748" t="str">
        <x:v>Packaging control register</x:v>
      </x:c>
      <x:c r="F4" s="748" t="str">
        <x:v>Packaging control register</x:v>
      </x:c>
      <x:c r="G4" s="748" t="str">
        <x:v>Packaging control register</x:v>
      </x:c>
      <x:c r="H4" s="749" t="str">
        <x:v>Packaging control register</x:v>
      </x:c>
    </x:row>
    <x:row r="5">
      <x:c r="A5" s="755" t="str">
        <x:v>ID</x:v>
      </x:c>
      <x:c r="B5" s="755" t="str">
        <x:v>Check</x:v>
      </x:c>
      <x:c r="C5" s="755" t="str">
        <x:v>Actual</x:v>
      </x:c>
      <x:c r="D5" s="755" t="str">
        <x:v>Expected</x:v>
      </x:c>
      <x:c r="E5" s="755" t="str">
        <x:v>Difference</x:v>
      </x:c>
      <x:c r="F5" s="755" t="str">
        <x:v>Tolerance</x:v>
      </x:c>
      <x:c r="G5" s="755" t="str">
        <x:v>Status</x:v>
      </x:c>
      <x:c r="H5" s="755" t="str">
        <x:v>Narrative / fix hint</x:v>
      </x:c>
    </x:row>
    <x:row r="6">
      <x:c r="A6" s="759" t="str">
        <x:v>P5-01</x:v>
      </x:c>
      <x:c r="B6" s="759" t="str">
        <x:v>Phase 3 controls</x:v>
      </x:c>
      <x:c r="C6" s="841" t="n">
        <x:f>COUNTIF('P3 Checks'!F6:F54,"REVIEW")</x:f>
        <x:v>0</x:v>
      </x:c>
      <x:c r="D6" s="841" t="n">
        <x:v>0</x:v>
      </x:c>
      <x:c r="E6" s="841" t="n">
        <x:f>C6-D6</x:f>
        <x:v>0</x:v>
      </x:c>
      <x:c r="F6" s="841" t="n">
        <x:v>0</x:v>
      </x:c>
      <x:c r="G6" s="841" t="str">
        <x:f>IF(ABS(E6)&lt;=F6,"OK","REVIEW")</x:f>
        <x:v>OK</x:v>
      </x:c>
      <x:c r="H6" s="759" t="str">
        <x:v>Historical model must reconcile.</x:v>
      </x:c>
    </x:row>
    <x:row r="7">
      <x:c r="A7" s="759" t="str">
        <x:v>P5-02</x:v>
      </x:c>
      <x:c r="B7" s="759" t="str">
        <x:v>Phase 4 controls</x:v>
      </x:c>
      <x:c r="C7" s="841" t="n">
        <x:f>COUNTIF('P4 Checks'!G6:G142,"REVIEW")</x:f>
        <x:v>0</x:v>
      </x:c>
      <x:c r="D7" s="841" t="n">
        <x:v>0</x:v>
      </x:c>
      <x:c r="E7" s="841" t="n">
        <x:f>C7-D7</x:f>
        <x:v>0</x:v>
      </x:c>
      <x:c r="F7" s="841" t="n">
        <x:v>0</x:v>
      </x:c>
      <x:c r="G7" s="841" t="str">
        <x:f>IF(ABS(E7)&lt;=F7,"OK","REVIEW")</x:f>
        <x:v>OK</x:v>
      </x:c>
      <x:c r="H7" s="759" t="str">
        <x:v>Forecast and valuation must reconcile.</x:v>
      </x:c>
    </x:row>
    <x:row r="8">
      <x:c r="A8" s="759" t="str">
        <x:v>P5-03</x:v>
      </x:c>
      <x:c r="B8" s="759" t="str">
        <x:v>Cover rating tie</x:v>
      </x:c>
      <x:c r="C8" s="841" t="n">
        <x:f>IF(Cover!A6='P4 Valuation'!C18,1,0)</x:f>
        <x:v>1</x:v>
      </x:c>
      <x:c r="D8" s="841" t="n">
        <x:v>1</x:v>
      </x:c>
      <x:c r="E8" s="841" t="n">
        <x:f>C8-D8</x:f>
        <x:v>0</x:v>
      </x:c>
      <x:c r="F8" s="841" t="n">
        <x:v>0</x:v>
      </x:c>
      <x:c r="G8" s="841" t="str">
        <x:f>IF(ABS(E8)&lt;=F8,"OK","REVIEW")</x:f>
        <x:v>OK</x:v>
      </x:c>
      <x:c r="H8" s="759" t="str">
        <x:v>Cover must link to Base rating.</x:v>
      </x:c>
    </x:row>
    <x:row r="9">
      <x:c r="A9" s="759" t="str">
        <x:v>P5-04</x:v>
      </x:c>
      <x:c r="B9" s="759" t="str">
        <x:v>Cover target-price tie</x:v>
      </x:c>
      <x:c r="C9" s="841" t="n">
        <x:f>Cover!B6-'P4 Valuation'!C16</x:f>
        <x:v>0</x:v>
      </x:c>
      <x:c r="D9" s="841" t="n">
        <x:v>0</x:v>
      </x:c>
      <x:c r="E9" s="841" t="n">
        <x:f>C9-D9</x:f>
        <x:v>0</x:v>
      </x:c>
      <x:c r="F9" s="841" t="n">
        <x:v>0.01</x:v>
      </x:c>
      <x:c r="G9" s="841" t="str">
        <x:f>IF(ABS(E9)&lt;=F9,"OK","REVIEW")</x:f>
        <x:v>OK</x:v>
      </x:c>
      <x:c r="H9" s="759" t="str">
        <x:v>Cover must link to Base target price.</x:v>
      </x:c>
    </x:row>
    <x:row r="10">
      <x:c r="A10" s="759" t="str">
        <x:v>P5-05</x:v>
      </x:c>
      <x:c r="B10" s="759" t="str">
        <x:v>Cover current-price tie</x:v>
      </x:c>
      <x:c r="C10" s="841" t="n">
        <x:f>Cover!C6-'P4 Valuation'!C6</x:f>
        <x:v>0</x:v>
      </x:c>
      <x:c r="D10" s="841" t="n">
        <x:v>0</x:v>
      </x:c>
      <x:c r="E10" s="841" t="n">
        <x:f>C10-D10</x:f>
        <x:v>0</x:v>
      </x:c>
      <x:c r="F10" s="841" t="n">
        <x:v>0.01</x:v>
      </x:c>
      <x:c r="G10" s="841" t="str">
        <x:f>IF(ABS(E10)&lt;=F10,"OK","REVIEW")</x:f>
        <x:v>OK</x:v>
      </x:c>
      <x:c r="H10" s="759" t="str">
        <x:v>Cover must link to valuation-date close.</x:v>
      </x:c>
    </x:row>
    <x:row r="11">
      <x:c r="A11" s="759" t="str">
        <x:v>P5-06</x:v>
      </x:c>
      <x:c r="B11" s="759" t="str">
        <x:v>Cover upside tie</x:v>
      </x:c>
      <x:c r="C11" s="841" t="n">
        <x:f>Cover!D6-'P4 Valuation'!C17</x:f>
        <x:v>0</x:v>
      </x:c>
      <x:c r="D11" s="841" t="n">
        <x:v>0</x:v>
      </x:c>
      <x:c r="E11" s="841" t="n">
        <x:f>C11-D11</x:f>
        <x:v>0</x:v>
      </x:c>
      <x:c r="F11" s="841" t="n">
        <x:v>0.0001</x:v>
      </x:c>
      <x:c r="G11" s="841" t="str">
        <x:f>IF(ABS(E11)&lt;=F11,"OK","REVIEW")</x:f>
        <x:v>OK</x:v>
      </x:c>
      <x:c r="H11" s="759" t="str">
        <x:v>Cover must link to Base upside.</x:v>
      </x:c>
    </x:row>
    <x:row r="12">
      <x:c r="A12" s="759" t="str">
        <x:v>P5-07</x:v>
      </x:c>
      <x:c r="B12" s="759" t="str">
        <x:v>2026 revenue tie</x:v>
      </x:c>
      <x:c r="C12" s="841" t="n">
        <x:f>Cover!E6-'P4 Forecast'!D16</x:f>
        <x:v>0</x:v>
      </x:c>
      <x:c r="D12" s="841" t="n">
        <x:v>0</x:v>
      </x:c>
      <x:c r="E12" s="841" t="n">
        <x:f>C12-D12</x:f>
        <x:v>0</x:v>
      </x:c>
      <x:c r="F12" s="841" t="n">
        <x:v>0.01</x:v>
      </x:c>
      <x:c r="G12" s="841" t="str">
        <x:f>IF(ABS(E12)&lt;=F12,"OK","REVIEW")</x:f>
        <x:v>OK</x:v>
      </x:c>
      <x:c r="H12" s="759" t="str">
        <x:v>Recruiter summary matches forecast.</x:v>
      </x:c>
    </x:row>
    <x:row r="13">
      <x:c r="A13" s="759" t="str">
        <x:v>P5-08</x:v>
      </x:c>
      <x:c r="B13" s="759" t="str">
        <x:v>2026 PBT tie</x:v>
      </x:c>
      <x:c r="C13" s="841" t="n">
        <x:f>Cover!F6-'P4 Forecast'!D28</x:f>
        <x:v>0</x:v>
      </x:c>
      <x:c r="D13" s="841" t="n">
        <x:v>0</x:v>
      </x:c>
      <x:c r="E13" s="841" t="n">
        <x:f>C13-D13</x:f>
        <x:v>0</x:v>
      </x:c>
      <x:c r="F13" s="841" t="n">
        <x:v>0.01</x:v>
      </x:c>
      <x:c r="G13" s="841" t="str">
        <x:f>IF(ABS(E13)&lt;=F13,"OK","REVIEW")</x:f>
        <x:v>OK</x:v>
      </x:c>
      <x:c r="H13" s="759" t="str">
        <x:v>Recruiter summary matches forecast.</x:v>
      </x:c>
    </x:row>
    <x:row r="14">
      <x:c r="A14" s="759" t="str">
        <x:v>P5-09</x:v>
      </x:c>
      <x:c r="B14" s="759" t="str">
        <x:v>2026 EPS tie</x:v>
      </x:c>
      <x:c r="C14" s="841" t="n">
        <x:f>Cover!G6-'P4 Forecast'!D35</x:f>
        <x:v>0</x:v>
      </x:c>
      <x:c r="D14" s="841" t="n">
        <x:v>0</x:v>
      </x:c>
      <x:c r="E14" s="841" t="n">
        <x:f>C14-D14</x:f>
        <x:v>0</x:v>
      </x:c>
      <x:c r="F14" s="841" t="n">
        <x:v>0.01</x:v>
      </x:c>
      <x:c r="G14" s="841" t="str">
        <x:f>IF(ABS(E14)&lt;=F14,"OK","REVIEW")</x:f>
        <x:v>OK</x:v>
      </x:c>
      <x:c r="H14" s="759" t="str">
        <x:v>Recruiter summary matches forecast.</x:v>
      </x:c>
    </x:row>
    <x:row r="15">
      <x:c r="A15" s="759" t="str">
        <x:v>P5-10</x:v>
      </x:c>
      <x:c r="B15" s="759" t="str">
        <x:v>Scenario target ordering</x:v>
      </x:c>
      <x:c r="C15" s="841" t="n">
        <x:f>IF('P4 Valuation'!D16&gt;'P4 Valuation'!C16,1,0)+IF('P4 Valuation'!C16&gt;'P4 Valuation'!E16,1,0)</x:f>
        <x:v>2</x:v>
      </x:c>
      <x:c r="D15" s="841" t="n">
        <x:v>2</x:v>
      </x:c>
      <x:c r="E15" s="841" t="n">
        <x:f>C15-D15</x:f>
        <x:v>0</x:v>
      </x:c>
      <x:c r="F15" s="841" t="n">
        <x:v>0</x:v>
      </x:c>
      <x:c r="G15" s="841" t="str">
        <x:f>IF(ABS(E15)&lt;=F15,"OK","REVIEW")</x:f>
        <x:v>OK</x:v>
      </x:c>
      <x:c r="H15" s="759" t="str">
        <x:v>Bull &gt; Base &gt; Bear.</x:v>
      </x:c>
    </x:row>
    <x:row r="16">
      <x:c r="A16" s="759" t="str">
        <x:v>P5-11</x:v>
      </x:c>
      <x:c r="B16" s="759" t="str">
        <x:v>Probability-weighted target tie</x:v>
      </x:c>
      <x:c r="C16" s="841" t="n">
        <x:f>'P4 Valuation'!C22</x:f>
        <x:v>84000</x:v>
      </x:c>
      <x:c r="D16" s="841" t="n">
        <x:v>84000</x:v>
      </x:c>
      <x:c r="E16" s="841" t="n">
        <x:f>C16-D16</x:f>
        <x:v>0</x:v>
      </x:c>
      <x:c r="F16" s="841" t="n">
        <x:v>0.01</x:v>
      </x:c>
      <x:c r="G16" s="841" t="str">
        <x:f>IF(ABS(E16)&lt;=F16,"OK","REVIEW")</x:f>
        <x:v>OK</x:v>
      </x:c>
      <x:c r="H16" s="759" t="str">
        <x:v>Slide/script output must use the same weighted target.</x:v>
      </x:c>
    </x:row>
    <x:row r="17">
      <x:c r="A17" s="759" t="str">
        <x:v>P5-12</x:v>
      </x:c>
      <x:c r="B17" s="759" t="str">
        <x:v>Registered source count</x:v>
      </x:c>
      <x:c r="C17" s="841" t="n">
        <x:f>COUNTA('Source Audit'!A7:A47)</x:f>
        <x:v>41</x:v>
      </x:c>
      <x:c r="D17" s="841" t="n">
        <x:v>41</x:v>
      </x:c>
      <x:c r="E17" s="841" t="n">
        <x:f>C17-D17</x:f>
        <x:v>0</x:v>
      </x:c>
      <x:c r="F17" s="841" t="n">
        <x:v>0</x:v>
      </x:c>
      <x:c r="G17" s="841" t="str">
        <x:f>IF(ABS(E17)&lt;=F17,"OK","REVIEW")</x:f>
        <x:v>OK</x:v>
      </x:c>
      <x:c r="H17" s="759" t="str">
        <x:v>All cited source IDs remain registered.</x:v>
      </x:c>
    </x:row>
    <x:row r="18">
      <x:c r="A18" s="759" t="str">
        <x:v>P5-13</x:v>
      </x:c>
      <x:c r="B18" s="759" t="str">
        <x:v>Base BUY hurdle</x:v>
      </x:c>
      <x:c r="C18" s="841" t="n">
        <x:f>'P4 Valuation'!C17</x:f>
        <x:v>0.15437158469945356</x:v>
      </x:c>
      <x:c r="D18" s="841" t="n">
        <x:f>'P4 Assumptions'!C120</x:f>
        <x:v>0.15</x:v>
      </x:c>
      <x:c r="E18" s="841" t="n">
        <x:f>C18-D18</x:f>
        <x:v>0.004371584699453562</x:v>
      </x:c>
      <x:c r="F18" s="841" t="n">
        <x:v>0.005</x:v>
      </x:c>
      <x:c r="G18" s="841" t="str">
        <x:f>IF(ABS(E18)&lt;=F18,"OK","REVIEW")</x:f>
        <x:v>OK</x:v>
      </x:c>
      <x:c r="H18" s="759" t="str">
        <x:v>Base upside only narrowly clears the threshold; disclose limited margin of safety.</x:v>
      </x:c>
    </x:row>
    <x:row r="19">
      <x:c r="A19" s="759" t="str">
        <x:v>P5-14</x:v>
      </x:c>
      <x:c r="B19" s="759" t="str">
        <x:v>Probability-weighted hurdle gap</x:v>
      </x:c>
      <x:c r="C19" s="841" t="n">
        <x:f>'P4 Valuation'!C23-'P4 Assumptions'!C120</x:f>
        <x:v>-0.0024590163934426756</x:v>
      </x:c>
      <x:c r="D19" s="841" t="n">
        <x:v>-0.00245901639344268</x:v>
      </x:c>
      <x:c r="E19" s="841" t="n">
        <x:f>C19-D19</x:f>
        <x:v>4.336808689942018e-18</x:v>
      </x:c>
      <x:c r="F19" s="841" t="n">
        <x:v>0.0001</x:v>
      </x:c>
      <x:c r="G19" s="841" t="str">
        <x:f>IF(ABS(E19)&lt;=F19,"OK","REVIEW")</x:f>
        <x:v>OK</x:v>
      </x:c>
      <x:c r="H19" s="759" t="str">
        <x:v>Weighted upside remains just below the BUY threshold; keep this caveat in the note.</x:v>
      </x:c>
    </x:row>
    <x:row r="21" ht="24" customHeight="1">
      <x:c r="A21" s="747" t="str">
        <x:v>Phase 5 package status</x:v>
      </x:c>
      <x:c r="B21" s="748" t="str">
        <x:v>Phase 5 package status</x:v>
      </x:c>
      <x:c r="C21" s="748" t="str">
        <x:v>Phase 5 package status</x:v>
      </x:c>
      <x:c r="D21" s="748" t="str">
        <x:v>Phase 5 package status</x:v>
      </x:c>
      <x:c r="E21" s="748" t="str">
        <x:v>Phase 5 package status</x:v>
      </x:c>
      <x:c r="F21" s="748" t="str">
        <x:v>Phase 5 package status</x:v>
      </x:c>
      <x:c r="G21" s="748" t="str">
        <x:v>Phase 5 package status</x:v>
      </x:c>
      <x:c r="H21" s="749" t="str">
        <x:v>Phase 5 package status</x:v>
      </x:c>
    </x:row>
    <x:row r="22" ht="34" customHeight="1">
      <x:c r="A22" s="862" t="str">
        <x:f>IF(COUNTIF(G6:G19,"REVIEW")=0,"OK — Phase 5 package ties to the final model and is ready for portfolio use","REVIEW — resolve packaging controls before sharing")</x:f>
        <x:v>OK — Phase 5 package ties to the final model and is ready for portfolio use</x:v>
      </x:c>
      <x:c r="B22" s="863"/>
      <x:c r="C22" s="863"/>
      <x:c r="D22" s="863"/>
      <x:c r="E22" s="863"/>
      <x:c r="F22" s="863"/>
      <x:c r="G22" s="863"/>
      <x:c r="H22" s="864"/>
    </x:row>
    <x:row r="23" ht="34" customHeight="1">
      <x:c r="A23" s="865"/>
      <x:c r="B23" s="866"/>
      <x:c r="C23" s="866"/>
      <x:c r="D23" s="866"/>
      <x:c r="E23" s="866"/>
      <x:c r="F23" s="866"/>
      <x:c r="G23" s="866"/>
      <x:c r="H23" s="867"/>
    </x:row>
    <x:row r="25" ht="24" customHeight="1">
      <x:c r="A25" s="747" t="str">
        <x:v>Required disclosure in recruiter-facing outputs</x:v>
      </x:c>
      <x:c r="B25" s="748" t="str">
        <x:v>Required disclosure in recruiter-facing outputs</x:v>
      </x:c>
      <x:c r="C25" s="748" t="str">
        <x:v>Required disclosure in recruiter-facing outputs</x:v>
      </x:c>
      <x:c r="D25" s="748" t="str">
        <x:v>Required disclosure in recruiter-facing outputs</x:v>
      </x:c>
      <x:c r="E25" s="748" t="str">
        <x:v>Required disclosure in recruiter-facing outputs</x:v>
      </x:c>
      <x:c r="F25" s="748" t="str">
        <x:v>Required disclosure in recruiter-facing outputs</x:v>
      </x:c>
      <x:c r="G25" s="748" t="str">
        <x:v>Required disclosure in recruiter-facing outputs</x:v>
      </x:c>
      <x:c r="H25" s="749" t="str">
        <x:v>Required disclosure in recruiter-facing outputs</x:v>
      </x:c>
    </x:row>
    <x:row r="26" ht="25" customHeight="1">
      <x:c r="A26" s="868" t="str">
        <x:v>The Base case is a BUY with 15.4% upside, only modestly above the 15% hurdle. Probability-weighted upside is 14.8%. Present the call as execution-sensitive rather than high-conviction, and retain the Bear target of VND 51,000 as the explicit downside case.</x:v>
      </x:c>
      <x:c r="B26" s="869"/>
      <x:c r="C26" s="869"/>
      <x:c r="D26" s="869"/>
      <x:c r="E26" s="869"/>
      <x:c r="F26" s="869"/>
      <x:c r="G26" s="869"/>
      <x:c r="H26" s="870"/>
    </x:row>
    <x:row r="27" ht="25" customHeight="1">
      <x:c r="A27" s="871"/>
      <x:c r="B27" s="872"/>
      <x:c r="C27" s="872"/>
      <x:c r="D27" s="872"/>
      <x:c r="E27" s="872"/>
      <x:c r="F27" s="872"/>
      <x:c r="G27" s="872"/>
      <x:c r="H27" s="873"/>
    </x:row>
    <x:row r="28" ht="25" customHeight="1">
      <x:c r="A28" s="874"/>
      <x:c r="B28" s="875"/>
      <x:c r="C28" s="875"/>
      <x:c r="D28" s="875"/>
      <x:c r="E28" s="875"/>
      <x:c r="F28" s="875"/>
      <x:c r="G28" s="875"/>
      <x:c r="H28" s="876"/>
    </x:row>
  </x:sheetData>
  <x:mergeCells>
    <x:mergeCell ref="A1:H1"/>
    <x:mergeCell ref="A2:H2"/>
    <x:mergeCell ref="A4:H4"/>
    <x:mergeCell ref="A21:H21"/>
    <x:mergeCell ref="A22:H23"/>
    <x:mergeCell ref="A25:H25"/>
    <x:mergeCell ref="A26:H28"/>
  </x:mergeCells>
  <x:conditionalFormatting sqref="G6:G19">
    <x:cfRule type="containsText" dxfId="15" priority="1" operator="containsText" text="OK"/>
    <x:cfRule type="containsText" dxfId="16" priority="2" operator="containsText" text="REVIEW"/>
  </x:conditionalFormatting>
  <x:pageMargins left="0.7" right="0.7" top="0.75" bottom="0.75" header="0.3" footer="0.3"/>
</x:worksheet>
</file>

<file path=xl/worksheets/sheet36.xml><?xml version="1.0" encoding="utf-8"?>
<x:worksheet xmlns:x="http://schemas.openxmlformats.org/spreadsheetml/2006/main">
  <x:sheetViews>
    <x:sheetView showGridLines="0" workbookViewId="0"/>
  </x:sheetViews>
  <x:sheetFormatPr defaultRowHeight="15"/>
  <x:cols>
    <x:col min="1" max="1" width="13" hidden="0" customWidth="1"/>
    <x:col min="2" max="2" width="11" hidden="0" customWidth="1"/>
    <x:col min="3" max="3" width="11" hidden="0" customWidth="1"/>
    <x:col min="4" max="4" width="11" hidden="0" customWidth="1"/>
    <x:col min="5" max="5" width="11" hidden="0" customWidth="1"/>
    <x:col min="6" max="6" width="13" hidden="0" customWidth="1"/>
    <x:col min="7" max="7" width="13" hidden="0" customWidth="1"/>
    <x:col min="8" max="8" width="13" hidden="0" customWidth="1"/>
    <x:col min="9" max="9" width="13" hidden="0" customWidth="1"/>
    <x:col min="10" max="10" width="13" hidden="0" customWidth="1"/>
    <x:col min="11" max="11" width="15" hidden="0" customWidth="1"/>
    <x:col min="12" max="12" width="12" hidden="0" customWidth="1"/>
    <x:col min="13" max="13" width="19" hidden="0" customWidth="1"/>
    <x:col min="14" max="14" width="25" hidden="0" customWidth="1"/>
  </x:cols>
  <x:sheetData>
    <x:row r="1" ht="28" customHeight="1">
      <x:c r="A1" s="1022" t="str">
        <x:v>Raw GMD &amp; VN-Index Prices — VNStock/VCI</x:v>
      </x:c>
      <x:c r="B1" s="1022"/>
      <x:c r="C1" s="1022"/>
      <x:c r="D1" s="1022"/>
      <x:c r="E1" s="1022"/>
      <x:c r="F1" s="1022"/>
      <x:c r="G1" s="1022"/>
      <x:c r="H1" s="1022"/>
      <x:c r="I1" s="1022"/>
      <x:c r="J1" s="1022"/>
      <x:c r="K1" s="1022"/>
      <x:c r="L1" s="1022"/>
      <x:c r="M1" s="1022"/>
      <x:c r="N1" s="1022"/>
    </x:row>
    <x:row r="2" ht="30" customHeight="1">
      <x:c r="A2" s="1025" t="str">
        <x:v>Daily close series fetched via VNStock Quote/VCI. Period 2021-07-23 to 2026-07-24; fetched 2026-07-26T12:48:07+07:00.</x:v>
      </x:c>
      <x:c r="B2" s="1025"/>
      <x:c r="C2" s="1025"/>
      <x:c r="D2" s="1025"/>
      <x:c r="E2" s="1025"/>
      <x:c r="F2" s="1025"/>
      <x:c r="G2" s="1025"/>
      <x:c r="H2" s="1025"/>
      <x:c r="I2" s="1025"/>
      <x:c r="J2" s="1025"/>
      <x:c r="K2" s="1025"/>
      <x:c r="L2" s="1025"/>
      <x:c r="M2" s="1025"/>
      <x:c r="N2" s="1025"/>
    </x:row>
    <x:row r="3" ht="26" customHeight="1">
      <x:c r="A3" s="884" t="str">
        <x:v>Source: https://vnstocks.com/docs/vnstock/du-lieu-thi-truong-market-data | Price field: close returned by VNStock/VCI; API response did not provide a separate adjusted-close field.</x:v>
      </x:c>
      <x:c r="B3" s="884"/>
      <x:c r="C3" s="884"/>
      <x:c r="D3" s="884"/>
      <x:c r="E3" s="884"/>
      <x:c r="F3" s="884"/>
      <x:c r="G3" s="884"/>
      <x:c r="H3" s="884"/>
      <x:c r="I3" s="884"/>
      <x:c r="J3" s="884"/>
      <x:c r="K3" s="884"/>
      <x:c r="L3" s="884"/>
      <x:c r="M3" s="884"/>
      <x:c r="N3" s="884"/>
    </x:row>
    <x:row r="5" ht="32" customHeight="1">
      <x:c r="A5" s="1030" t="str">
        <x:v>Date</x:v>
      </x:c>
      <x:c r="B5" s="1030" t="str">
        <x:v>GMD Open</x:v>
      </x:c>
      <x:c r="C5" s="1030" t="str">
        <x:v>GMD High</x:v>
      </x:c>
      <x:c r="D5" s="1030" t="str">
        <x:v>GMD Low</x:v>
      </x:c>
      <x:c r="E5" s="1030" t="str">
        <x:v>GMD Close</x:v>
      </x:c>
      <x:c r="F5" s="1030" t="str">
        <x:v>GMD Volume</x:v>
      </x:c>
      <x:c r="G5" s="1030" t="str">
        <x:v>VNINDEX Open</x:v>
      </x:c>
      <x:c r="H5" s="1030" t="str">
        <x:v>VNINDEX High</x:v>
      </x:c>
      <x:c r="I5" s="1030" t="str">
        <x:v>VNINDEX Low</x:v>
      </x:c>
      <x:c r="J5" s="1030" t="str">
        <x:v>VNINDEX Close</x:v>
      </x:c>
      <x:c r="K5" s="1030" t="str">
        <x:v>VNINDEX Volume</x:v>
      </x:c>
      <x:c r="L5" s="1030" t="str">
        <x:v>Source ID</x:v>
      </x:c>
      <x:c r="M5" s="1030" t="str">
        <x:v>Data class</x:v>
      </x:c>
      <x:c r="N5" s="1030" t="str">
        <x:v>Fetch timestamp</x:v>
      </x:c>
    </x:row>
    <x:row r="6">
      <x:c r="A6" s="894" t="n">
        <x:v>44400</x:v>
      </x:c>
      <x:c r="B6" s="897" t="n">
        <x:v>31.3</x:v>
      </x:c>
      <x:c r="C6" s="897" t="n">
        <x:v>31.45</x:v>
      </x:c>
      <x:c r="D6" s="897" t="n">
        <x:v>30.58</x:v>
      </x:c>
      <x:c r="E6" s="897" t="n">
        <x:v>30.58</x:v>
      </x:c>
      <x:c r="F6" s="900" t="n">
        <x:v>2891100</x:v>
      </x:c>
      <x:c r="G6" s="903" t="n">
        <x:v>1293.67</x:v>
      </x:c>
      <x:c r="H6" s="903" t="n">
        <x:v>1295.63</x:v>
      </x:c>
      <x:c r="I6" s="903" t="n">
        <x:v>1268.83</x:v>
      </x:c>
      <x:c r="J6" s="903" t="n">
        <x:v>1268.83</x:v>
      </x:c>
      <x:c r="K6" s="900" t="n">
        <x:v>544429400</x:v>
      </x:c>
      <x:c r="L6" s="906" t="str">
        <x:v>SRC-P404</x:v>
      </x:c>
      <x:c r="M6" s="906" t="str">
        <x:v>VNStock API actual</x:v>
      </x:c>
      <x:c r="N6" s="1031" t="n">
        <x:v>46229.241747685184</x:v>
      </x:c>
    </x:row>
    <x:row r="7">
      <x:c r="A7" s="895" t="n">
        <x:v>44403</x:v>
      </x:c>
      <x:c r="B7" s="898" t="n">
        <x:v>30.29</x:v>
      </x:c>
      <x:c r="C7" s="898" t="n">
        <x:v>32.56</x:v>
      </x:c>
      <x:c r="D7" s="898" t="n">
        <x:v>30.15</x:v>
      </x:c>
      <x:c r="E7" s="898" t="n">
        <x:v>32.24</x:v>
      </x:c>
      <x:c r="F7" s="901" t="n">
        <x:v>5618100</x:v>
      </x:c>
      <x:c r="G7" s="904" t="n">
        <x:v>1268.83</x:v>
      </x:c>
      <x:c r="H7" s="904" t="n">
        <x:v>1277.33</x:v>
      </x:c>
      <x:c r="I7" s="904" t="n">
        <x:v>1254.57</x:v>
      </x:c>
      <x:c r="J7" s="904" t="n">
        <x:v>1272.71</x:v>
      </x:c>
      <x:c r="K7" s="901" t="n">
        <x:v>454862700</x:v>
      </x:c>
      <x:c r="L7" s="907" t="str">
        <x:v>SRC-P404</x:v>
      </x:c>
      <x:c r="M7" s="907" t="str">
        <x:v>VNStock API actual</x:v>
      </x:c>
      <x:c r="N7" s="1032" t="n">
        <x:v>46229.241747685184</x:v>
      </x:c>
    </x:row>
    <x:row r="8">
      <x:c r="A8" s="895" t="n">
        <x:v>44404</x:v>
      </x:c>
      <x:c r="B8" s="898" t="n">
        <x:v>32.42</x:v>
      </x:c>
      <x:c r="C8" s="898" t="n">
        <x:v>32.74</x:v>
      </x:c>
      <x:c r="D8" s="898" t="n">
        <x:v>32.09</x:v>
      </x:c>
      <x:c r="E8" s="898" t="n">
        <x:v>32.24</x:v>
      </x:c>
      <x:c r="F8" s="901" t="n">
        <x:v>3947300</x:v>
      </x:c>
      <x:c r="G8" s="904" t="n">
        <x:v>1272.71</x:v>
      </x:c>
      <x:c r="H8" s="904" t="n">
        <x:v>1288.35</x:v>
      </x:c>
      <x:c r="I8" s="904" t="n">
        <x:v>1272.71</x:v>
      </x:c>
      <x:c r="J8" s="904" t="n">
        <x:v>1276.93</x:v>
      </x:c>
      <x:c r="K8" s="901" t="n">
        <x:v>513020600</x:v>
      </x:c>
      <x:c r="L8" s="907" t="str">
        <x:v>SRC-P404</x:v>
      </x:c>
      <x:c r="M8" s="907" t="str">
        <x:v>VNStock API actual</x:v>
      </x:c>
      <x:c r="N8" s="1032" t="n">
        <x:v>46229.241747685184</x:v>
      </x:c>
    </x:row>
    <x:row r="9">
      <x:c r="A9" s="895" t="n">
        <x:v>44405</x:v>
      </x:c>
      <x:c r="B9" s="898" t="n">
        <x:v>31.95</x:v>
      </x:c>
      <x:c r="C9" s="898" t="n">
        <x:v>32.31</x:v>
      </x:c>
      <x:c r="D9" s="898" t="n">
        <x:v>31.7</x:v>
      </x:c>
      <x:c r="E9" s="898" t="n">
        <x:v>31.73</x:v>
      </x:c>
      <x:c r="F9" s="901" t="n">
        <x:v>1796100</x:v>
      </x:c>
      <x:c r="G9" s="904" t="n">
        <x:v>1276.93</x:v>
      </x:c>
      <x:c r="H9" s="904" t="n">
        <x:v>1281.17</x:v>
      </x:c>
      <x:c r="I9" s="904" t="n">
        <x:v>1271.78</x:v>
      </x:c>
      <x:c r="J9" s="904" t="n">
        <x:v>1277.07</x:v>
      </x:c>
      <x:c r="K9" s="901" t="n">
        <x:v>355190400</x:v>
      </x:c>
      <x:c r="L9" s="907" t="str">
        <x:v>SRC-P404</x:v>
      </x:c>
      <x:c r="M9" s="907" t="str">
        <x:v>VNStock API actual</x:v>
      </x:c>
      <x:c r="N9" s="1032" t="n">
        <x:v>46229.241747685184</x:v>
      </x:c>
    </x:row>
    <x:row r="10">
      <x:c r="A10" s="895" t="n">
        <x:v>44406</x:v>
      </x:c>
      <x:c r="B10" s="898" t="n">
        <x:v>31.88</x:v>
      </x:c>
      <x:c r="C10" s="898" t="n">
        <x:v>32.81</x:v>
      </x:c>
      <x:c r="D10" s="898" t="n">
        <x:v>31.63</x:v>
      </x:c>
      <x:c r="E10" s="898" t="n">
        <x:v>32.49</x:v>
      </x:c>
      <x:c r="F10" s="901" t="n">
        <x:v>3482700</x:v>
      </x:c>
      <x:c r="G10" s="904" t="n">
        <x:v>1277.07</x:v>
      </x:c>
      <x:c r="H10" s="904" t="n">
        <x:v>1293.6</x:v>
      </x:c>
      <x:c r="I10" s="904" t="n">
        <x:v>1277.07</x:v>
      </x:c>
      <x:c r="J10" s="904" t="n">
        <x:v>1293.6</x:v>
      </x:c>
      <x:c r="K10" s="901" t="n">
        <x:v>438103100</x:v>
      </x:c>
      <x:c r="L10" s="907" t="str">
        <x:v>SRC-P404</x:v>
      </x:c>
      <x:c r="M10" s="907" t="str">
        <x:v>VNStock API actual</x:v>
      </x:c>
      <x:c r="N10" s="1032" t="n">
        <x:v>46229.241747685184</x:v>
      </x:c>
    </x:row>
    <x:row r="11">
      <x:c r="A11" s="895" t="n">
        <x:v>44407</x:v>
      </x:c>
      <x:c r="B11" s="898" t="n">
        <x:v>32.52</x:v>
      </x:c>
      <x:c r="C11" s="898" t="n">
        <x:v>33.82</x:v>
      </x:c>
      <x:c r="D11" s="898" t="n">
        <x:v>32.52</x:v>
      </x:c>
      <x:c r="E11" s="898" t="n">
        <x:v>33.17</x:v>
      </x:c>
      <x:c r="F11" s="901" t="n">
        <x:v>4955500</x:v>
      </x:c>
      <x:c r="G11" s="904" t="n">
        <x:v>1293.6</x:v>
      </x:c>
      <x:c r="H11" s="904" t="n">
        <x:v>1311.97</x:v>
      </x:c>
      <x:c r="I11" s="904" t="n">
        <x:v>1293.6</x:v>
      </x:c>
      <x:c r="J11" s="904" t="n">
        <x:v>1310.05</x:v>
      </x:c>
      <x:c r="K11" s="901" t="n">
        <x:v>609027100</x:v>
      </x:c>
      <x:c r="L11" s="907" t="str">
        <x:v>SRC-P404</x:v>
      </x:c>
      <x:c r="M11" s="907" t="str">
        <x:v>VNStock API actual</x:v>
      </x:c>
      <x:c r="N11" s="1032" t="n">
        <x:v>46229.241747685184</x:v>
      </x:c>
    </x:row>
    <x:row r="12">
      <x:c r="A12" s="895" t="n">
        <x:v>44410</x:v>
      </x:c>
      <x:c r="B12" s="898" t="n">
        <x:v>33.1</x:v>
      </x:c>
      <x:c r="C12" s="898" t="n">
        <x:v>34.76</x:v>
      </x:c>
      <x:c r="D12" s="898" t="n">
        <x:v>32.96</x:v>
      </x:c>
      <x:c r="E12" s="898" t="n">
        <x:v>34.04</x:v>
      </x:c>
      <x:c r="F12" s="901" t="n">
        <x:v>4890600</x:v>
      </x:c>
      <x:c r="G12" s="904" t="n">
        <x:v>1310.05</x:v>
      </x:c>
      <x:c r="H12" s="904" t="n">
        <x:v>1322.35</x:v>
      </x:c>
      <x:c r="I12" s="904" t="n">
        <x:v>1304.49</x:v>
      </x:c>
      <x:c r="J12" s="904" t="n">
        <x:v>1314.22</x:v>
      </x:c>
      <x:c r="K12" s="901" t="n">
        <x:v>578784400</x:v>
      </x:c>
      <x:c r="L12" s="907" t="str">
        <x:v>SRC-P404</x:v>
      </x:c>
      <x:c r="M12" s="907" t="str">
        <x:v>VNStock API actual</x:v>
      </x:c>
      <x:c r="N12" s="1032" t="n">
        <x:v>46229.241747685184</x:v>
      </x:c>
    </x:row>
    <x:row r="13">
      <x:c r="A13" s="895" t="n">
        <x:v>44411</x:v>
      </x:c>
      <x:c r="B13" s="898" t="n">
        <x:v>34.25</x:v>
      </x:c>
      <x:c r="C13" s="898" t="n">
        <x:v>34.9</x:v>
      </x:c>
      <x:c r="D13" s="898" t="n">
        <x:v>33.68</x:v>
      </x:c>
      <x:c r="E13" s="898" t="n">
        <x:v>34.32</x:v>
      </x:c>
      <x:c r="F13" s="901" t="n">
        <x:v>5214300</x:v>
      </x:c>
      <x:c r="G13" s="904" t="n">
        <x:v>1314.22</x:v>
      </x:c>
      <x:c r="H13" s="904" t="n">
        <x:v>1332.44</x:v>
      </x:c>
      <x:c r="I13" s="904" t="n">
        <x:v>1314.22</x:v>
      </x:c>
      <x:c r="J13" s="904" t="n">
        <x:v>1332.44</x:v>
      </x:c>
      <x:c r="K13" s="901" t="n">
        <x:v>607397800</x:v>
      </x:c>
      <x:c r="L13" s="907" t="str">
        <x:v>SRC-P404</x:v>
      </x:c>
      <x:c r="M13" s="907" t="str">
        <x:v>VNStock API actual</x:v>
      </x:c>
      <x:c r="N13" s="1032" t="n">
        <x:v>46229.241747685184</x:v>
      </x:c>
    </x:row>
    <x:row r="14">
      <x:c r="A14" s="895" t="n">
        <x:v>44412</x:v>
      </x:c>
      <x:c r="B14" s="898" t="n">
        <x:v>34.5</x:v>
      </x:c>
      <x:c r="C14" s="898" t="n">
        <x:v>34.5</x:v>
      </x:c>
      <x:c r="D14" s="898" t="n">
        <x:v>33.71</x:v>
      </x:c>
      <x:c r="E14" s="898" t="n">
        <x:v>33.86</x:v>
      </x:c>
      <x:c r="F14" s="901" t="n">
        <x:v>4266000</x:v>
      </x:c>
      <x:c r="G14" s="904" t="n">
        <x:v>1332.44</x:v>
      </x:c>
      <x:c r="H14" s="904" t="n">
        <x:v>1340.76</x:v>
      </x:c>
      <x:c r="I14" s="904" t="n">
        <x:v>1328.4</x:v>
      </x:c>
      <x:c r="J14" s="904" t="n">
        <x:v>1334.74</x:v>
      </x:c>
      <x:c r="K14" s="901" t="n">
        <x:v>614173100</x:v>
      </x:c>
      <x:c r="L14" s="907" t="str">
        <x:v>SRC-P404</x:v>
      </x:c>
      <x:c r="M14" s="907" t="str">
        <x:v>VNStock API actual</x:v>
      </x:c>
      <x:c r="N14" s="1032" t="n">
        <x:v>46229.241747685184</x:v>
      </x:c>
    </x:row>
    <x:row r="15">
      <x:c r="A15" s="895" t="n">
        <x:v>44413</x:v>
      </x:c>
      <x:c r="B15" s="898" t="n">
        <x:v>33.68</x:v>
      </x:c>
      <x:c r="C15" s="898" t="n">
        <x:v>34.61</x:v>
      </x:c>
      <x:c r="D15" s="898" t="n">
        <x:v>33.46</x:v>
      </x:c>
      <x:c r="E15" s="898" t="n">
        <x:v>34.07</x:v>
      </x:c>
      <x:c r="F15" s="901" t="n">
        <x:v>2653200</x:v>
      </x:c>
      <x:c r="G15" s="904" t="n">
        <x:v>1334.74</x:v>
      </x:c>
      <x:c r="H15" s="904" t="n">
        <x:v>1346.62</x:v>
      </x:c>
      <x:c r="I15" s="904" t="n">
        <x:v>1326.8</x:v>
      </x:c>
      <x:c r="J15" s="904" t="n">
        <x:v>1345.55</x:v>
      </x:c>
      <x:c r="K15" s="901" t="n">
        <x:v>575015000</x:v>
      </x:c>
      <x:c r="L15" s="907" t="str">
        <x:v>SRC-P404</x:v>
      </x:c>
      <x:c r="M15" s="907" t="str">
        <x:v>VNStock API actual</x:v>
      </x:c>
      <x:c r="N15" s="1032" t="n">
        <x:v>46229.241747685184</x:v>
      </x:c>
    </x:row>
    <x:row r="16">
      <x:c r="A16" s="895" t="n">
        <x:v>44414</x:v>
      </x:c>
      <x:c r="B16" s="898" t="n">
        <x:v>34.07</x:v>
      </x:c>
      <x:c r="C16" s="898" t="n">
        <x:v>35.44</x:v>
      </x:c>
      <x:c r="D16" s="898" t="n">
        <x:v>33.78</x:v>
      </x:c>
      <x:c r="E16" s="898" t="n">
        <x:v>34.76</x:v>
      </x:c>
      <x:c r="F16" s="901" t="n">
        <x:v>5999000</x:v>
      </x:c>
      <x:c r="G16" s="904" t="n">
        <x:v>1345.55</x:v>
      </x:c>
      <x:c r="H16" s="904" t="n">
        <x:v>1351.85</x:v>
      </x:c>
      <x:c r="I16" s="904" t="n">
        <x:v>1341.45</x:v>
      </x:c>
      <x:c r="J16" s="904" t="n">
        <x:v>1341.45</x:v>
      </x:c>
      <x:c r="K16" s="901" t="n">
        <x:v>666046400</x:v>
      </x:c>
      <x:c r="L16" s="907" t="str">
        <x:v>SRC-P404</x:v>
      </x:c>
      <x:c r="M16" s="907" t="str">
        <x:v>VNStock API actual</x:v>
      </x:c>
      <x:c r="N16" s="1032" t="n">
        <x:v>46229.241747685184</x:v>
      </x:c>
    </x:row>
    <x:row r="17">
      <x:c r="A17" s="895" t="n">
        <x:v>44417</x:v>
      </x:c>
      <x:c r="B17" s="898" t="n">
        <x:v>34.76</x:v>
      </x:c>
      <x:c r="C17" s="898" t="n">
        <x:v>35.58</x:v>
      </x:c>
      <x:c r="D17" s="898" t="n">
        <x:v>34.76</x:v>
      </x:c>
      <x:c r="E17" s="898" t="n">
        <x:v>35.33</x:v>
      </x:c>
      <x:c r="F17" s="901" t="n">
        <x:v>3157500</x:v>
      </x:c>
      <x:c r="G17" s="904" t="n">
        <x:v>1341.45</x:v>
      </x:c>
      <x:c r="H17" s="904" t="n">
        <x:v>1361.12</x:v>
      </x:c>
      <x:c r="I17" s="904" t="n">
        <x:v>1334.69</x:v>
      </x:c>
      <x:c r="J17" s="904" t="n">
        <x:v>1359.86</x:v>
      </x:c>
      <x:c r="K17" s="901" t="n">
        <x:v>624857600</x:v>
      </x:c>
      <x:c r="L17" s="907" t="str">
        <x:v>SRC-P404</x:v>
      </x:c>
      <x:c r="M17" s="907" t="str">
        <x:v>VNStock API actual</x:v>
      </x:c>
      <x:c r="N17" s="1032" t="n">
        <x:v>46229.241747685184</x:v>
      </x:c>
    </x:row>
    <x:row r="18">
      <x:c r="A18" s="895" t="n">
        <x:v>44418</x:v>
      </x:c>
      <x:c r="B18" s="898" t="n">
        <x:v>35.62</x:v>
      </x:c>
      <x:c r="C18" s="898" t="n">
        <x:v>36.7</x:v>
      </x:c>
      <x:c r="D18" s="898" t="n">
        <x:v>35.12</x:v>
      </x:c>
      <x:c r="E18" s="898" t="n">
        <x:v>36.34</x:v>
      </x:c>
      <x:c r="F18" s="901" t="n">
        <x:v>6002400</x:v>
      </x:c>
      <x:c r="G18" s="904" t="n">
        <x:v>1359.86</x:v>
      </x:c>
      <x:c r="H18" s="904" t="n">
        <x:v>1370.35</x:v>
      </x:c>
      <x:c r="I18" s="904" t="n">
        <x:v>1358.12</x:v>
      </x:c>
      <x:c r="J18" s="904" t="n">
        <x:v>1362.43</x:v>
      </x:c>
      <x:c r="K18" s="901" t="n">
        <x:v>666359800</x:v>
      </x:c>
      <x:c r="L18" s="907" t="str">
        <x:v>SRC-P404</x:v>
      </x:c>
      <x:c r="M18" s="907" t="str">
        <x:v>VNStock API actual</x:v>
      </x:c>
      <x:c r="N18" s="1032" t="n">
        <x:v>46229.241747685184</x:v>
      </x:c>
    </x:row>
    <x:row r="19">
      <x:c r="A19" s="895" t="n">
        <x:v>44419</x:v>
      </x:c>
      <x:c r="B19" s="898" t="n">
        <x:v>36.55</x:v>
      </x:c>
      <x:c r="C19" s="898" t="n">
        <x:v>37.13</x:v>
      </x:c>
      <x:c r="D19" s="898" t="n">
        <x:v>35.58</x:v>
      </x:c>
      <x:c r="E19" s="898" t="n">
        <x:v>35.58</x:v>
      </x:c>
      <x:c r="F19" s="901" t="n">
        <x:v>6203300</x:v>
      </x:c>
      <x:c r="G19" s="904" t="n">
        <x:v>1362.43</x:v>
      </x:c>
      <x:c r="H19" s="904" t="n">
        <x:v>1374.03</x:v>
      </x:c>
      <x:c r="I19" s="904" t="n">
        <x:v>1357.79</x:v>
      </x:c>
      <x:c r="J19" s="904" t="n">
        <x:v>1357.79</x:v>
      </x:c>
      <x:c r="K19" s="901" t="n">
        <x:v>761972900</x:v>
      </x:c>
      <x:c r="L19" s="907" t="str">
        <x:v>SRC-P404</x:v>
      </x:c>
      <x:c r="M19" s="907" t="str">
        <x:v>VNStock API actual</x:v>
      </x:c>
      <x:c r="N19" s="1032" t="n">
        <x:v>46229.241747685184</x:v>
      </x:c>
    </x:row>
    <x:row r="20">
      <x:c r="A20" s="895" t="n">
        <x:v>44420</x:v>
      </x:c>
      <x:c r="B20" s="898" t="n">
        <x:v>35.4</x:v>
      </x:c>
      <x:c r="C20" s="898" t="n">
        <x:v>36.12</x:v>
      </x:c>
      <x:c r="D20" s="898" t="n">
        <x:v>34.54</x:v>
      </x:c>
      <x:c r="E20" s="898" t="n">
        <x:v>34.76</x:v>
      </x:c>
      <x:c r="F20" s="901" t="n">
        <x:v>6291200</x:v>
      </x:c>
      <x:c r="G20" s="904" t="n">
        <x:v>1357.79</x:v>
      </x:c>
      <x:c r="H20" s="904" t="n">
        <x:v>1365.01</x:v>
      </x:c>
      <x:c r="I20" s="904" t="n">
        <x:v>1353.05</x:v>
      </x:c>
      <x:c r="J20" s="904" t="n">
        <x:v>1353.05</x:v>
      </x:c>
      <x:c r="K20" s="901" t="n">
        <x:v>710090200</x:v>
      </x:c>
      <x:c r="L20" s="907" t="str">
        <x:v>SRC-P404</x:v>
      </x:c>
      <x:c r="M20" s="907" t="str">
        <x:v>VNStock API actual</x:v>
      </x:c>
      <x:c r="N20" s="1032" t="n">
        <x:v>46229.241747685184</x:v>
      </x:c>
    </x:row>
    <x:row r="21">
      <x:c r="A21" s="895" t="n">
        <x:v>44421</x:v>
      </x:c>
      <x:c r="B21" s="898" t="n">
        <x:v>34.79</x:v>
      </x:c>
      <x:c r="C21" s="898" t="n">
        <x:v>36.16</x:v>
      </x:c>
      <x:c r="D21" s="898" t="n">
        <x:v>33.94</x:v>
      </x:c>
      <x:c r="E21" s="898" t="n">
        <x:v>36.16</x:v>
      </x:c>
      <x:c r="F21" s="901" t="n">
        <x:v>4997000</x:v>
      </x:c>
      <x:c r="G21" s="904" t="n">
        <x:v>1353.05</x:v>
      </x:c>
      <x:c r="H21" s="904" t="n">
        <x:v>1357.41</x:v>
      </x:c>
      <x:c r="I21" s="904" t="n">
        <x:v>1336.74</x:v>
      </x:c>
      <x:c r="J21" s="904" t="n">
        <x:v>1357.05</x:v>
      </x:c>
      <x:c r="K21" s="901" t="n">
        <x:v>713712000</x:v>
      </x:c>
      <x:c r="L21" s="907" t="str">
        <x:v>SRC-P404</x:v>
      </x:c>
      <x:c r="M21" s="907" t="str">
        <x:v>VNStock API actual</x:v>
      </x:c>
      <x:c r="N21" s="1032" t="n">
        <x:v>46229.241747685184</x:v>
      </x:c>
    </x:row>
    <x:row r="22">
      <x:c r="A22" s="895" t="n">
        <x:v>44424</x:v>
      </x:c>
      <x:c r="B22" s="898" t="n">
        <x:v>37.04</x:v>
      </x:c>
      <x:c r="C22" s="898" t="n">
        <x:v>37.04</x:v>
      </x:c>
      <x:c r="D22" s="898" t="n">
        <x:v>35.68</x:v>
      </x:c>
      <x:c r="E22" s="898" t="n">
        <x:v>35.97</x:v>
      </x:c>
      <x:c r="F22" s="901" t="n">
        <x:v>3635000</x:v>
      </x:c>
      <x:c r="G22" s="904" t="n">
        <x:v>1357.05</x:v>
      </x:c>
      <x:c r="H22" s="904" t="n">
        <x:v>1372.33</x:v>
      </x:c>
      <x:c r="I22" s="904" t="n">
        <x:v>1357.05</x:v>
      </x:c>
      <x:c r="J22" s="904" t="n">
        <x:v>1370.96</x:v>
      </x:c>
      <x:c r="K22" s="901" t="n">
        <x:v>793990600</x:v>
      </x:c>
      <x:c r="L22" s="907" t="str">
        <x:v>SRC-P404</x:v>
      </x:c>
      <x:c r="M22" s="907" t="str">
        <x:v>VNStock API actual</x:v>
      </x:c>
      <x:c r="N22" s="1032" t="n">
        <x:v>46229.241747685184</x:v>
      </x:c>
    </x:row>
    <x:row r="23">
      <x:c r="A23" s="895" t="n">
        <x:v>44425</x:v>
      </x:c>
      <x:c r="B23" s="898" t="n">
        <x:v>35.93</x:v>
      </x:c>
      <x:c r="C23" s="898" t="n">
        <x:v>35.93</x:v>
      </x:c>
      <x:c r="D23" s="898" t="n">
        <x:v>34.68</x:v>
      </x:c>
      <x:c r="E23" s="898" t="n">
        <x:v>35.57</x:v>
      </x:c>
      <x:c r="F23" s="901" t="n">
        <x:v>2787200</x:v>
      </x:c>
      <x:c r="G23" s="904" t="n">
        <x:v>1370.96</x:v>
      </x:c>
      <x:c r="H23" s="904" t="n">
        <x:v>1379.7</x:v>
      </x:c>
      <x:c r="I23" s="904" t="n">
        <x:v>1359.11</x:v>
      </x:c>
      <x:c r="J23" s="904" t="n">
        <x:v>1363.09</x:v>
      </x:c>
      <x:c r="K23" s="901" t="n">
        <x:v>727641800</x:v>
      </x:c>
      <x:c r="L23" s="907" t="str">
        <x:v>SRC-P404</x:v>
      </x:c>
      <x:c r="M23" s="907" t="str">
        <x:v>VNStock API actual</x:v>
      </x:c>
      <x:c r="N23" s="1032" t="n">
        <x:v>46229.241747685184</x:v>
      </x:c>
    </x:row>
    <x:row r="24">
      <x:c r="A24" s="895" t="n">
        <x:v>44426</x:v>
      </x:c>
      <x:c r="B24" s="898" t="n">
        <x:v>35.05</x:v>
      </x:c>
      <x:c r="C24" s="898" t="n">
        <x:v>35.79</x:v>
      </x:c>
      <x:c r="D24" s="898" t="n">
        <x:v>35.05</x:v>
      </x:c>
      <x:c r="E24" s="898" t="n">
        <x:v>35.27</x:v>
      </x:c>
      <x:c r="F24" s="901" t="n">
        <x:v>3458900</x:v>
      </x:c>
      <x:c r="G24" s="904" t="n">
        <x:v>1363.09</x:v>
      </x:c>
      <x:c r="H24" s="904" t="n">
        <x:v>1370.5</x:v>
      </x:c>
      <x:c r="I24" s="904" t="n">
        <x:v>1355.83</x:v>
      </x:c>
      <x:c r="J24" s="904" t="n">
        <x:v>1360.94</x:v>
      </x:c>
      <x:c r="K24" s="901" t="n">
        <x:v>636257800</x:v>
      </x:c>
      <x:c r="L24" s="907" t="str">
        <x:v>SRC-P404</x:v>
      </x:c>
      <x:c r="M24" s="907" t="str">
        <x:v>VNStock API actual</x:v>
      </x:c>
      <x:c r="N24" s="1032" t="n">
        <x:v>46229.241747685184</x:v>
      </x:c>
    </x:row>
    <x:row r="25">
      <x:c r="A25" s="895" t="n">
        <x:v>44427</x:v>
      </x:c>
      <x:c r="B25" s="898" t="n">
        <x:v>35.05</x:v>
      </x:c>
      <x:c r="C25" s="898" t="n">
        <x:v>35.42</x:v>
      </x:c>
      <x:c r="D25" s="898" t="n">
        <x:v>34.72</x:v>
      </x:c>
      <x:c r="E25" s="898" t="n">
        <x:v>34.72</x:v>
      </x:c>
      <x:c r="F25" s="901" t="n">
        <x:v>3645200</x:v>
      </x:c>
      <x:c r="G25" s="904" t="n">
        <x:v>1360.94</x:v>
      </x:c>
      <x:c r="H25" s="904" t="n">
        <x:v>1374.85</x:v>
      </x:c>
      <x:c r="I25" s="904" t="n">
        <x:v>1352.94</x:v>
      </x:c>
      <x:c r="J25" s="904" t="n">
        <x:v>1374.85</x:v>
      </x:c>
      <x:c r="K25" s="901" t="n">
        <x:v>647948200</x:v>
      </x:c>
      <x:c r="L25" s="907" t="str">
        <x:v>SRC-P404</x:v>
      </x:c>
      <x:c r="M25" s="907" t="str">
        <x:v>VNStock API actual</x:v>
      </x:c>
      <x:c r="N25" s="1032" t="n">
        <x:v>46229.241747685184</x:v>
      </x:c>
    </x:row>
    <x:row r="26">
      <x:c r="A26" s="895" t="n">
        <x:v>44428</x:v>
      </x:c>
      <x:c r="B26" s="898" t="n">
        <x:v>35.05</x:v>
      </x:c>
      <x:c r="C26" s="898" t="n">
        <x:v>35.6</x:v>
      </x:c>
      <x:c r="D26" s="898" t="n">
        <x:v>34.02</x:v>
      </x:c>
      <x:c r="E26" s="898" t="n">
        <x:v>34.94</x:v>
      </x:c>
      <x:c r="F26" s="901" t="n">
        <x:v>5276400</x:v>
      </x:c>
      <x:c r="G26" s="904" t="n">
        <x:v>1374.85</x:v>
      </x:c>
      <x:c r="H26" s="904" t="n">
        <x:v>1374.85</x:v>
      </x:c>
      <x:c r="I26" s="904" t="n">
        <x:v>1317.52</x:v>
      </x:c>
      <x:c r="J26" s="904" t="n">
        <x:v>1329.43</x:v>
      </x:c>
      <x:c r="K26" s="901" t="n">
        <x:v>1165664100</x:v>
      </x:c>
      <x:c r="L26" s="907" t="str">
        <x:v>SRC-P404</x:v>
      </x:c>
      <x:c r="M26" s="907" t="str">
        <x:v>VNStock API actual</x:v>
      </x:c>
      <x:c r="N26" s="1032" t="n">
        <x:v>46229.241747685184</x:v>
      </x:c>
    </x:row>
    <x:row r="27">
      <x:c r="A27" s="895" t="n">
        <x:v>44431</x:v>
      </x:c>
      <x:c r="B27" s="898" t="n">
        <x:v>34.9</x:v>
      </x:c>
      <x:c r="C27" s="898" t="n">
        <x:v>35.75</x:v>
      </x:c>
      <x:c r="D27" s="898" t="n">
        <x:v>34.53</x:v>
      </x:c>
      <x:c r="E27" s="898" t="n">
        <x:v>34.9</x:v>
      </x:c>
      <x:c r="F27" s="901" t="n">
        <x:v>3640400</x:v>
      </x:c>
      <x:c r="G27" s="904" t="n">
        <x:v>1329.43</x:v>
      </x:c>
      <x:c r="H27" s="904" t="n">
        <x:v>1326.07</x:v>
      </x:c>
      <x:c r="I27" s="904" t="n">
        <x:v>1298.86</x:v>
      </x:c>
      <x:c r="J27" s="904" t="n">
        <x:v>1298.86</x:v>
      </x:c>
      <x:c r="K27" s="901" t="n">
        <x:v>761345100</x:v>
      </x:c>
      <x:c r="L27" s="907" t="str">
        <x:v>SRC-P404</x:v>
      </x:c>
      <x:c r="M27" s="907" t="str">
        <x:v>VNStock API actual</x:v>
      </x:c>
      <x:c r="N27" s="1032" t="n">
        <x:v>46229.241747685184</x:v>
      </x:c>
    </x:row>
    <x:row r="28">
      <x:c r="A28" s="895" t="n">
        <x:v>44432</x:v>
      </x:c>
      <x:c r="B28" s="898" t="n">
        <x:v>34.94</x:v>
      </x:c>
      <x:c r="C28" s="898" t="n">
        <x:v>35.57</x:v>
      </x:c>
      <x:c r="D28" s="898" t="n">
        <x:v>34.57</x:v>
      </x:c>
      <x:c r="E28" s="898" t="n">
        <x:v>34.64</x:v>
      </x:c>
      <x:c r="F28" s="901" t="n">
        <x:v>4011500</x:v>
      </x:c>
      <x:c r="G28" s="904" t="n">
        <x:v>1298.86</x:v>
      </x:c>
      <x:c r="H28" s="904" t="n">
        <x:v>1307.56</x:v>
      </x:c>
      <x:c r="I28" s="904" t="n">
        <x:v>1289.16</x:v>
      </x:c>
      <x:c r="J28" s="904" t="n">
        <x:v>1298.74</x:v>
      </x:c>
      <x:c r="K28" s="901" t="n">
        <x:v>638238200</x:v>
      </x:c>
      <x:c r="L28" s="907" t="str">
        <x:v>SRC-P404</x:v>
      </x:c>
      <x:c r="M28" s="907" t="str">
        <x:v>VNStock API actual</x:v>
      </x:c>
      <x:c r="N28" s="1032" t="n">
        <x:v>46229.241747685184</x:v>
      </x:c>
    </x:row>
    <x:row r="29">
      <x:c r="A29" s="895" t="n">
        <x:v>44433</x:v>
      </x:c>
      <x:c r="B29" s="898" t="n">
        <x:v>34.75</x:v>
      </x:c>
      <x:c r="C29" s="898" t="n">
        <x:v>35.38</x:v>
      </x:c>
      <x:c r="D29" s="898" t="n">
        <x:v>34.39</x:v>
      </x:c>
      <x:c r="E29" s="898" t="n">
        <x:v>35.34</x:v>
      </x:c>
      <x:c r="F29" s="901" t="n">
        <x:v>2512600</x:v>
      </x:c>
      <x:c r="G29" s="904" t="n">
        <x:v>1298.74</x:v>
      </x:c>
      <x:c r="H29" s="904" t="n">
        <x:v>1309.8</x:v>
      </x:c>
      <x:c r="I29" s="904" t="n">
        <x:v>1291.7</x:v>
      </x:c>
      <x:c r="J29" s="904" t="n">
        <x:v>1309.55</x:v>
      </x:c>
      <x:c r="K29" s="901" t="n">
        <x:v>472111500</x:v>
      </x:c>
      <x:c r="L29" s="907" t="str">
        <x:v>SRC-P404</x:v>
      </x:c>
      <x:c r="M29" s="907" t="str">
        <x:v>VNStock API actual</x:v>
      </x:c>
      <x:c r="N29" s="1032" t="n">
        <x:v>46229.241747685184</x:v>
      </x:c>
    </x:row>
    <x:row r="30">
      <x:c r="A30" s="895" t="n">
        <x:v>44434</x:v>
      </x:c>
      <x:c r="B30" s="898" t="n">
        <x:v>35.71</x:v>
      </x:c>
      <x:c r="C30" s="898" t="n">
        <x:v>37.78</x:v>
      </x:c>
      <x:c r="D30" s="898" t="n">
        <x:v>35.57</x:v>
      </x:c>
      <x:c r="E30" s="898" t="n">
        <x:v>37.63</x:v>
      </x:c>
      <x:c r="F30" s="901" t="n">
        <x:v>10599400</x:v>
      </x:c>
      <x:c r="G30" s="904" t="n">
        <x:v>1309.55</x:v>
      </x:c>
      <x:c r="H30" s="904" t="n">
        <x:v>1316.26</x:v>
      </x:c>
      <x:c r="I30" s="904" t="n">
        <x:v>1295.77</x:v>
      </x:c>
      <x:c r="J30" s="904" t="n">
        <x:v>1301.12</x:v>
      </x:c>
      <x:c r="K30" s="901" t="n">
        <x:v>492665900</x:v>
      </x:c>
      <x:c r="L30" s="907" t="str">
        <x:v>SRC-P404</x:v>
      </x:c>
      <x:c r="M30" s="907" t="str">
        <x:v>VNStock API actual</x:v>
      </x:c>
      <x:c r="N30" s="1032" t="n">
        <x:v>46229.241747685184</x:v>
      </x:c>
    </x:row>
    <x:row r="31">
      <x:c r="A31" s="895" t="n">
        <x:v>44435</x:v>
      </x:c>
      <x:c r="B31" s="898" t="n">
        <x:v>37.63</x:v>
      </x:c>
      <x:c r="C31" s="898" t="n">
        <x:v>38.37</x:v>
      </x:c>
      <x:c r="D31" s="898" t="n">
        <x:v>37.12</x:v>
      </x:c>
      <x:c r="E31" s="898" t="n">
        <x:v>37.71</x:v>
      </x:c>
      <x:c r="F31" s="901" t="n">
        <x:v>4565800</x:v>
      </x:c>
      <x:c r="G31" s="904" t="n">
        <x:v>1301.12</x:v>
      </x:c>
      <x:c r="H31" s="904" t="n">
        <x:v>1313.2</x:v>
      </x:c>
      <x:c r="I31" s="904" t="n">
        <x:v>1285.16</x:v>
      </x:c>
      <x:c r="J31" s="904" t="n">
        <x:v>1313.2</x:v>
      </x:c>
      <x:c r="K31" s="901" t="n">
        <x:v>625254800</x:v>
      </x:c>
      <x:c r="L31" s="907" t="str">
        <x:v>SRC-P404</x:v>
      </x:c>
      <x:c r="M31" s="907" t="str">
        <x:v>VNStock API actual</x:v>
      </x:c>
      <x:c r="N31" s="1032" t="n">
        <x:v>46229.241747685184</x:v>
      </x:c>
    </x:row>
    <x:row r="32">
      <x:c r="A32" s="895" t="n">
        <x:v>44438</x:v>
      </x:c>
      <x:c r="B32" s="898" t="n">
        <x:v>38</x:v>
      </x:c>
      <x:c r="C32" s="898" t="n">
        <x:v>38.52</x:v>
      </x:c>
      <x:c r="D32" s="898" t="n">
        <x:v>37.63</x:v>
      </x:c>
      <x:c r="E32" s="898" t="n">
        <x:v>38.22</x:v>
      </x:c>
      <x:c r="F32" s="901" t="n">
        <x:v>3434300</x:v>
      </x:c>
      <x:c r="G32" s="904" t="n">
        <x:v>1313.2</x:v>
      </x:c>
      <x:c r="H32" s="904" t="n">
        <x:v>1329.62</x:v>
      </x:c>
      <x:c r="I32" s="904" t="n">
        <x:v>1313.2</x:v>
      </x:c>
      <x:c r="J32" s="904" t="n">
        <x:v>1328.14</x:v>
      </x:c>
      <x:c r="K32" s="901" t="n">
        <x:v>626412100</x:v>
      </x:c>
      <x:c r="L32" s="907" t="str">
        <x:v>SRC-P404</x:v>
      </x:c>
      <x:c r="M32" s="907" t="str">
        <x:v>VNStock API actual</x:v>
      </x:c>
      <x:c r="N32" s="1032" t="n">
        <x:v>46229.241747685184</x:v>
      </x:c>
    </x:row>
    <x:row r="33">
      <x:c r="A33" s="895" t="n">
        <x:v>44439</x:v>
      </x:c>
      <x:c r="B33" s="898" t="n">
        <x:v>37.85</x:v>
      </x:c>
      <x:c r="C33" s="898" t="n">
        <x:v>38.81</x:v>
      </x:c>
      <x:c r="D33" s="898" t="n">
        <x:v>37.85</x:v>
      </x:c>
      <x:c r="E33" s="898" t="n">
        <x:v>38.07</x:v>
      </x:c>
      <x:c r="F33" s="901" t="n">
        <x:v>5871200</x:v>
      </x:c>
      <x:c r="G33" s="904" t="n">
        <x:v>1328.14</x:v>
      </x:c>
      <x:c r="H33" s="904" t="n">
        <x:v>1336.14</x:v>
      </x:c>
      <x:c r="I33" s="904" t="n">
        <x:v>1325.69</x:v>
      </x:c>
      <x:c r="J33" s="904" t="n">
        <x:v>1331.47</x:v>
      </x:c>
      <x:c r="K33" s="901" t="n">
        <x:v>701548700</x:v>
      </x:c>
      <x:c r="L33" s="907" t="str">
        <x:v>SRC-P404</x:v>
      </x:c>
      <x:c r="M33" s="907" t="str">
        <x:v>VNStock API actual</x:v>
      </x:c>
      <x:c r="N33" s="1032" t="n">
        <x:v>46229.241747685184</x:v>
      </x:c>
    </x:row>
    <x:row r="34">
      <x:c r="A34" s="895" t="n">
        <x:v>44440</x:v>
      </x:c>
      <x:c r="B34" s="898" t="n">
        <x:v>38</x:v>
      </x:c>
      <x:c r="C34" s="898" t="n">
        <x:v>39.99</x:v>
      </x:c>
      <x:c r="D34" s="898" t="n">
        <x:v>37.93</x:v>
      </x:c>
      <x:c r="E34" s="898" t="n">
        <x:v>39.11</x:v>
      </x:c>
      <x:c r="F34" s="901" t="n">
        <x:v>5790600</x:v>
      </x:c>
      <x:c r="G34" s="904" t="n">
        <x:v>1331.47</x:v>
      </x:c>
      <x:c r="H34" s="904" t="n">
        <x:v>1338.02</x:v>
      </x:c>
      <x:c r="I34" s="904" t="n">
        <x:v>1328.13</x:v>
      </x:c>
      <x:c r="J34" s="904" t="n">
        <x:v>1334.65</x:v>
      </x:c>
      <x:c r="K34" s="901" t="n">
        <x:v>667074200</x:v>
      </x:c>
      <x:c r="L34" s="907" t="str">
        <x:v>SRC-P404</x:v>
      </x:c>
      <x:c r="M34" s="907" t="str">
        <x:v>VNStock API actual</x:v>
      </x:c>
      <x:c r="N34" s="1032" t="n">
        <x:v>46229.241747685184</x:v>
      </x:c>
    </x:row>
    <x:row r="35">
      <x:c r="A35" s="895" t="n">
        <x:v>44445</x:v>
      </x:c>
      <x:c r="B35" s="898" t="n">
        <x:v>39.26</x:v>
      </x:c>
      <x:c r="C35" s="898" t="n">
        <x:v>39.85</x:v>
      </x:c>
      <x:c r="D35" s="898" t="n">
        <x:v>38.66</x:v>
      </x:c>
      <x:c r="E35" s="898" t="n">
        <x:v>38.89</x:v>
      </x:c>
      <x:c r="F35" s="901" t="n">
        <x:v>4099300</x:v>
      </x:c>
      <x:c r="G35" s="904" t="n">
        <x:v>1334.65</x:v>
      </x:c>
      <x:c r="H35" s="904" t="n">
        <x:v>1348.36</x:v>
      </x:c>
      <x:c r="I35" s="904" t="n">
        <x:v>1334.65</x:v>
      </x:c>
      <x:c r="J35" s="904" t="n">
        <x:v>1346.39</x:v>
      </x:c>
      <x:c r="K35" s="901" t="n">
        <x:v>874672600</x:v>
      </x:c>
      <x:c r="L35" s="907" t="str">
        <x:v>SRC-P404</x:v>
      </x:c>
      <x:c r="M35" s="907" t="str">
        <x:v>VNStock API actual</x:v>
      </x:c>
      <x:c r="N35" s="1032" t="n">
        <x:v>46229.241747685184</x:v>
      </x:c>
    </x:row>
    <x:row r="36">
      <x:c r="A36" s="895" t="n">
        <x:v>44446</x:v>
      </x:c>
      <x:c r="B36" s="898" t="n">
        <x:v>38.66</x:v>
      </x:c>
      <x:c r="C36" s="898" t="n">
        <x:v>38.66</x:v>
      </x:c>
      <x:c r="D36" s="898" t="n">
        <x:v>37.48</x:v>
      </x:c>
      <x:c r="E36" s="898" t="n">
        <x:v>37.48</x:v>
      </x:c>
      <x:c r="F36" s="901" t="n">
        <x:v>6740700</x:v>
      </x:c>
      <x:c r="G36" s="904" t="n">
        <x:v>1346.39</x:v>
      </x:c>
      <x:c r="H36" s="904" t="n">
        <x:v>1353.66</x:v>
      </x:c>
      <x:c r="I36" s="904" t="n">
        <x:v>1340.32</x:v>
      </x:c>
      <x:c r="J36" s="904" t="n">
        <x:v>1341.9</x:v>
      </x:c>
      <x:c r="K36" s="901" t="n">
        <x:v>832845900</x:v>
      </x:c>
      <x:c r="L36" s="907" t="str">
        <x:v>SRC-P404</x:v>
      </x:c>
      <x:c r="M36" s="907" t="str">
        <x:v>VNStock API actual</x:v>
      </x:c>
      <x:c r="N36" s="1032" t="n">
        <x:v>46229.241747685184</x:v>
      </x:c>
    </x:row>
    <x:row r="37">
      <x:c r="A37" s="895" t="n">
        <x:v>44447</x:v>
      </x:c>
      <x:c r="B37" s="898" t="n">
        <x:v>37.48</x:v>
      </x:c>
      <x:c r="C37" s="898" t="n">
        <x:v>38.3</x:v>
      </x:c>
      <x:c r="D37" s="898" t="n">
        <x:v>37.04</x:v>
      </x:c>
      <x:c r="E37" s="898" t="n">
        <x:v>37.26</x:v>
      </x:c>
      <x:c r="F37" s="901" t="n">
        <x:v>2841100</x:v>
      </x:c>
      <x:c r="G37" s="904" t="n">
        <x:v>1341.9</x:v>
      </x:c>
      <x:c r="H37" s="904" t="n">
        <x:v>1344.49</x:v>
      </x:c>
      <x:c r="I37" s="904" t="n">
        <x:v>1328.35</x:v>
      </x:c>
      <x:c r="J37" s="904" t="n">
        <x:v>1333.61</x:v>
      </x:c>
      <x:c r="K37" s="901" t="n">
        <x:v>582036600</x:v>
      </x:c>
      <x:c r="L37" s="907" t="str">
        <x:v>SRC-P404</x:v>
      </x:c>
      <x:c r="M37" s="907" t="str">
        <x:v>VNStock API actual</x:v>
      </x:c>
      <x:c r="N37" s="1032" t="n">
        <x:v>46229.241747685184</x:v>
      </x:c>
    </x:row>
    <x:row r="38">
      <x:c r="A38" s="895" t="n">
        <x:v>44448</x:v>
      </x:c>
      <x:c r="B38" s="898" t="n">
        <x:v>37.63</x:v>
      </x:c>
      <x:c r="C38" s="898" t="n">
        <x:v>38.3</x:v>
      </x:c>
      <x:c r="D38" s="898" t="n">
        <x:v>37.34</x:v>
      </x:c>
      <x:c r="E38" s="898" t="n">
        <x:v>37.93</x:v>
      </x:c>
      <x:c r="F38" s="901" t="n">
        <x:v>2460200</x:v>
      </x:c>
      <x:c r="G38" s="904" t="n">
        <x:v>1333.61</x:v>
      </x:c>
      <x:c r="H38" s="904" t="n">
        <x:v>1345.59</x:v>
      </x:c>
      <x:c r="I38" s="904" t="n">
        <x:v>1332.67</x:v>
      </x:c>
      <x:c r="J38" s="904" t="n">
        <x:v>1343.98</x:v>
      </x:c>
      <x:c r="K38" s="901" t="n">
        <x:v>568663500</x:v>
      </x:c>
      <x:c r="L38" s="907" t="str">
        <x:v>SRC-P404</x:v>
      </x:c>
      <x:c r="M38" s="907" t="str">
        <x:v>VNStock API actual</x:v>
      </x:c>
      <x:c r="N38" s="1032" t="n">
        <x:v>46229.241747685184</x:v>
      </x:c>
    </x:row>
    <x:row r="39">
      <x:c r="A39" s="895" t="n">
        <x:v>44449</x:v>
      </x:c>
      <x:c r="B39" s="898" t="n">
        <x:v>38.07</x:v>
      </x:c>
      <x:c r="C39" s="898" t="n">
        <x:v>38.15</x:v>
      </x:c>
      <x:c r="D39" s="898" t="n">
        <x:v>37.48</x:v>
      </x:c>
      <x:c r="E39" s="898" t="n">
        <x:v>37.63</x:v>
      </x:c>
      <x:c r="F39" s="901" t="n">
        <x:v>2028000</x:v>
      </x:c>
      <x:c r="G39" s="904" t="n">
        <x:v>1343.98</x:v>
      </x:c>
      <x:c r="H39" s="904" t="n">
        <x:v>1350.43</x:v>
      </x:c>
      <x:c r="I39" s="904" t="n">
        <x:v>1343.98</x:v>
      </x:c>
      <x:c r="J39" s="904" t="n">
        <x:v>1345.31</x:v>
      </x:c>
      <x:c r="K39" s="901" t="n">
        <x:v>533105300</x:v>
      </x:c>
      <x:c r="L39" s="907" t="str">
        <x:v>SRC-P404</x:v>
      </x:c>
      <x:c r="M39" s="907" t="str">
        <x:v>VNStock API actual</x:v>
      </x:c>
      <x:c r="N39" s="1032" t="n">
        <x:v>46229.241747685184</x:v>
      </x:c>
    </x:row>
    <x:row r="40">
      <x:c r="A40" s="895" t="n">
        <x:v>44452</x:v>
      </x:c>
      <x:c r="B40" s="898" t="n">
        <x:v>37.63</x:v>
      </x:c>
      <x:c r="C40" s="898" t="n">
        <x:v>38.74</x:v>
      </x:c>
      <x:c r="D40" s="898" t="n">
        <x:v>36.78</x:v>
      </x:c>
      <x:c r="E40" s="898" t="n">
        <x:v>38.37</x:v>
      </x:c>
      <x:c r="F40" s="901" t="n">
        <x:v>4764600</x:v>
      </x:c>
      <x:c r="G40" s="904" t="n">
        <x:v>1345.31</x:v>
      </x:c>
      <x:c r="H40" s="904" t="n">
        <x:v>1350.69</x:v>
      </x:c>
      <x:c r="I40" s="904" t="n">
        <x:v>1340.5</x:v>
      </x:c>
      <x:c r="J40" s="904" t="n">
        <x:v>1341.43</x:v>
      </x:c>
      <x:c r="K40" s="901" t="n">
        <x:v>722319500</x:v>
      </x:c>
      <x:c r="L40" s="907" t="str">
        <x:v>SRC-P404</x:v>
      </x:c>
      <x:c r="M40" s="907" t="str">
        <x:v>VNStock API actual</x:v>
      </x:c>
      <x:c r="N40" s="1032" t="n">
        <x:v>46229.241747685184</x:v>
      </x:c>
    </x:row>
    <x:row r="41">
      <x:c r="A41" s="895" t="n">
        <x:v>44453</x:v>
      </x:c>
      <x:c r="B41" s="898" t="n">
        <x:v>38.52</x:v>
      </x:c>
      <x:c r="C41" s="898" t="n">
        <x:v>38.74</x:v>
      </x:c>
      <x:c r="D41" s="898" t="n">
        <x:v>37.63</x:v>
      </x:c>
      <x:c r="E41" s="898" t="n">
        <x:v>37.93</x:v>
      </x:c>
      <x:c r="F41" s="901" t="n">
        <x:v>1919700</x:v>
      </x:c>
      <x:c r="G41" s="904" t="n">
        <x:v>1341.43</x:v>
      </x:c>
      <x:c r="H41" s="904" t="n">
        <x:v>1349.13</x:v>
      </x:c>
      <x:c r="I41" s="904" t="n">
        <x:v>1336.84</x:v>
      </x:c>
      <x:c r="J41" s="904" t="n">
        <x:v>1339.7</x:v>
      </x:c>
      <x:c r="K41" s="901" t="n">
        <x:v>672819500</x:v>
      </x:c>
      <x:c r="L41" s="907" t="str">
        <x:v>SRC-P404</x:v>
      </x:c>
      <x:c r="M41" s="907" t="str">
        <x:v>VNStock API actual</x:v>
      </x:c>
      <x:c r="N41" s="1032" t="n">
        <x:v>46229.241747685184</x:v>
      </x:c>
    </x:row>
    <x:row r="42">
      <x:c r="A42" s="895" t="n">
        <x:v>44454</x:v>
      </x:c>
      <x:c r="B42" s="898" t="n">
        <x:v>37.85</x:v>
      </x:c>
      <x:c r="C42" s="898" t="n">
        <x:v>38.37</x:v>
      </x:c>
      <x:c r="D42" s="898" t="n">
        <x:v>37.63</x:v>
      </x:c>
      <x:c r="E42" s="898" t="n">
        <x:v>37.93</x:v>
      </x:c>
      <x:c r="F42" s="901" t="n">
        <x:v>1554100</x:v>
      </x:c>
      <x:c r="G42" s="904" t="n">
        <x:v>1339.7</x:v>
      </x:c>
      <x:c r="H42" s="904" t="n">
        <x:v>1347.7</x:v>
      </x:c>
      <x:c r="I42" s="904" t="n">
        <x:v>1334.97</x:v>
      </x:c>
      <x:c r="J42" s="904" t="n">
        <x:v>1345.83</x:v>
      </x:c>
      <x:c r="K42" s="901" t="n">
        <x:v>625538600</x:v>
      </x:c>
      <x:c r="L42" s="907" t="str">
        <x:v>SRC-P404</x:v>
      </x:c>
      <x:c r="M42" s="907" t="str">
        <x:v>VNStock API actual</x:v>
      </x:c>
      <x:c r="N42" s="1032" t="n">
        <x:v>46229.241747685184</x:v>
      </x:c>
    </x:row>
    <x:row r="43">
      <x:c r="A43" s="895" t="n">
        <x:v>44455</x:v>
      </x:c>
      <x:c r="B43" s="898" t="n">
        <x:v>37.93</x:v>
      </x:c>
      <x:c r="C43" s="898" t="n">
        <x:v>39.11</x:v>
      </x:c>
      <x:c r="D43" s="898" t="n">
        <x:v>37.78</x:v>
      </x:c>
      <x:c r="E43" s="898" t="n">
        <x:v>39.03</x:v>
      </x:c>
      <x:c r="F43" s="901" t="n">
        <x:v>4854000</x:v>
      </x:c>
      <x:c r="G43" s="904" t="n">
        <x:v>1345.83</x:v>
      </x:c>
      <x:c r="H43" s="904" t="n">
        <x:v>1353.12</x:v>
      </x:c>
      <x:c r="I43" s="904" t="n">
        <x:v>1341.23</x:v>
      </x:c>
      <x:c r="J43" s="904" t="n">
        <x:v>1345.87</x:v>
      </x:c>
      <x:c r="K43" s="901" t="n">
        <x:v>550023100</x:v>
      </x:c>
      <x:c r="L43" s="907" t="str">
        <x:v>SRC-P404</x:v>
      </x:c>
      <x:c r="M43" s="907" t="str">
        <x:v>VNStock API actual</x:v>
      </x:c>
      <x:c r="N43" s="1032" t="n">
        <x:v>46229.241747685184</x:v>
      </x:c>
    </x:row>
    <x:row r="44">
      <x:c r="A44" s="895" t="n">
        <x:v>44456</x:v>
      </x:c>
      <x:c r="B44" s="898" t="n">
        <x:v>39.4</x:v>
      </x:c>
      <x:c r="C44" s="898" t="n">
        <x:v>39.4</x:v>
      </x:c>
      <x:c r="D44" s="898" t="n">
        <x:v>38.66</x:v>
      </x:c>
      <x:c r="E44" s="898" t="n">
        <x:v>38.81</x:v>
      </x:c>
      <x:c r="F44" s="901" t="n">
        <x:v>1842900</x:v>
      </x:c>
      <x:c r="G44" s="904" t="n">
        <x:v>1345.87</x:v>
      </x:c>
      <x:c r="H44" s="904" t="n">
        <x:v>1356.45</x:v>
      </x:c>
      <x:c r="I44" s="904" t="n">
        <x:v>1345.87</x:v>
      </x:c>
      <x:c r="J44" s="904" t="n">
        <x:v>1352.64</x:v>
      </x:c>
      <x:c r="K44" s="901" t="n">
        <x:v>785574800</x:v>
      </x:c>
      <x:c r="L44" s="907" t="str">
        <x:v>SRC-P404</x:v>
      </x:c>
      <x:c r="M44" s="907" t="str">
        <x:v>VNStock API actual</x:v>
      </x:c>
      <x:c r="N44" s="1032" t="n">
        <x:v>46229.241747685184</x:v>
      </x:c>
    </x:row>
    <x:row r="45">
      <x:c r="A45" s="895" t="n">
        <x:v>44459</x:v>
      </x:c>
      <x:c r="B45" s="898" t="n">
        <x:v>39.11</x:v>
      </x:c>
      <x:c r="C45" s="898" t="n">
        <x:v>39.11</x:v>
      </x:c>
      <x:c r="D45" s="898" t="n">
        <x:v>37.48</x:v>
      </x:c>
      <x:c r="E45" s="898" t="n">
        <x:v>37.56</x:v>
      </x:c>
      <x:c r="F45" s="901" t="n">
        <x:v>3815300</x:v>
      </x:c>
      <x:c r="G45" s="904" t="n">
        <x:v>1352.64</x:v>
      </x:c>
      <x:c r="H45" s="904" t="n">
        <x:v>1365.92</x:v>
      </x:c>
      <x:c r="I45" s="904" t="n">
        <x:v>1349.18</x:v>
      </x:c>
      <x:c r="J45" s="904" t="n">
        <x:v>1350.48</x:v>
      </x:c>
      <x:c r="K45" s="901" t="n">
        <x:v>821369200</x:v>
      </x:c>
      <x:c r="L45" s="907" t="str">
        <x:v>SRC-P404</x:v>
      </x:c>
      <x:c r="M45" s="907" t="str">
        <x:v>VNStock API actual</x:v>
      </x:c>
      <x:c r="N45" s="1032" t="n">
        <x:v>46229.241747685184</x:v>
      </x:c>
    </x:row>
    <x:row r="46">
      <x:c r="A46" s="895" t="n">
        <x:v>44460</x:v>
      </x:c>
      <x:c r="B46" s="898" t="n">
        <x:v>36.97</x:v>
      </x:c>
      <x:c r="C46" s="898" t="n">
        <x:v>37.78</x:v>
      </x:c>
      <x:c r="D46" s="898" t="n">
        <x:v>36.52</x:v>
      </x:c>
      <x:c r="E46" s="898" t="n">
        <x:v>36.75</x:v>
      </x:c>
      <x:c r="F46" s="901" t="n">
        <x:v>5013100</x:v>
      </x:c>
      <x:c r="G46" s="904" t="n">
        <x:v>1350.48</x:v>
      </x:c>
      <x:c r="H46" s="904" t="n">
        <x:v>1350.48</x:v>
      </x:c>
      <x:c r="I46" s="904" t="n">
        <x:v>1324.82</x:v>
      </x:c>
      <x:c r="J46" s="904" t="n">
        <x:v>1339.84</x:v>
      </x:c>
      <x:c r="K46" s="901" t="n">
        <x:v>796167300</x:v>
      </x:c>
      <x:c r="L46" s="907" t="str">
        <x:v>SRC-P404</x:v>
      </x:c>
      <x:c r="M46" s="907" t="str">
        <x:v>VNStock API actual</x:v>
      </x:c>
      <x:c r="N46" s="1032" t="n">
        <x:v>46229.241747685184</x:v>
      </x:c>
    </x:row>
    <x:row r="47">
      <x:c r="A47" s="895" t="n">
        <x:v>44461</x:v>
      </x:c>
      <x:c r="B47" s="898" t="n">
        <x:v>36.97</x:v>
      </x:c>
      <x:c r="C47" s="898" t="n">
        <x:v>37.19</x:v>
      </x:c>
      <x:c r="D47" s="898" t="n">
        <x:v>36.67</x:v>
      </x:c>
      <x:c r="E47" s="898" t="n">
        <x:v>37.04</x:v>
      </x:c>
      <x:c r="F47" s="901" t="n">
        <x:v>2261500</x:v>
      </x:c>
      <x:c r="G47" s="904" t="n">
        <x:v>1339.84</x:v>
      </x:c>
      <x:c r="H47" s="904" t="n">
        <x:v>1350.71</x:v>
      </x:c>
      <x:c r="I47" s="904" t="n">
        <x:v>1336.63</x:v>
      </x:c>
      <x:c r="J47" s="904" t="n">
        <x:v>1350.68</x:v>
      </x:c>
      <x:c r="K47" s="901" t="n">
        <x:v>707468700</x:v>
      </x:c>
      <x:c r="L47" s="907" t="str">
        <x:v>SRC-P404</x:v>
      </x:c>
      <x:c r="M47" s="907" t="str">
        <x:v>VNStock API actual</x:v>
      </x:c>
      <x:c r="N47" s="1032" t="n">
        <x:v>46229.241747685184</x:v>
      </x:c>
    </x:row>
    <x:row r="48">
      <x:c r="A48" s="895" t="n">
        <x:v>44462</x:v>
      </x:c>
      <x:c r="B48" s="898" t="n">
        <x:v>37.04</x:v>
      </x:c>
      <x:c r="C48" s="898" t="n">
        <x:v>37.56</x:v>
      </x:c>
      <x:c r="D48" s="898" t="n">
        <x:v>36.75</x:v>
      </x:c>
      <x:c r="E48" s="898" t="n">
        <x:v>37.04</x:v>
      </x:c>
      <x:c r="F48" s="901" t="n">
        <x:v>2085500</x:v>
      </x:c>
      <x:c r="G48" s="904" t="n">
        <x:v>1350.68</x:v>
      </x:c>
      <x:c r="H48" s="904" t="n">
        <x:v>1361.09</x:v>
      </x:c>
      <x:c r="I48" s="904" t="n">
        <x:v>1350.43</x:v>
      </x:c>
      <x:c r="J48" s="904" t="n">
        <x:v>1352.76</x:v>
      </x:c>
      <x:c r="K48" s="901" t="n">
        <x:v>941137100</x:v>
      </x:c>
      <x:c r="L48" s="907" t="str">
        <x:v>SRC-P404</x:v>
      </x:c>
      <x:c r="M48" s="907" t="str">
        <x:v>VNStock API actual</x:v>
      </x:c>
      <x:c r="N48" s="1032" t="n">
        <x:v>46229.241747685184</x:v>
      </x:c>
    </x:row>
    <x:row r="49">
      <x:c r="A49" s="895" t="n">
        <x:v>44463</x:v>
      </x:c>
      <x:c r="B49" s="898" t="n">
        <x:v>36.89</x:v>
      </x:c>
      <x:c r="C49" s="898" t="n">
        <x:v>37.04</x:v>
      </x:c>
      <x:c r="D49" s="898" t="n">
        <x:v>35.42</x:v>
      </x:c>
      <x:c r="E49" s="898" t="n">
        <x:v>36.16</x:v>
      </x:c>
      <x:c r="F49" s="901" t="n">
        <x:v>3742600</x:v>
      </x:c>
      <x:c r="G49" s="904" t="n">
        <x:v>1352.76</x:v>
      </x:c>
      <x:c r="H49" s="904" t="n">
        <x:v>1356.97</x:v>
      </x:c>
      <x:c r="I49" s="904" t="n">
        <x:v>1348.07</x:v>
      </x:c>
      <x:c r="J49" s="904" t="n">
        <x:v>1351.17</x:v>
      </x:c>
      <x:c r="K49" s="901" t="n">
        <x:v>613583200</x:v>
      </x:c>
      <x:c r="L49" s="907" t="str">
        <x:v>SRC-P404</x:v>
      </x:c>
      <x:c r="M49" s="907" t="str">
        <x:v>VNStock API actual</x:v>
      </x:c>
      <x:c r="N49" s="1032" t="n">
        <x:v>46229.241747685184</x:v>
      </x:c>
    </x:row>
    <x:row r="50">
      <x:c r="A50" s="895" t="n">
        <x:v>44466</x:v>
      </x:c>
      <x:c r="B50" s="898" t="n">
        <x:v>36.16</x:v>
      </x:c>
      <x:c r="C50" s="898" t="n">
        <x:v>36.67</x:v>
      </x:c>
      <x:c r="D50" s="898" t="n">
        <x:v>35.12</x:v>
      </x:c>
      <x:c r="E50" s="898" t="n">
        <x:v>35.12</x:v>
      </x:c>
      <x:c r="F50" s="901" t="n">
        <x:v>2045500</x:v>
      </x:c>
      <x:c r="G50" s="904" t="n">
        <x:v>1351.17</x:v>
      </x:c>
      <x:c r="H50" s="904" t="n">
        <x:v>1354.38</x:v>
      </x:c>
      <x:c r="I50" s="904" t="n">
        <x:v>1324.99</x:v>
      </x:c>
      <x:c r="J50" s="904" t="n">
        <x:v>1324.99</x:v>
      </x:c>
      <x:c r="K50" s="901" t="n">
        <x:v>704752900</x:v>
      </x:c>
      <x:c r="L50" s="907" t="str">
        <x:v>SRC-P404</x:v>
      </x:c>
      <x:c r="M50" s="907" t="str">
        <x:v>VNStock API actual</x:v>
      </x:c>
      <x:c r="N50" s="1032" t="n">
        <x:v>46229.241747685184</x:v>
      </x:c>
    </x:row>
    <x:row r="51">
      <x:c r="A51" s="895" t="n">
        <x:v>44467</x:v>
      </x:c>
      <x:c r="B51" s="898" t="n">
        <x:v>34.9</x:v>
      </x:c>
      <x:c r="C51" s="898" t="n">
        <x:v>36.19</x:v>
      </x:c>
      <x:c r="D51" s="898" t="n">
        <x:v>34.68</x:v>
      </x:c>
      <x:c r="E51" s="898" t="n">
        <x:v>36.16</x:v>
      </x:c>
      <x:c r="F51" s="901" t="n">
        <x:v>1999000</x:v>
      </x:c>
      <x:c r="G51" s="904" t="n">
        <x:v>1324.99</x:v>
      </x:c>
      <x:c r="H51" s="904" t="n">
        <x:v>1341.81</x:v>
      </x:c>
      <x:c r="I51" s="904" t="n">
        <x:v>1316.41</x:v>
      </x:c>
      <x:c r="J51" s="904" t="n">
        <x:v>1339.31</x:v>
      </x:c>
      <x:c r="K51" s="901" t="n">
        <x:v>569826500</x:v>
      </x:c>
      <x:c r="L51" s="907" t="str">
        <x:v>SRC-P404</x:v>
      </x:c>
      <x:c r="M51" s="907" t="str">
        <x:v>VNStock API actual</x:v>
      </x:c>
      <x:c r="N51" s="1032" t="n">
        <x:v>46229.241747685184</x:v>
      </x:c>
    </x:row>
    <x:row r="52">
      <x:c r="A52" s="895" t="n">
        <x:v>44468</x:v>
      </x:c>
      <x:c r="B52" s="898" t="n">
        <x:v>35.57</x:v>
      </x:c>
      <x:c r="C52" s="898" t="n">
        <x:v>36.16</x:v>
      </x:c>
      <x:c r="D52" s="898" t="n">
        <x:v>35.53</x:v>
      </x:c>
      <x:c r="E52" s="898" t="n">
        <x:v>35.9</x:v>
      </x:c>
      <x:c r="F52" s="901" t="n">
        <x:v>1367100</x:v>
      </x:c>
      <x:c r="G52" s="904" t="n">
        <x:v>1339.31</x:v>
      </x:c>
      <x:c r="H52" s="904" t="n">
        <x:v>1340.9</x:v>
      </x:c>
      <x:c r="I52" s="904" t="n">
        <x:v>1328.17</x:v>
      </x:c>
      <x:c r="J52" s="904" t="n">
        <x:v>1339.21</x:v>
      </x:c>
      <x:c r="K52" s="901" t="n">
        <x:v>547814000</x:v>
      </x:c>
      <x:c r="L52" s="907" t="str">
        <x:v>SRC-P404</x:v>
      </x:c>
      <x:c r="M52" s="907" t="str">
        <x:v>VNStock API actual</x:v>
      </x:c>
      <x:c r="N52" s="1032" t="n">
        <x:v>46229.241747685184</x:v>
      </x:c>
    </x:row>
    <x:row r="53">
      <x:c r="A53" s="895" t="n">
        <x:v>44469</x:v>
      </x:c>
      <x:c r="B53" s="898" t="n">
        <x:v>35.97</x:v>
      </x:c>
      <x:c r="C53" s="898" t="n">
        <x:v>37.04</x:v>
      </x:c>
      <x:c r="D53" s="898" t="n">
        <x:v>35.93</x:v>
      </x:c>
      <x:c r="E53" s="898" t="n">
        <x:v>36.6</x:v>
      </x:c>
      <x:c r="F53" s="901" t="n">
        <x:v>1232100</x:v>
      </x:c>
      <x:c r="G53" s="904" t="n">
        <x:v>1339.21</x:v>
      </x:c>
      <x:c r="H53" s="904" t="n">
        <x:v>1348.89</x:v>
      </x:c>
      <x:c r="I53" s="904" t="n">
        <x:v>1339.21</x:v>
      </x:c>
      <x:c r="J53" s="904" t="n">
        <x:v>1342.06</x:v>
      </x:c>
      <x:c r="K53" s="901" t="n">
        <x:v>423750600</x:v>
      </x:c>
      <x:c r="L53" s="907" t="str">
        <x:v>SRC-P404</x:v>
      </x:c>
      <x:c r="M53" s="907" t="str">
        <x:v>VNStock API actual</x:v>
      </x:c>
      <x:c r="N53" s="1032" t="n">
        <x:v>46229.241747685184</x:v>
      </x:c>
    </x:row>
    <x:row r="54">
      <x:c r="A54" s="895" t="n">
        <x:v>44470</x:v>
      </x:c>
      <x:c r="B54" s="898" t="n">
        <x:v>36.38</x:v>
      </x:c>
      <x:c r="C54" s="898" t="n">
        <x:v>36.86</x:v>
      </x:c>
      <x:c r="D54" s="898" t="n">
        <x:v>35.79</x:v>
      </x:c>
      <x:c r="E54" s="898" t="n">
        <x:v>35.93</x:v>
      </x:c>
      <x:c r="F54" s="901" t="n">
        <x:v>1634600</x:v>
      </x:c>
      <x:c r="G54" s="904" t="n">
        <x:v>1342.06</x:v>
      </x:c>
      <x:c r="H54" s="904" t="n">
        <x:v>1344.06</x:v>
      </x:c>
      <x:c r="I54" s="904" t="n">
        <x:v>1332.97</x:v>
      </x:c>
      <x:c r="J54" s="904" t="n">
        <x:v>1334.89</x:v>
      </x:c>
      <x:c r="K54" s="901" t="n">
        <x:v>586980600</x:v>
      </x:c>
      <x:c r="L54" s="907" t="str">
        <x:v>SRC-P404</x:v>
      </x:c>
      <x:c r="M54" s="907" t="str">
        <x:v>VNStock API actual</x:v>
      </x:c>
      <x:c r="N54" s="1032" t="n">
        <x:v>46229.241747685184</x:v>
      </x:c>
    </x:row>
    <x:row r="55">
      <x:c r="A55" s="895" t="n">
        <x:v>44473</x:v>
      </x:c>
      <x:c r="B55" s="898" t="n">
        <x:v>35.93</x:v>
      </x:c>
      <x:c r="C55" s="898" t="n">
        <x:v>37.12</x:v>
      </x:c>
      <x:c r="D55" s="898" t="n">
        <x:v>35.93</x:v>
      </x:c>
      <x:c r="E55" s="898" t="n">
        <x:v>36.38</x:v>
      </x:c>
      <x:c r="F55" s="901" t="n">
        <x:v>2609100</x:v>
      </x:c>
      <x:c r="G55" s="904" t="n">
        <x:v>1334.89</x:v>
      </x:c>
      <x:c r="H55" s="904" t="n">
        <x:v>1347.49</x:v>
      </x:c>
      <x:c r="I55" s="904" t="n">
        <x:v>1333.53</x:v>
      </x:c>
      <x:c r="J55" s="904" t="n">
        <x:v>1339.54</x:v>
      </x:c>
      <x:c r="K55" s="901" t="n">
        <x:v>684922300</x:v>
      </x:c>
      <x:c r="L55" s="907" t="str">
        <x:v>SRC-P404</x:v>
      </x:c>
      <x:c r="M55" s="907" t="str">
        <x:v>VNStock API actual</x:v>
      </x:c>
      <x:c r="N55" s="1032" t="n">
        <x:v>46229.241747685184</x:v>
      </x:c>
    </x:row>
    <x:row r="56">
      <x:c r="A56" s="895" t="n">
        <x:v>44474</x:v>
      </x:c>
      <x:c r="B56" s="898" t="n">
        <x:v>36.16</x:v>
      </x:c>
      <x:c r="C56" s="898" t="n">
        <x:v>36.38</x:v>
      </x:c>
      <x:c r="D56" s="898" t="n">
        <x:v>35.6</x:v>
      </x:c>
      <x:c r="E56" s="898" t="n">
        <x:v>35.6</x:v>
      </x:c>
      <x:c r="F56" s="901" t="n">
        <x:v>3092800</x:v>
      </x:c>
      <x:c r="G56" s="904" t="n">
        <x:v>1339.54</x:v>
      </x:c>
      <x:c r="H56" s="904" t="n">
        <x:v>1354.63</x:v>
      </x:c>
      <x:c r="I56" s="904" t="n">
        <x:v>1339.54</x:v>
      </x:c>
      <x:c r="J56" s="904" t="n">
        <x:v>1354.63</x:v>
      </x:c>
      <x:c r="K56" s="901" t="n">
        <x:v>558376400</x:v>
      </x:c>
      <x:c r="L56" s="907" t="str">
        <x:v>SRC-P404</x:v>
      </x:c>
      <x:c r="M56" s="907" t="str">
        <x:v>VNStock API actual</x:v>
      </x:c>
      <x:c r="N56" s="1032" t="n">
        <x:v>46229.241747685184</x:v>
      </x:c>
    </x:row>
    <x:row r="57">
      <x:c r="A57" s="895" t="n">
        <x:v>44475</x:v>
      </x:c>
      <x:c r="B57" s="898" t="n">
        <x:v>35.64</x:v>
      </x:c>
      <x:c r="C57" s="898" t="n">
        <x:v>35.93</x:v>
      </x:c>
      <x:c r="D57" s="898" t="n">
        <x:v>35.2</x:v>
      </x:c>
      <x:c r="E57" s="898" t="n">
        <x:v>35.42</x:v>
      </x:c>
      <x:c r="F57" s="901" t="n">
        <x:v>2581600</x:v>
      </x:c>
      <x:c r="G57" s="904" t="n">
        <x:v>1354.63</x:v>
      </x:c>
      <x:c r="H57" s="904" t="n">
        <x:v>1362.82</x:v>
      </x:c>
      <x:c r="I57" s="904" t="n">
        <x:v>1354.63</x:v>
      </x:c>
      <x:c r="J57" s="904" t="n">
        <x:v>1362.82</x:v>
      </x:c>
      <x:c r="K57" s="901" t="n">
        <x:v>576985600</x:v>
      </x:c>
      <x:c r="L57" s="907" t="str">
        <x:v>SRC-P404</x:v>
      </x:c>
      <x:c r="M57" s="907" t="str">
        <x:v>VNStock API actual</x:v>
      </x:c>
      <x:c r="N57" s="1032" t="n">
        <x:v>46229.241747685184</x:v>
      </x:c>
    </x:row>
    <x:row r="58">
      <x:c r="A58" s="895" t="n">
        <x:v>44476</x:v>
      </x:c>
      <x:c r="B58" s="898" t="n">
        <x:v>35.49</x:v>
      </x:c>
      <x:c r="C58" s="898" t="n">
        <x:v>36.78</x:v>
      </x:c>
      <x:c r="D58" s="898" t="n">
        <x:v>35.42</x:v>
      </x:c>
      <x:c r="E58" s="898" t="n">
        <x:v>36.67</x:v>
      </x:c>
      <x:c r="F58" s="901" t="n">
        <x:v>3768400</x:v>
      </x:c>
      <x:c r="G58" s="904" t="n">
        <x:v>1362.82</x:v>
      </x:c>
      <x:c r="H58" s="904" t="n">
        <x:v>1367.64</x:v>
      </x:c>
      <x:c r="I58" s="904" t="n">
        <x:v>1360.57</x:v>
      </x:c>
      <x:c r="J58" s="904" t="n">
        <x:v>1365.99</x:v>
      </x:c>
      <x:c r="K58" s="901" t="n">
        <x:v>642146400</x:v>
      </x:c>
      <x:c r="L58" s="907" t="str">
        <x:v>SRC-P404</x:v>
      </x:c>
      <x:c r="M58" s="907" t="str">
        <x:v>VNStock API actual</x:v>
      </x:c>
      <x:c r="N58" s="1032" t="n">
        <x:v>46229.241747685184</x:v>
      </x:c>
    </x:row>
    <x:row r="59">
      <x:c r="A59" s="895" t="n">
        <x:v>44477</x:v>
      </x:c>
      <x:c r="B59" s="898" t="n">
        <x:v>36.89</x:v>
      </x:c>
      <x:c r="C59" s="898" t="n">
        <x:v>38.37</x:v>
      </x:c>
      <x:c r="D59" s="898" t="n">
        <x:v>36.89</x:v>
      </x:c>
      <x:c r="E59" s="898" t="n">
        <x:v>37.78</x:v>
      </x:c>
      <x:c r="F59" s="901" t="n">
        <x:v>4968600</x:v>
      </x:c>
      <x:c r="G59" s="904" t="n">
        <x:v>1365.99</x:v>
      </x:c>
      <x:c r="H59" s="904" t="n">
        <x:v>1373.18</x:v>
      </x:c>
      <x:c r="I59" s="904" t="n">
        <x:v>1365.93</x:v>
      </x:c>
      <x:c r="J59" s="904" t="n">
        <x:v>1372.73</x:v>
      </x:c>
      <x:c r="K59" s="901" t="n">
        <x:v>583226400</x:v>
      </x:c>
      <x:c r="L59" s="907" t="str">
        <x:v>SRC-P404</x:v>
      </x:c>
      <x:c r="M59" s="907" t="str">
        <x:v>VNStock API actual</x:v>
      </x:c>
      <x:c r="N59" s="1032" t="n">
        <x:v>46229.241747685184</x:v>
      </x:c>
    </x:row>
    <x:row r="60">
      <x:c r="A60" s="895" t="n">
        <x:v>44480</x:v>
      </x:c>
      <x:c r="B60" s="898" t="n">
        <x:v>38</x:v>
      </x:c>
      <x:c r="C60" s="898" t="n">
        <x:v>38.15</x:v>
      </x:c>
      <x:c r="D60" s="898" t="n">
        <x:v>37.26</x:v>
      </x:c>
      <x:c r="E60" s="898" t="n">
        <x:v>37.63</x:v>
      </x:c>
      <x:c r="F60" s="901" t="n">
        <x:v>2910600</x:v>
      </x:c>
      <x:c r="G60" s="904" t="n">
        <x:v>1372.73</x:v>
      </x:c>
      <x:c r="H60" s="904" t="n">
        <x:v>1394.64</x:v>
      </x:c>
      <x:c r="I60" s="904" t="n">
        <x:v>1372.73</x:v>
      </x:c>
      <x:c r="J60" s="904" t="n">
        <x:v>1394.09</x:v>
      </x:c>
      <x:c r="K60" s="901" t="n">
        <x:v>697518700</x:v>
      </x:c>
      <x:c r="L60" s="907" t="str">
        <x:v>SRC-P404</x:v>
      </x:c>
      <x:c r="M60" s="907" t="str">
        <x:v>VNStock API actual</x:v>
      </x:c>
      <x:c r="N60" s="1032" t="n">
        <x:v>46229.241747685184</x:v>
      </x:c>
    </x:row>
    <x:row r="61">
      <x:c r="A61" s="895" t="n">
        <x:v>44481</x:v>
      </x:c>
      <x:c r="B61" s="898" t="n">
        <x:v>37.63</x:v>
      </x:c>
      <x:c r="C61" s="898" t="n">
        <x:v>37.63</x:v>
      </x:c>
      <x:c r="D61" s="898" t="n">
        <x:v>36.89</x:v>
      </x:c>
      <x:c r="E61" s="898" t="n">
        <x:v>37.26</x:v>
      </x:c>
      <x:c r="F61" s="901" t="n">
        <x:v>4179100</x:v>
      </x:c>
      <x:c r="G61" s="904" t="n">
        <x:v>1394.09</x:v>
      </x:c>
      <x:c r="H61" s="904" t="n">
        <x:v>1400.78</x:v>
      </x:c>
      <x:c r="I61" s="904" t="n">
        <x:v>1389.43</x:v>
      </x:c>
      <x:c r="J61" s="904" t="n">
        <x:v>1394.8</x:v>
      </x:c>
      <x:c r="K61" s="901" t="n">
        <x:v>683357500</x:v>
      </x:c>
      <x:c r="L61" s="907" t="str">
        <x:v>SRC-P404</x:v>
      </x:c>
      <x:c r="M61" s="907" t="str">
        <x:v>VNStock API actual</x:v>
      </x:c>
      <x:c r="N61" s="1032" t="n">
        <x:v>46229.241747685184</x:v>
      </x:c>
    </x:row>
    <x:row r="62">
      <x:c r="A62" s="895" t="n">
        <x:v>44482</x:v>
      </x:c>
      <x:c r="B62" s="898" t="n">
        <x:v>37.41</x:v>
      </x:c>
      <x:c r="C62" s="898" t="n">
        <x:v>37.85</x:v>
      </x:c>
      <x:c r="D62" s="898" t="n">
        <x:v>36.97</x:v>
      </x:c>
      <x:c r="E62" s="898" t="n">
        <x:v>37.26</x:v>
      </x:c>
      <x:c r="F62" s="901" t="n">
        <x:v>3521700</x:v>
      </x:c>
      <x:c r="G62" s="904" t="n">
        <x:v>1394.8</x:v>
      </x:c>
      <x:c r="H62" s="904" t="n">
        <x:v>1400.67</x:v>
      </x:c>
      <x:c r="I62" s="904" t="n">
        <x:v>1389.61</x:v>
      </x:c>
      <x:c r="J62" s="904" t="n">
        <x:v>1391.91</x:v>
      </x:c>
      <x:c r="K62" s="901" t="n">
        <x:v>582912400</x:v>
      </x:c>
      <x:c r="L62" s="907" t="str">
        <x:v>SRC-P404</x:v>
      </x:c>
      <x:c r="M62" s="907" t="str">
        <x:v>VNStock API actual</x:v>
      </x:c>
      <x:c r="N62" s="1032" t="n">
        <x:v>46229.241747685184</x:v>
      </x:c>
    </x:row>
    <x:row r="63">
      <x:c r="A63" s="895" t="n">
        <x:v>44483</x:v>
      </x:c>
      <x:c r="B63" s="898" t="n">
        <x:v>37.26</x:v>
      </x:c>
      <x:c r="C63" s="898" t="n">
        <x:v>38.37</x:v>
      </x:c>
      <x:c r="D63" s="898" t="n">
        <x:v>37.12</x:v>
      </x:c>
      <x:c r="E63" s="898" t="n">
        <x:v>37.78</x:v>
      </x:c>
      <x:c r="F63" s="901" t="n">
        <x:v>4930100</x:v>
      </x:c>
      <x:c r="G63" s="904" t="n">
        <x:v>1391.91</x:v>
      </x:c>
      <x:c r="H63" s="904" t="n">
        <x:v>1398.67</x:v>
      </x:c>
      <x:c r="I63" s="904" t="n">
        <x:v>1388.89</x:v>
      </x:c>
      <x:c r="J63" s="904" t="n">
        <x:v>1391.85</x:v>
      </x:c>
      <x:c r="K63" s="901" t="n">
        <x:v>671090900</x:v>
      </x:c>
      <x:c r="L63" s="907" t="str">
        <x:v>SRC-P404</x:v>
      </x:c>
      <x:c r="M63" s="907" t="str">
        <x:v>VNStock API actual</x:v>
      </x:c>
      <x:c r="N63" s="1032" t="n">
        <x:v>46229.241747685184</x:v>
      </x:c>
    </x:row>
    <x:row r="64">
      <x:c r="A64" s="895" t="n">
        <x:v>44484</x:v>
      </x:c>
      <x:c r="B64" s="898" t="n">
        <x:v>37.93</x:v>
      </x:c>
      <x:c r="C64" s="898" t="n">
        <x:v>38.15</x:v>
      </x:c>
      <x:c r="D64" s="898" t="n">
        <x:v>37.34</x:v>
      </x:c>
      <x:c r="E64" s="898" t="n">
        <x:v>37.56</x:v>
      </x:c>
      <x:c r="F64" s="901" t="n">
        <x:v>2379200</x:v>
      </x:c>
      <x:c r="G64" s="904" t="n">
        <x:v>1391.85</x:v>
      </x:c>
      <x:c r="H64" s="904" t="n">
        <x:v>1399.03</x:v>
      </x:c>
      <x:c r="I64" s="904" t="n">
        <x:v>1388</x:v>
      </x:c>
      <x:c r="J64" s="904" t="n">
        <x:v>1392.7</x:v>
      </x:c>
      <x:c r="K64" s="901" t="n">
        <x:v>711550400</x:v>
      </x:c>
      <x:c r="L64" s="907" t="str">
        <x:v>SRC-P404</x:v>
      </x:c>
      <x:c r="M64" s="907" t="str">
        <x:v>VNStock API actual</x:v>
      </x:c>
      <x:c r="N64" s="1032" t="n">
        <x:v>46229.241747685184</x:v>
      </x:c>
    </x:row>
    <x:row r="65">
      <x:c r="A65" s="895" t="n">
        <x:v>44487</x:v>
      </x:c>
      <x:c r="B65" s="898" t="n">
        <x:v>37.63</x:v>
      </x:c>
      <x:c r="C65" s="898" t="n">
        <x:v>38.74</x:v>
      </x:c>
      <x:c r="D65" s="898" t="n">
        <x:v>37.56</x:v>
      </x:c>
      <x:c r="E65" s="898" t="n">
        <x:v>38</x:v>
      </x:c>
      <x:c r="F65" s="901" t="n">
        <x:v>7102100</x:v>
      </x:c>
      <x:c r="G65" s="904" t="n">
        <x:v>1392.7</x:v>
      </x:c>
      <x:c r="H65" s="904" t="n">
        <x:v>1402.63</x:v>
      </x:c>
      <x:c r="I65" s="904" t="n">
        <x:v>1390.88</x:v>
      </x:c>
      <x:c r="J65" s="904" t="n">
        <x:v>1395.53</x:v>
      </x:c>
      <x:c r="K65" s="901" t="n">
        <x:v>741454800</x:v>
      </x:c>
      <x:c r="L65" s="907" t="str">
        <x:v>SRC-P404</x:v>
      </x:c>
      <x:c r="M65" s="907" t="str">
        <x:v>VNStock API actual</x:v>
      </x:c>
      <x:c r="N65" s="1032" t="n">
        <x:v>46229.241747685184</x:v>
      </x:c>
    </x:row>
    <x:row r="66">
      <x:c r="A66" s="895" t="n">
        <x:v>44488</x:v>
      </x:c>
      <x:c r="B66" s="898" t="n">
        <x:v>38.15</x:v>
      </x:c>
      <x:c r="C66" s="898" t="n">
        <x:v>38.52</x:v>
      </x:c>
      <x:c r="D66" s="898" t="n">
        <x:v>37.78</x:v>
      </x:c>
      <x:c r="E66" s="898" t="n">
        <x:v>38</x:v>
      </x:c>
      <x:c r="F66" s="901" t="n">
        <x:v>2729300</x:v>
      </x:c>
      <x:c r="G66" s="904" t="n">
        <x:v>1395.53</x:v>
      </x:c>
      <x:c r="H66" s="904" t="n">
        <x:v>1399.66</x:v>
      </x:c>
      <x:c r="I66" s="904" t="n">
        <x:v>1388.95</x:v>
      </x:c>
      <x:c r="J66" s="904" t="n">
        <x:v>1395.33</x:v>
      </x:c>
      <x:c r="K66" s="901" t="n">
        <x:v>583394100</x:v>
      </x:c>
      <x:c r="L66" s="907" t="str">
        <x:v>SRC-P404</x:v>
      </x:c>
      <x:c r="M66" s="907" t="str">
        <x:v>VNStock API actual</x:v>
      </x:c>
      <x:c r="N66" s="1032" t="n">
        <x:v>46229.241747685184</x:v>
      </x:c>
    </x:row>
    <x:row r="67">
      <x:c r="A67" s="895" t="n">
        <x:v>44489</x:v>
      </x:c>
      <x:c r="B67" s="898" t="n">
        <x:v>38</x:v>
      </x:c>
      <x:c r="C67" s="898" t="n">
        <x:v>38.15</x:v>
      </x:c>
      <x:c r="D67" s="898" t="n">
        <x:v>36.97</x:v>
      </x:c>
      <x:c r="E67" s="898" t="n">
        <x:v>37.34</x:v>
      </x:c>
      <x:c r="F67" s="901" t="n">
        <x:v>3270800</x:v>
      </x:c>
      <x:c r="G67" s="904" t="n">
        <x:v>1395.33</x:v>
      </x:c>
      <x:c r="H67" s="904" t="n">
        <x:v>1401.76</x:v>
      </x:c>
      <x:c r="I67" s="904" t="n">
        <x:v>1376.15</x:v>
      </x:c>
      <x:c r="J67" s="904" t="n">
        <x:v>1393.8</x:v>
      </x:c>
      <x:c r="K67" s="901" t="n">
        <x:v>775436500</x:v>
      </x:c>
      <x:c r="L67" s="907" t="str">
        <x:v>SRC-P404</x:v>
      </x:c>
      <x:c r="M67" s="907" t="str">
        <x:v>VNStock API actual</x:v>
      </x:c>
      <x:c r="N67" s="1032" t="n">
        <x:v>46229.241747685184</x:v>
      </x:c>
    </x:row>
    <x:row r="68">
      <x:c r="A68" s="895" t="n">
        <x:v>44490</x:v>
      </x:c>
      <x:c r="B68" s="898" t="n">
        <x:v>37.34</x:v>
      </x:c>
      <x:c r="C68" s="898" t="n">
        <x:v>37.34</x:v>
      </x:c>
      <x:c r="D68" s="898" t="n">
        <x:v>36.75</x:v>
      </x:c>
      <x:c r="E68" s="898" t="n">
        <x:v>36.97</x:v>
      </x:c>
      <x:c r="F68" s="901" t="n">
        <x:v>3902600</x:v>
      </x:c>
      <x:c r="G68" s="904" t="n">
        <x:v>1393.8</x:v>
      </x:c>
      <x:c r="H68" s="904" t="n">
        <x:v>1398.45</x:v>
      </x:c>
      <x:c r="I68" s="904" t="n">
        <x:v>1384.77</x:v>
      </x:c>
      <x:c r="J68" s="904" t="n">
        <x:v>1384.77</x:v>
      </x:c>
      <x:c r="K68" s="901" t="n">
        <x:v>660491700</x:v>
      </x:c>
      <x:c r="L68" s="907" t="str">
        <x:v>SRC-P404</x:v>
      </x:c>
      <x:c r="M68" s="907" t="str">
        <x:v>VNStock API actual</x:v>
      </x:c>
      <x:c r="N68" s="1032" t="n">
        <x:v>46229.241747685184</x:v>
      </x:c>
    </x:row>
    <x:row r="69">
      <x:c r="A69" s="895" t="n">
        <x:v>44491</x:v>
      </x:c>
      <x:c r="B69" s="898" t="n">
        <x:v>36.97</x:v>
      </x:c>
      <x:c r="C69" s="898" t="n">
        <x:v>37.04</x:v>
      </x:c>
      <x:c r="D69" s="898" t="n">
        <x:v>36.38</x:v>
      </x:c>
      <x:c r="E69" s="898" t="n">
        <x:v>36.67</x:v>
      </x:c>
      <x:c r="F69" s="901" t="n">
        <x:v>3895500</x:v>
      </x:c>
      <x:c r="G69" s="904" t="n">
        <x:v>1384.77</x:v>
      </x:c>
      <x:c r="H69" s="904" t="n">
        <x:v>1393.7</x:v>
      </x:c>
      <x:c r="I69" s="904" t="n">
        <x:v>1384.77</x:v>
      </x:c>
      <x:c r="J69" s="904" t="n">
        <x:v>1389.24</x:v>
      </x:c>
      <x:c r="K69" s="901" t="n">
        <x:v>723134800</x:v>
      </x:c>
      <x:c r="L69" s="907" t="str">
        <x:v>SRC-P404</x:v>
      </x:c>
      <x:c r="M69" s="907" t="str">
        <x:v>VNStock API actual</x:v>
      </x:c>
      <x:c r="N69" s="1032" t="n">
        <x:v>46229.241747685184</x:v>
      </x:c>
    </x:row>
    <x:row r="70">
      <x:c r="A70" s="895" t="n">
        <x:v>44494</x:v>
      </x:c>
      <x:c r="B70" s="898" t="n">
        <x:v>36.52</x:v>
      </x:c>
      <x:c r="C70" s="898" t="n">
        <x:v>37.85</x:v>
      </x:c>
      <x:c r="D70" s="898" t="n">
        <x:v>36.3</x:v>
      </x:c>
      <x:c r="E70" s="898" t="n">
        <x:v>36.89</x:v>
      </x:c>
      <x:c r="F70" s="901" t="n">
        <x:v>3030000</x:v>
      </x:c>
      <x:c r="G70" s="904" t="n">
        <x:v>1389.24</x:v>
      </x:c>
      <x:c r="H70" s="904" t="n">
        <x:v>1395.72</x:v>
      </x:c>
      <x:c r="I70" s="904" t="n">
        <x:v>1385.4</x:v>
      </x:c>
      <x:c r="J70" s="904" t="n">
        <x:v>1385.4</x:v>
      </x:c>
      <x:c r="K70" s="901" t="n">
        <x:v>842037500</x:v>
      </x:c>
      <x:c r="L70" s="907" t="str">
        <x:v>SRC-P404</x:v>
      </x:c>
      <x:c r="M70" s="907" t="str">
        <x:v>VNStock API actual</x:v>
      </x:c>
      <x:c r="N70" s="1032" t="n">
        <x:v>46229.241747685184</x:v>
      </x:c>
    </x:row>
    <x:row r="71">
      <x:c r="A71" s="895" t="n">
        <x:v>44495</x:v>
      </x:c>
      <x:c r="B71" s="898" t="n">
        <x:v>36.89</x:v>
      </x:c>
      <x:c r="C71" s="898" t="n">
        <x:v>37.63</x:v>
      </x:c>
      <x:c r="D71" s="898" t="n">
        <x:v>36.41</x:v>
      </x:c>
      <x:c r="E71" s="898" t="n">
        <x:v>37.19</x:v>
      </x:c>
      <x:c r="F71" s="901" t="n">
        <x:v>2020100</x:v>
      </x:c>
      <x:c r="G71" s="904" t="n">
        <x:v>1385.4</x:v>
      </x:c>
      <x:c r="H71" s="904" t="n">
        <x:v>1393.03</x:v>
      </x:c>
      <x:c r="I71" s="904" t="n">
        <x:v>1377.56</x:v>
      </x:c>
      <x:c r="J71" s="904" t="n">
        <x:v>1391.63</x:v>
      </x:c>
      <x:c r="K71" s="901" t="n">
        <x:v>667788500</x:v>
      </x:c>
      <x:c r="L71" s="907" t="str">
        <x:v>SRC-P404</x:v>
      </x:c>
      <x:c r="M71" s="907" t="str">
        <x:v>VNStock API actual</x:v>
      </x:c>
      <x:c r="N71" s="1032" t="n">
        <x:v>46229.241747685184</x:v>
      </x:c>
    </x:row>
    <x:row r="72">
      <x:c r="A72" s="895" t="n">
        <x:v>44496</x:v>
      </x:c>
      <x:c r="B72" s="898" t="n">
        <x:v>37.26</x:v>
      </x:c>
      <x:c r="C72" s="898" t="n">
        <x:v>38</x:v>
      </x:c>
      <x:c r="D72" s="898" t="n">
        <x:v>37.26</x:v>
      </x:c>
      <x:c r="E72" s="898" t="n">
        <x:v>37.71</x:v>
      </x:c>
      <x:c r="F72" s="901" t="n">
        <x:v>4309800</x:v>
      </x:c>
      <x:c r="G72" s="904" t="n">
        <x:v>1391.63</x:v>
      </x:c>
      <x:c r="H72" s="904" t="n">
        <x:v>1423.02</x:v>
      </x:c>
      <x:c r="I72" s="904" t="n">
        <x:v>1391.63</x:v>
      </x:c>
      <x:c r="J72" s="904" t="n">
        <x:v>1423.02</x:v>
      </x:c>
      <x:c r="K72" s="901" t="n">
        <x:v>833096300</x:v>
      </x:c>
      <x:c r="L72" s="907" t="str">
        <x:v>SRC-P404</x:v>
      </x:c>
      <x:c r="M72" s="907" t="str">
        <x:v>VNStock API actual</x:v>
      </x:c>
      <x:c r="N72" s="1032" t="n">
        <x:v>46229.241747685184</x:v>
      </x:c>
    </x:row>
    <x:row r="73">
      <x:c r="A73" s="895" t="n">
        <x:v>44497</x:v>
      </x:c>
      <x:c r="B73" s="898" t="n">
        <x:v>37.71</x:v>
      </x:c>
      <x:c r="C73" s="898" t="n">
        <x:v>38.89</x:v>
      </x:c>
      <x:c r="D73" s="898" t="n">
        <x:v>37.63</x:v>
      </x:c>
      <x:c r="E73" s="898" t="n">
        <x:v>38.59</x:v>
      </x:c>
      <x:c r="F73" s="901" t="n">
        <x:v>6615400</x:v>
      </x:c>
      <x:c r="G73" s="904" t="n">
        <x:v>1423.02</x:v>
      </x:c>
      <x:c r="H73" s="904" t="n">
        <x:v>1440.64</x:v>
      </x:c>
      <x:c r="I73" s="904" t="n">
        <x:v>1420.42</x:v>
      </x:c>
      <x:c r="J73" s="904" t="n">
        <x:v>1438.01</x:v>
      </x:c>
      <x:c r="K73" s="901" t="n">
        <x:v>795476100</x:v>
      </x:c>
      <x:c r="L73" s="907" t="str">
        <x:v>SRC-P404</x:v>
      </x:c>
      <x:c r="M73" s="907" t="str">
        <x:v>VNStock API actual</x:v>
      </x:c>
      <x:c r="N73" s="1032" t="n">
        <x:v>46229.241747685184</x:v>
      </x:c>
    </x:row>
    <x:row r="74">
      <x:c r="A74" s="895" t="n">
        <x:v>44498</x:v>
      </x:c>
      <x:c r="B74" s="898" t="n">
        <x:v>38.81</x:v>
      </x:c>
      <x:c r="C74" s="898" t="n">
        <x:v>39.26</x:v>
      </x:c>
      <x:c r="D74" s="898" t="n">
        <x:v>38.15</x:v>
      </x:c>
      <x:c r="E74" s="898" t="n">
        <x:v>38.59</x:v>
      </x:c>
      <x:c r="F74" s="901" t="n">
        <x:v>3814500</x:v>
      </x:c>
      <x:c r="G74" s="904" t="n">
        <x:v>1438.01</x:v>
      </x:c>
      <x:c r="H74" s="904" t="n">
        <x:v>1447.62</x:v>
      </x:c>
      <x:c r="I74" s="904" t="n">
        <x:v>1432.19</x:v>
      </x:c>
      <x:c r="J74" s="904" t="n">
        <x:v>1444.27</x:v>
      </x:c>
      <x:c r="K74" s="901" t="n">
        <x:v>904699600</x:v>
      </x:c>
      <x:c r="L74" s="907" t="str">
        <x:v>SRC-P404</x:v>
      </x:c>
      <x:c r="M74" s="907" t="str">
        <x:v>VNStock API actual</x:v>
      </x:c>
      <x:c r="N74" s="1032" t="n">
        <x:v>46229.241747685184</x:v>
      </x:c>
    </x:row>
    <x:row r="75">
      <x:c r="A75" s="895" t="n">
        <x:v>44501</x:v>
      </x:c>
      <x:c r="B75" s="898" t="n">
        <x:v>39.03</x:v>
      </x:c>
      <x:c r="C75" s="898" t="n">
        <x:v>39.03</x:v>
      </x:c>
      <x:c r="D75" s="898" t="n">
        <x:v>37.85</x:v>
      </x:c>
      <x:c r="E75" s="898" t="n">
        <x:v>38.07</x:v>
      </x:c>
      <x:c r="F75" s="901" t="n">
        <x:v>3998900</x:v>
      </x:c>
      <x:c r="G75" s="904" t="n">
        <x:v>1444.27</x:v>
      </x:c>
      <x:c r="H75" s="904" t="n">
        <x:v>1451.81</x:v>
      </x:c>
      <x:c r="I75" s="904" t="n">
        <x:v>1435.57</x:v>
      </x:c>
      <x:c r="J75" s="904" t="n">
        <x:v>1438.97</x:v>
      </x:c>
      <x:c r="K75" s="901" t="n">
        <x:v>1052909000</x:v>
      </x:c>
      <x:c r="L75" s="907" t="str">
        <x:v>SRC-P404</x:v>
      </x:c>
      <x:c r="M75" s="907" t="str">
        <x:v>VNStock API actual</x:v>
      </x:c>
      <x:c r="N75" s="1032" t="n">
        <x:v>46229.241747685184</x:v>
      </x:c>
    </x:row>
    <x:row r="76">
      <x:c r="A76" s="895" t="n">
        <x:v>44502</x:v>
      </x:c>
      <x:c r="B76" s="898" t="n">
        <x:v>38.07</x:v>
      </x:c>
      <x:c r="C76" s="898" t="n">
        <x:v>38.59</x:v>
      </x:c>
      <x:c r="D76" s="898" t="n">
        <x:v>38</x:v>
      </x:c>
      <x:c r="E76" s="898" t="n">
        <x:v>38.37</x:v>
      </x:c>
      <x:c r="F76" s="901" t="n">
        <x:v>3912400</x:v>
      </x:c>
      <x:c r="G76" s="904" t="n">
        <x:v>1438.97</x:v>
      </x:c>
      <x:c r="H76" s="904" t="n">
        <x:v>1452.46</x:v>
      </x:c>
      <x:c r="I76" s="904" t="n">
        <x:v>1438.83</x:v>
      </x:c>
      <x:c r="J76" s="904" t="n">
        <x:v>1452.46</x:v>
      </x:c>
      <x:c r="K76" s="901" t="n">
        <x:v>942151100</x:v>
      </x:c>
      <x:c r="L76" s="907" t="str">
        <x:v>SRC-P404</x:v>
      </x:c>
      <x:c r="M76" s="907" t="str">
        <x:v>VNStock API actual</x:v>
      </x:c>
      <x:c r="N76" s="1032" t="n">
        <x:v>46229.241747685184</x:v>
      </x:c>
    </x:row>
    <x:row r="77">
      <x:c r="A77" s="895" t="n">
        <x:v>44503</x:v>
      </x:c>
      <x:c r="B77" s="898" t="n">
        <x:v>38.37</x:v>
      </x:c>
      <x:c r="C77" s="898" t="n">
        <x:v>38.74</x:v>
      </x:c>
      <x:c r="D77" s="898" t="n">
        <x:v>37.34</x:v>
      </x:c>
      <x:c r="E77" s="898" t="n">
        <x:v>37.34</x:v>
      </x:c>
      <x:c r="F77" s="901" t="n">
        <x:v>4239100</x:v>
      </x:c>
      <x:c r="G77" s="904" t="n">
        <x:v>1452.46</x:v>
      </x:c>
      <x:c r="H77" s="904" t="n">
        <x:v>1463.63</x:v>
      </x:c>
      <x:c r="I77" s="904" t="n">
        <x:v>1440.67</x:v>
      </x:c>
      <x:c r="J77" s="904" t="n">
        <x:v>1444.3</x:v>
      </x:c>
      <x:c r="K77" s="901" t="n">
        <x:v>1412338600</x:v>
      </x:c>
      <x:c r="L77" s="907" t="str">
        <x:v>SRC-P404</x:v>
      </x:c>
      <x:c r="M77" s="907" t="str">
        <x:v>VNStock API actual</x:v>
      </x:c>
      <x:c r="N77" s="1032" t="n">
        <x:v>46229.241747685184</x:v>
      </x:c>
    </x:row>
    <x:row r="78">
      <x:c r="A78" s="895" t="n">
        <x:v>44504</x:v>
      </x:c>
      <x:c r="B78" s="898" t="n">
        <x:v>37.48</x:v>
      </x:c>
      <x:c r="C78" s="898" t="n">
        <x:v>38</x:v>
      </x:c>
      <x:c r="D78" s="898" t="n">
        <x:v>37.04</x:v>
      </x:c>
      <x:c r="E78" s="898" t="n">
        <x:v>37.56</x:v>
      </x:c>
      <x:c r="F78" s="901" t="n">
        <x:v>2745300</x:v>
      </x:c>
      <x:c r="G78" s="904" t="n">
        <x:v>1444.3</x:v>
      </x:c>
      <x:c r="H78" s="904" t="n">
        <x:v>1451.98</x:v>
      </x:c>
      <x:c r="I78" s="904" t="n">
        <x:v>1435.84</x:v>
      </x:c>
      <x:c r="J78" s="904" t="n">
        <x:v>1448.34</x:v>
      </x:c>
      <x:c r="K78" s="901" t="n">
        <x:v>863608400</x:v>
      </x:c>
      <x:c r="L78" s="907" t="str">
        <x:v>SRC-P404</x:v>
      </x:c>
      <x:c r="M78" s="907" t="str">
        <x:v>VNStock API actual</x:v>
      </x:c>
      <x:c r="N78" s="1032" t="n">
        <x:v>46229.241747685184</x:v>
      </x:c>
    </x:row>
    <x:row r="79">
      <x:c r="A79" s="895" t="n">
        <x:v>44505</x:v>
      </x:c>
      <x:c r="B79" s="898" t="n">
        <x:v>37.71</x:v>
      </x:c>
      <x:c r="C79" s="898" t="n">
        <x:v>37.93</x:v>
      </x:c>
      <x:c r="D79" s="898" t="n">
        <x:v>37.26</x:v>
      </x:c>
      <x:c r="E79" s="898" t="n">
        <x:v>37.63</x:v>
      </x:c>
      <x:c r="F79" s="901" t="n">
        <x:v>2472800</x:v>
      </x:c>
      <x:c r="G79" s="904" t="n">
        <x:v>1448.34</x:v>
      </x:c>
      <x:c r="H79" s="904" t="n">
        <x:v>1459.93</x:v>
      </x:c>
      <x:c r="I79" s="904" t="n">
        <x:v>1444.51</x:v>
      </x:c>
      <x:c r="J79" s="904" t="n">
        <x:v>1456.51</x:v>
      </x:c>
      <x:c r="K79" s="901" t="n">
        <x:v>814437100</x:v>
      </x:c>
      <x:c r="L79" s="907" t="str">
        <x:v>SRC-P404</x:v>
      </x:c>
      <x:c r="M79" s="907" t="str">
        <x:v>VNStock API actual</x:v>
      </x:c>
      <x:c r="N79" s="1032" t="n">
        <x:v>46229.241747685184</x:v>
      </x:c>
    </x:row>
    <x:row r="80">
      <x:c r="A80" s="895" t="n">
        <x:v>44508</x:v>
      </x:c>
      <x:c r="B80" s="898" t="n">
        <x:v>37.63</x:v>
      </x:c>
      <x:c r="C80" s="898" t="n">
        <x:v>38.96</x:v>
      </x:c>
      <x:c r="D80" s="898" t="n">
        <x:v>37.63</x:v>
      </x:c>
      <x:c r="E80" s="898" t="n">
        <x:v>38.52</x:v>
      </x:c>
      <x:c r="F80" s="901" t="n">
        <x:v>5149200</x:v>
      </x:c>
      <x:c r="G80" s="904" t="n">
        <x:v>1456.51</x:v>
      </x:c>
      <x:c r="H80" s="904" t="n">
        <x:v>1470.49</x:v>
      </x:c>
      <x:c r="I80" s="904" t="n">
        <x:v>1456.51</x:v>
      </x:c>
      <x:c r="J80" s="904" t="n">
        <x:v>1467.57</x:v>
      </x:c>
      <x:c r="K80" s="901" t="n">
        <x:v>972340900</x:v>
      </x:c>
      <x:c r="L80" s="907" t="str">
        <x:v>SRC-P404</x:v>
      </x:c>
      <x:c r="M80" s="907" t="str">
        <x:v>VNStock API actual</x:v>
      </x:c>
      <x:c r="N80" s="1032" t="n">
        <x:v>46229.241747685184</x:v>
      </x:c>
    </x:row>
    <x:row r="81">
      <x:c r="A81" s="895" t="n">
        <x:v>44509</x:v>
      </x:c>
      <x:c r="B81" s="898" t="n">
        <x:v>39.26</x:v>
      </x:c>
      <x:c r="C81" s="898" t="n">
        <x:v>40.51</x:v>
      </x:c>
      <x:c r="D81" s="898" t="n">
        <x:v>38.96</x:v>
      </x:c>
      <x:c r="E81" s="898" t="n">
        <x:v>40.21</x:v>
      </x:c>
      <x:c r="F81" s="901" t="n">
        <x:v>8318100</x:v>
      </x:c>
      <x:c r="G81" s="904" t="n">
        <x:v>1467.57</x:v>
      </x:c>
      <x:c r="H81" s="904" t="n">
        <x:v>1474.2</x:v>
      </x:c>
      <x:c r="I81" s="904" t="n">
        <x:v>1457.57</x:v>
      </x:c>
      <x:c r="J81" s="904" t="n">
        <x:v>1461.5</x:v>
      </x:c>
      <x:c r="K81" s="901" t="n">
        <x:v>971430000</x:v>
      </x:c>
      <x:c r="L81" s="907" t="str">
        <x:v>SRC-P404</x:v>
      </x:c>
      <x:c r="M81" s="907" t="str">
        <x:v>VNStock API actual</x:v>
      </x:c>
      <x:c r="N81" s="1032" t="n">
        <x:v>46229.241747685184</x:v>
      </x:c>
    </x:row>
    <x:row r="82">
      <x:c r="A82" s="895" t="n">
        <x:v>44510</x:v>
      </x:c>
      <x:c r="B82" s="898" t="n">
        <x:v>40.21</x:v>
      </x:c>
      <x:c r="C82" s="898" t="n">
        <x:v>40.51</x:v>
      </x:c>
      <x:c r="D82" s="898" t="n">
        <x:v>39.7</x:v>
      </x:c>
      <x:c r="E82" s="898" t="n">
        <x:v>40.07</x:v>
      </x:c>
      <x:c r="F82" s="901" t="n">
        <x:v>2920000</x:v>
      </x:c>
      <x:c r="G82" s="904" t="n">
        <x:v>1461.5</x:v>
      </x:c>
      <x:c r="H82" s="904" t="n">
        <x:v>1470.19</x:v>
      </x:c>
      <x:c r="I82" s="904" t="n">
        <x:v>1457.98</x:v>
      </x:c>
      <x:c r="J82" s="904" t="n">
        <x:v>1465.02</x:v>
      </x:c>
      <x:c r="K82" s="901" t="n">
        <x:v>926684900</x:v>
      </x:c>
      <x:c r="L82" s="907" t="str">
        <x:v>SRC-P404</x:v>
      </x:c>
      <x:c r="M82" s="907" t="str">
        <x:v>VNStock API actual</x:v>
      </x:c>
      <x:c r="N82" s="1032" t="n">
        <x:v>46229.241747685184</x:v>
      </x:c>
    </x:row>
    <x:row r="83">
      <x:c r="A83" s="895" t="n">
        <x:v>44511</x:v>
      </x:c>
      <x:c r="B83" s="898" t="n">
        <x:v>39.62</x:v>
      </x:c>
      <x:c r="C83" s="898" t="n">
        <x:v>40.21</x:v>
      </x:c>
      <x:c r="D83" s="898" t="n">
        <x:v>39.11</x:v>
      </x:c>
      <x:c r="E83" s="898" t="n">
        <x:v>39.48</x:v>
      </x:c>
      <x:c r="F83" s="901" t="n">
        <x:v>4234800</x:v>
      </x:c>
      <x:c r="G83" s="904" t="n">
        <x:v>1465.02</x:v>
      </x:c>
      <x:c r="H83" s="904" t="n">
        <x:v>1472.89</x:v>
      </x:c>
      <x:c r="I83" s="904" t="n">
        <x:v>1449.18</x:v>
      </x:c>
      <x:c r="J83" s="904" t="n">
        <x:v>1462.35</x:v>
      </x:c>
      <x:c r="K83" s="901" t="n">
        <x:v>1172790500</x:v>
      </x:c>
      <x:c r="L83" s="907" t="str">
        <x:v>SRC-P404</x:v>
      </x:c>
      <x:c r="M83" s="907" t="str">
        <x:v>VNStock API actual</x:v>
      </x:c>
      <x:c r="N83" s="1032" t="n">
        <x:v>46229.241747685184</x:v>
      </x:c>
    </x:row>
    <x:row r="84">
      <x:c r="A84" s="895" t="n">
        <x:v>44512</x:v>
      </x:c>
      <x:c r="B84" s="898" t="n">
        <x:v>39.11</x:v>
      </x:c>
      <x:c r="C84" s="898" t="n">
        <x:v>39.33</x:v>
      </x:c>
      <x:c r="D84" s="898" t="n">
        <x:v>38.37</x:v>
      </x:c>
      <x:c r="E84" s="898" t="n">
        <x:v>38.89</x:v>
      </x:c>
      <x:c r="F84" s="901" t="n">
        <x:v>4570800</x:v>
      </x:c>
      <x:c r="G84" s="904" t="n">
        <x:v>1462.35</x:v>
      </x:c>
      <x:c r="H84" s="904" t="n">
        <x:v>1474.98</x:v>
      </x:c>
      <x:c r="I84" s="904" t="n">
        <x:v>1453.22</x:v>
      </x:c>
      <x:c r="J84" s="904" t="n">
        <x:v>1473.37</x:v>
      </x:c>
      <x:c r="K84" s="901" t="n">
        <x:v>881068600</x:v>
      </x:c>
      <x:c r="L84" s="907" t="str">
        <x:v>SRC-P404</x:v>
      </x:c>
      <x:c r="M84" s="907" t="str">
        <x:v>VNStock API actual</x:v>
      </x:c>
      <x:c r="N84" s="1032" t="n">
        <x:v>46229.241747685184</x:v>
      </x:c>
    </x:row>
    <x:row r="85">
      <x:c r="A85" s="895" t="n">
        <x:v>44515</x:v>
      </x:c>
      <x:c r="B85" s="898" t="n">
        <x:v>38.89</x:v>
      </x:c>
      <x:c r="C85" s="898" t="n">
        <x:v>39.7</x:v>
      </x:c>
      <x:c r="D85" s="898" t="n">
        <x:v>38.74</x:v>
      </x:c>
      <x:c r="E85" s="898" t="n">
        <x:v>39.03</x:v>
      </x:c>
      <x:c r="F85" s="901" t="n">
        <x:v>3786500</x:v>
      </x:c>
      <x:c r="G85" s="904" t="n">
        <x:v>1473.37</x:v>
      </x:c>
      <x:c r="H85" s="904" t="n">
        <x:v>1481.96</x:v>
      </x:c>
      <x:c r="I85" s="904" t="n">
        <x:v>1466.01</x:v>
      </x:c>
      <x:c r="J85" s="904" t="n">
        <x:v>1476.57</x:v>
      </x:c>
      <x:c r="K85" s="901" t="n">
        <x:v>1115831700</x:v>
      </x:c>
      <x:c r="L85" s="907" t="str">
        <x:v>SRC-P404</x:v>
      </x:c>
      <x:c r="M85" s="907" t="str">
        <x:v>VNStock API actual</x:v>
      </x:c>
      <x:c r="N85" s="1032" t="n">
        <x:v>46229.241747685184</x:v>
      </x:c>
    </x:row>
    <x:row r="86">
      <x:c r="A86" s="895" t="n">
        <x:v>44516</x:v>
      </x:c>
      <x:c r="B86" s="898" t="n">
        <x:v>39.03</x:v>
      </x:c>
      <x:c r="C86" s="898" t="n">
        <x:v>41.32</x:v>
      </x:c>
      <x:c r="D86" s="898" t="n">
        <x:v>38.22</x:v>
      </x:c>
      <x:c r="E86" s="898" t="n">
        <x:v>40.66</x:v>
      </x:c>
      <x:c r="F86" s="901" t="n">
        <x:v>7671600</x:v>
      </x:c>
      <x:c r="G86" s="904" t="n">
        <x:v>1476.57</x:v>
      </x:c>
      <x:c r="H86" s="904" t="n">
        <x:v>1476.97</x:v>
      </x:c>
      <x:c r="I86" s="904" t="n">
        <x:v>1459.08</x:v>
      </x:c>
      <x:c r="J86" s="904" t="n">
        <x:v>1466.45</x:v>
      </x:c>
      <x:c r="K86" s="901" t="n">
        <x:v>1126970500</x:v>
      </x:c>
      <x:c r="L86" s="907" t="str">
        <x:v>SRC-P404</x:v>
      </x:c>
      <x:c r="M86" s="907" t="str">
        <x:v>VNStock API actual</x:v>
      </x:c>
      <x:c r="N86" s="1032" t="n">
        <x:v>46229.241747685184</x:v>
      </x:c>
    </x:row>
    <x:row r="87">
      <x:c r="A87" s="895" t="n">
        <x:v>44517</x:v>
      </x:c>
      <x:c r="B87" s="898" t="n">
        <x:v>40.66</x:v>
      </x:c>
      <x:c r="C87" s="898" t="n">
        <x:v>40.73</x:v>
      </x:c>
      <x:c r="D87" s="898" t="n">
        <x:v>39.92</x:v>
      </x:c>
      <x:c r="E87" s="898" t="n">
        <x:v>39.99</x:v>
      </x:c>
      <x:c r="F87" s="901" t="n">
        <x:v>2856600</x:v>
      </x:c>
      <x:c r="G87" s="904" t="n">
        <x:v>1466.45</x:v>
      </x:c>
      <x:c r="H87" s="904" t="n">
        <x:v>1477.04</x:v>
      </x:c>
      <x:c r="I87" s="904" t="n">
        <x:v>1464.78</x:v>
      </x:c>
      <x:c r="J87" s="904" t="n">
        <x:v>1475.85</x:v>
      </x:c>
      <x:c r="K87" s="901" t="n">
        <x:v>801112100</x:v>
      </x:c>
      <x:c r="L87" s="907" t="str">
        <x:v>SRC-P404</x:v>
      </x:c>
      <x:c r="M87" s="907" t="str">
        <x:v>VNStock API actual</x:v>
      </x:c>
      <x:c r="N87" s="1032" t="n">
        <x:v>46229.241747685184</x:v>
      </x:c>
    </x:row>
    <x:row r="88">
      <x:c r="A88" s="895" t="n">
        <x:v>44518</x:v>
      </x:c>
      <x:c r="B88" s="898" t="n">
        <x:v>40.14</x:v>
      </x:c>
      <x:c r="C88" s="898" t="n">
        <x:v>40.14</x:v>
      </x:c>
      <x:c r="D88" s="898" t="n">
        <x:v>39.26</x:v>
      </x:c>
      <x:c r="E88" s="898" t="n">
        <x:v>39.33</x:v>
      </x:c>
      <x:c r="F88" s="901" t="n">
        <x:v>2830300</x:v>
      </x:c>
      <x:c r="G88" s="904" t="n">
        <x:v>1475.85</x:v>
      </x:c>
      <x:c r="H88" s="904" t="n">
        <x:v>1482.68</x:v>
      </x:c>
      <x:c r="I88" s="904" t="n">
        <x:v>1469.83</x:v>
      </x:c>
      <x:c r="J88" s="904" t="n">
        <x:v>1469.83</x:v>
      </x:c>
      <x:c r="K88" s="901" t="n">
        <x:v>1018526500</x:v>
      </x:c>
      <x:c r="L88" s="907" t="str">
        <x:v>SRC-P404</x:v>
      </x:c>
      <x:c r="M88" s="907" t="str">
        <x:v>VNStock API actual</x:v>
      </x:c>
      <x:c r="N88" s="1032" t="n">
        <x:v>46229.241747685184</x:v>
      </x:c>
    </x:row>
    <x:row r="89">
      <x:c r="A89" s="895" t="n">
        <x:v>44519</x:v>
      </x:c>
      <x:c r="B89" s="898" t="n">
        <x:v>39.11</x:v>
      </x:c>
      <x:c r="C89" s="898" t="n">
        <x:v>39.18</x:v>
      </x:c>
      <x:c r="D89" s="898" t="n">
        <x:v>36.6</x:v>
      </x:c>
      <x:c r="E89" s="898" t="n">
        <x:v>36.67</x:v>
      </x:c>
      <x:c r="F89" s="901" t="n">
        <x:v>7902200</x:v>
      </x:c>
      <x:c r="G89" s="904" t="n">
        <x:v>1469.83</x:v>
      </x:c>
      <x:c r="H89" s="904" t="n">
        <x:v>1481.53</x:v>
      </x:c>
      <x:c r="I89" s="904" t="n">
        <x:v>1434.69</x:v>
      </x:c>
      <x:c r="J89" s="904" t="n">
        <x:v>1452.35</x:v>
      </x:c>
      <x:c r="K89" s="901" t="n">
        <x:v>1454744900</x:v>
      </x:c>
      <x:c r="L89" s="907" t="str">
        <x:v>SRC-P404</x:v>
      </x:c>
      <x:c r="M89" s="907" t="str">
        <x:v>VNStock API actual</x:v>
      </x:c>
      <x:c r="N89" s="1032" t="n">
        <x:v>46229.241747685184</x:v>
      </x:c>
    </x:row>
    <x:row r="90">
      <x:c r="A90" s="895" t="n">
        <x:v>44522</x:v>
      </x:c>
      <x:c r="B90" s="898" t="n">
        <x:v>36.3</x:v>
      </x:c>
      <x:c r="C90" s="898" t="n">
        <x:v>36.67</x:v>
      </x:c>
      <x:c r="D90" s="898" t="n">
        <x:v>35.05</x:v>
      </x:c>
      <x:c r="E90" s="898" t="n">
        <x:v>35.53</x:v>
      </x:c>
      <x:c r="F90" s="901" t="n">
        <x:v>5543600</x:v>
      </x:c>
      <x:c r="G90" s="904" t="n">
        <x:v>1452.35</x:v>
      </x:c>
      <x:c r="H90" s="904" t="n">
        <x:v>1466.46</x:v>
      </x:c>
      <x:c r="I90" s="904" t="n">
        <x:v>1442.85</x:v>
      </x:c>
      <x:c r="J90" s="904" t="n">
        <x:v>1447.25</x:v>
      </x:c>
      <x:c r="K90" s="901" t="n">
        <x:v>1179261600</x:v>
      </x:c>
      <x:c r="L90" s="907" t="str">
        <x:v>SRC-P404</x:v>
      </x:c>
      <x:c r="M90" s="907" t="str">
        <x:v>VNStock API actual</x:v>
      </x:c>
      <x:c r="N90" s="1032" t="n">
        <x:v>46229.241747685184</x:v>
      </x:c>
    </x:row>
    <x:row r="91">
      <x:c r="A91" s="895" t="n">
        <x:v>44523</x:v>
      </x:c>
      <x:c r="B91" s="898" t="n">
        <x:v>35.57</x:v>
      </x:c>
      <x:c r="C91" s="898" t="n">
        <x:v>37.63</x:v>
      </x:c>
      <x:c r="D91" s="898" t="n">
        <x:v>35.57</x:v>
      </x:c>
      <x:c r="E91" s="898" t="n">
        <x:v>37.63</x:v>
      </x:c>
      <x:c r="F91" s="901" t="n">
        <x:v>1975300</x:v>
      </x:c>
      <x:c r="G91" s="904" t="n">
        <x:v>1447.25</x:v>
      </x:c>
      <x:c r="H91" s="904" t="n">
        <x:v>1463.63</x:v>
      </x:c>
      <x:c r="I91" s="904" t="n">
        <x:v>1438.41</x:v>
      </x:c>
      <x:c r="J91" s="904" t="n">
        <x:v>1463.63</x:v>
      </x:c>
      <x:c r="K91" s="901" t="n">
        <x:v>812872100</x:v>
      </x:c>
      <x:c r="L91" s="907" t="str">
        <x:v>SRC-P404</x:v>
      </x:c>
      <x:c r="M91" s="907" t="str">
        <x:v>VNStock API actual</x:v>
      </x:c>
      <x:c r="N91" s="1032" t="n">
        <x:v>46229.241747685184</x:v>
      </x:c>
    </x:row>
    <x:row r="92">
      <x:c r="A92" s="895" t="n">
        <x:v>44524</x:v>
      </x:c>
      <x:c r="B92" s="898" t="n">
        <x:v>37.78</x:v>
      </x:c>
      <x:c r="C92" s="898" t="n">
        <x:v>37.93</x:v>
      </x:c>
      <x:c r="D92" s="898" t="n">
        <x:v>37.34</x:v>
      </x:c>
      <x:c r="E92" s="898" t="n">
        <x:v>37.85</x:v>
      </x:c>
      <x:c r="F92" s="901" t="n">
        <x:v>2360200</x:v>
      </x:c>
      <x:c r="G92" s="904" t="n">
        <x:v>1463.63</x:v>
      </x:c>
      <x:c r="H92" s="904" t="n">
        <x:v>1491.05</x:v>
      </x:c>
      <x:c r="I92" s="904" t="n">
        <x:v>1463.63</x:v>
      </x:c>
      <x:c r="J92" s="904" t="n">
        <x:v>1488.87</x:v>
      </x:c>
      <x:c r="K92" s="901" t="n">
        <x:v>1030950500</x:v>
      </x:c>
      <x:c r="L92" s="907" t="str">
        <x:v>SRC-P404</x:v>
      </x:c>
      <x:c r="M92" s="907" t="str">
        <x:v>VNStock API actual</x:v>
      </x:c>
      <x:c r="N92" s="1032" t="n">
        <x:v>46229.241747685184</x:v>
      </x:c>
    </x:row>
    <x:row r="93">
      <x:c r="A93" s="895" t="n">
        <x:v>44525</x:v>
      </x:c>
      <x:c r="B93" s="898" t="n">
        <x:v>37.85</x:v>
      </x:c>
      <x:c r="C93" s="898" t="n">
        <x:v>37.85</x:v>
      </x:c>
      <x:c r="D93" s="898" t="n">
        <x:v>37.26</x:v>
      </x:c>
      <x:c r="E93" s="898" t="n">
        <x:v>37.63</x:v>
      </x:c>
      <x:c r="F93" s="901" t="n">
        <x:v>1852100</x:v>
      </x:c>
      <x:c r="G93" s="904" t="n">
        <x:v>1488.87</x:v>
      </x:c>
      <x:c r="H93" s="904" t="n">
        <x:v>1505.36</x:v>
      </x:c>
      <x:c r="I93" s="904" t="n">
        <x:v>1488.87</x:v>
      </x:c>
      <x:c r="J93" s="904" t="n">
        <x:v>1500.81</x:v>
      </x:c>
      <x:c r="K93" s="901" t="n">
        <x:v>912165600</x:v>
      </x:c>
      <x:c r="L93" s="907" t="str">
        <x:v>SRC-P404</x:v>
      </x:c>
      <x:c r="M93" s="907" t="str">
        <x:v>VNStock API actual</x:v>
      </x:c>
      <x:c r="N93" s="1032" t="n">
        <x:v>46229.241747685184</x:v>
      </x:c>
    </x:row>
    <x:row r="94">
      <x:c r="A94" s="895" t="n">
        <x:v>44526</x:v>
      </x:c>
      <x:c r="B94" s="898" t="n">
        <x:v>37.63</x:v>
      </x:c>
      <x:c r="C94" s="898" t="n">
        <x:v>37.63</x:v>
      </x:c>
      <x:c r="D94" s="898" t="n">
        <x:v>36.45</x:v>
      </x:c>
      <x:c r="E94" s="898" t="n">
        <x:v>36.49</x:v>
      </x:c>
      <x:c r="F94" s="901" t="n">
        <x:v>2602300</x:v>
      </x:c>
      <x:c r="G94" s="904" t="n">
        <x:v>1500.81</x:v>
      </x:c>
      <x:c r="H94" s="904" t="n">
        <x:v>1511.68</x:v>
      </x:c>
      <x:c r="I94" s="904" t="n">
        <x:v>1488.83</x:v>
      </x:c>
      <x:c r="J94" s="904" t="n">
        <x:v>1493.03</x:v>
      </x:c>
      <x:c r="K94" s="901" t="n">
        <x:v>967912000</x:v>
      </x:c>
      <x:c r="L94" s="907" t="str">
        <x:v>SRC-P404</x:v>
      </x:c>
      <x:c r="M94" s="907" t="str">
        <x:v>VNStock API actual</x:v>
      </x:c>
      <x:c r="N94" s="1032" t="n">
        <x:v>46229.241747685184</x:v>
      </x:c>
    </x:row>
    <x:row r="95">
      <x:c r="A95" s="895" t="n">
        <x:v>44529</x:v>
      </x:c>
      <x:c r="B95" s="898" t="n">
        <x:v>35.79</x:v>
      </x:c>
      <x:c r="C95" s="898" t="n">
        <x:v>37.19</x:v>
      </x:c>
      <x:c r="D95" s="898" t="n">
        <x:v>35.79</x:v>
      </x:c>
      <x:c r="E95" s="898" t="n">
        <x:v>36.82</x:v>
      </x:c>
      <x:c r="F95" s="901" t="n">
        <x:v>1749200</x:v>
      </x:c>
      <x:c r="G95" s="904" t="n">
        <x:v>1493.03</x:v>
      </x:c>
      <x:c r="H95" s="904" t="n">
        <x:v>1493.03</x:v>
      </x:c>
      <x:c r="I95" s="904" t="n">
        <x:v>1464.83</x:v>
      </x:c>
      <x:c r="J95" s="904" t="n">
        <x:v>1484.84</x:v>
      </x:c>
      <x:c r="K95" s="901" t="n">
        <x:v>936276500</x:v>
      </x:c>
      <x:c r="L95" s="907" t="str">
        <x:v>SRC-P404</x:v>
      </x:c>
      <x:c r="M95" s="907" t="str">
        <x:v>VNStock API actual</x:v>
      </x:c>
      <x:c r="N95" s="1032" t="n">
        <x:v>46229.241747685184</x:v>
      </x:c>
    </x:row>
    <x:row r="96">
      <x:c r="A96" s="895" t="n">
        <x:v>44530</x:v>
      </x:c>
      <x:c r="B96" s="898" t="n">
        <x:v>37.26</x:v>
      </x:c>
      <x:c r="C96" s="898" t="n">
        <x:v>37.78</x:v>
      </x:c>
      <x:c r="D96" s="898" t="n">
        <x:v>36.67</x:v>
      </x:c>
      <x:c r="E96" s="898" t="n">
        <x:v>36.75</x:v>
      </x:c>
      <x:c r="F96" s="901" t="n">
        <x:v>2333400</x:v>
      </x:c>
      <x:c r="G96" s="904" t="n">
        <x:v>1484.84</x:v>
      </x:c>
      <x:c r="H96" s="904" t="n">
        <x:v>1503.09</x:v>
      </x:c>
      <x:c r="I96" s="904" t="n">
        <x:v>1471.57</x:v>
      </x:c>
      <x:c r="J96" s="904" t="n">
        <x:v>1478.44</x:v>
      </x:c>
      <x:c r="K96" s="901" t="n">
        <x:v>1010078900</x:v>
      </x:c>
      <x:c r="L96" s="907" t="str">
        <x:v>SRC-P404</x:v>
      </x:c>
      <x:c r="M96" s="907" t="str">
        <x:v>VNStock API actual</x:v>
      </x:c>
      <x:c r="N96" s="1032" t="n">
        <x:v>46229.241747685184</x:v>
      </x:c>
    </x:row>
    <x:row r="97">
      <x:c r="A97" s="895" t="n">
        <x:v>44531</x:v>
      </x:c>
      <x:c r="B97" s="898" t="n">
        <x:v>36.75</x:v>
      </x:c>
      <x:c r="C97" s="898" t="n">
        <x:v>36.89</x:v>
      </x:c>
      <x:c r="D97" s="898" t="n">
        <x:v>36.38</x:v>
      </x:c>
      <x:c r="E97" s="898" t="n">
        <x:v>36.6</x:v>
      </x:c>
      <x:c r="F97" s="901" t="n">
        <x:v>1231600</x:v>
      </x:c>
      <x:c r="G97" s="904" t="n">
        <x:v>1478.44</x:v>
      </x:c>
      <x:c r="H97" s="904" t="n">
        <x:v>1487.68</x:v>
      </x:c>
      <x:c r="I97" s="904" t="n">
        <x:v>1471.3</x:v>
      </x:c>
      <x:c r="J97" s="904" t="n">
        <x:v>1485.19</x:v>
      </x:c>
      <x:c r="K97" s="901" t="n">
        <x:v>813267800</x:v>
      </x:c>
      <x:c r="L97" s="907" t="str">
        <x:v>SRC-P404</x:v>
      </x:c>
      <x:c r="M97" s="907" t="str">
        <x:v>VNStock API actual</x:v>
      </x:c>
      <x:c r="N97" s="1032" t="n">
        <x:v>46229.241747685184</x:v>
      </x:c>
    </x:row>
    <x:row r="98">
      <x:c r="A98" s="895" t="n">
        <x:v>44532</x:v>
      </x:c>
      <x:c r="B98" s="898" t="n">
        <x:v>36.6</x:v>
      </x:c>
      <x:c r="C98" s="898" t="n">
        <x:v>37.04</x:v>
      </x:c>
      <x:c r="D98" s="898" t="n">
        <x:v>36.52</x:v>
      </x:c>
      <x:c r="E98" s="898" t="n">
        <x:v>36.78</x:v>
      </x:c>
      <x:c r="F98" s="901" t="n">
        <x:v>1092300</x:v>
      </x:c>
      <x:c r="G98" s="904" t="n">
        <x:v>1485.19</x:v>
      </x:c>
      <x:c r="H98" s="904" t="n">
        <x:v>1493.84</x:v>
      </x:c>
      <x:c r="I98" s="904" t="n">
        <x:v>1482.05</x:v>
      </x:c>
      <x:c r="J98" s="904" t="n">
        <x:v>1482.05</x:v>
      </x:c>
      <x:c r="K98" s="901" t="n">
        <x:v>721589500</x:v>
      </x:c>
      <x:c r="L98" s="907" t="str">
        <x:v>SRC-P404</x:v>
      </x:c>
      <x:c r="M98" s="907" t="str">
        <x:v>VNStock API actual</x:v>
      </x:c>
      <x:c r="N98" s="1032" t="n">
        <x:v>46229.241747685184</x:v>
      </x:c>
    </x:row>
    <x:row r="99">
      <x:c r="A99" s="895" t="n">
        <x:v>44533</x:v>
      </x:c>
      <x:c r="B99" s="898" t="n">
        <x:v>36.89</x:v>
      </x:c>
      <x:c r="C99" s="898" t="n">
        <x:v>37.19</x:v>
      </x:c>
      <x:c r="D99" s="898" t="n">
        <x:v>36.16</x:v>
      </x:c>
      <x:c r="E99" s="898" t="n">
        <x:v>36.16</x:v>
      </x:c>
      <x:c r="F99" s="901" t="n">
        <x:v>1862700</x:v>
      </x:c>
      <x:c r="G99" s="904" t="n">
        <x:v>1482.05</x:v>
      </x:c>
      <x:c r="H99" s="904" t="n">
        <x:v>1491.2</x:v>
      </x:c>
      <x:c r="I99" s="904" t="n">
        <x:v>1443.32</x:v>
      </x:c>
      <x:c r="J99" s="904" t="n">
        <x:v>1443.32</x:v>
      </x:c>
      <x:c r="K99" s="901" t="n">
        <x:v>998875400</x:v>
      </x:c>
      <x:c r="L99" s="907" t="str">
        <x:v>SRC-P404</x:v>
      </x:c>
      <x:c r="M99" s="907" t="str">
        <x:v>VNStock API actual</x:v>
      </x:c>
      <x:c r="N99" s="1032" t="n">
        <x:v>46229.241747685184</x:v>
      </x:c>
    </x:row>
    <x:row r="100">
      <x:c r="A100" s="895" t="n">
        <x:v>44536</x:v>
      </x:c>
      <x:c r="B100" s="898" t="n">
        <x:v>36.19</x:v>
      </x:c>
      <x:c r="C100" s="898" t="n">
        <x:v>36.52</x:v>
      </x:c>
      <x:c r="D100" s="898" t="n">
        <x:v>33.94</x:v>
      </x:c>
      <x:c r="E100" s="898" t="n">
        <x:v>34.98</x:v>
      </x:c>
      <x:c r="F100" s="901" t="n">
        <x:v>2533300</x:v>
      </x:c>
      <x:c r="G100" s="904" t="n">
        <x:v>1443.32</x:v>
      </x:c>
      <x:c r="H100" s="904" t="n">
        <x:v>1452.55</x:v>
      </x:c>
      <x:c r="I100" s="904" t="n">
        <x:v>1400.87</x:v>
      </x:c>
      <x:c r="J100" s="904" t="n">
        <x:v>1413.58</x:v>
      </x:c>
      <x:c r="K100" s="901" t="n">
        <x:v>978214400</x:v>
      </x:c>
      <x:c r="L100" s="907" t="str">
        <x:v>SRC-P404</x:v>
      </x:c>
      <x:c r="M100" s="907" t="str">
        <x:v>VNStock API actual</x:v>
      </x:c>
      <x:c r="N100" s="1032" t="n">
        <x:v>46229.241747685184</x:v>
      </x:c>
    </x:row>
    <x:row r="101">
      <x:c r="A101" s="895" t="n">
        <x:v>44537</x:v>
      </x:c>
      <x:c r="B101" s="898" t="n">
        <x:v>35.64</x:v>
      </x:c>
      <x:c r="C101" s="898" t="n">
        <x:v>35.64</x:v>
      </x:c>
      <x:c r="D101" s="898" t="n">
        <x:v>34.9</x:v>
      </x:c>
      <x:c r="E101" s="898" t="n">
        <x:v>35.42</x:v>
      </x:c>
      <x:c r="F101" s="901" t="n">
        <x:v>2091100</x:v>
      </x:c>
      <x:c r="G101" s="904" t="n">
        <x:v>1413.58</x:v>
      </x:c>
      <x:c r="H101" s="904" t="n">
        <x:v>1446.77</x:v>
      </x:c>
      <x:c r="I101" s="904" t="n">
        <x:v>1413.58</x:v>
      </x:c>
      <x:c r="J101" s="904" t="n">
        <x:v>1446.77</x:v>
      </x:c>
      <x:c r="K101" s="901" t="n">
        <x:v>664287400</x:v>
      </x:c>
      <x:c r="L101" s="907" t="str">
        <x:v>SRC-P404</x:v>
      </x:c>
      <x:c r="M101" s="907" t="str">
        <x:v>VNStock API actual</x:v>
      </x:c>
      <x:c r="N101" s="1032" t="n">
        <x:v>46229.241747685184</x:v>
      </x:c>
    </x:row>
    <x:row r="102">
      <x:c r="A102" s="895" t="n">
        <x:v>44538</x:v>
      </x:c>
      <x:c r="B102" s="898" t="n">
        <x:v>35.64</x:v>
      </x:c>
      <x:c r="C102" s="898" t="n">
        <x:v>36.16</x:v>
      </x:c>
      <x:c r="D102" s="898" t="n">
        <x:v>35.49</x:v>
      </x:c>
      <x:c r="E102" s="898" t="n">
        <x:v>36.12</x:v>
      </x:c>
      <x:c r="F102" s="901" t="n">
        <x:v>946900</x:v>
      </x:c>
      <x:c r="G102" s="904" t="n">
        <x:v>1446.77</x:v>
      </x:c>
      <x:c r="H102" s="904" t="n">
        <x:v>1460.28</x:v>
      </x:c>
      <x:c r="I102" s="904" t="n">
        <x:v>1446.77</x:v>
      </x:c>
      <x:c r="J102" s="904" t="n">
        <x:v>1452.87</x:v>
      </x:c>
      <x:c r="K102" s="901" t="n">
        <x:v>711759600</x:v>
      </x:c>
      <x:c r="L102" s="907" t="str">
        <x:v>SRC-P404</x:v>
      </x:c>
      <x:c r="M102" s="907" t="str">
        <x:v>VNStock API actual</x:v>
      </x:c>
      <x:c r="N102" s="1032" t="n">
        <x:v>46229.241747685184</x:v>
      </x:c>
    </x:row>
    <x:row r="103">
      <x:c r="A103" s="895" t="n">
        <x:v>44539</x:v>
      </x:c>
      <x:c r="B103" s="898" t="n">
        <x:v>35.79</x:v>
      </x:c>
      <x:c r="C103" s="898" t="n">
        <x:v>36.16</x:v>
      </x:c>
      <x:c r="D103" s="898" t="n">
        <x:v>35.79</x:v>
      </x:c>
      <x:c r="E103" s="898" t="n">
        <x:v>36.05</x:v>
      </x:c>
      <x:c r="F103" s="901" t="n">
        <x:v>774400</x:v>
      </x:c>
      <x:c r="G103" s="904" t="n">
        <x:v>1452.87</x:v>
      </x:c>
      <x:c r="H103" s="904" t="n">
        <x:v>1467.98</x:v>
      </x:c>
      <x:c r="I103" s="904" t="n">
        <x:v>1446.88</x:v>
      </x:c>
      <x:c r="J103" s="904" t="n">
        <x:v>1467.98</x:v>
      </x:c>
      <x:c r="K103" s="901" t="n">
        <x:v>611970400</x:v>
      </x:c>
      <x:c r="L103" s="907" t="str">
        <x:v>SRC-P404</x:v>
      </x:c>
      <x:c r="M103" s="907" t="str">
        <x:v>VNStock API actual</x:v>
      </x:c>
      <x:c r="N103" s="1032" t="n">
        <x:v>46229.241747685184</x:v>
      </x:c>
    </x:row>
    <x:row r="104">
      <x:c r="A104" s="895" t="n">
        <x:v>44540</x:v>
      </x:c>
      <x:c r="B104" s="898" t="n">
        <x:v>36.01</x:v>
      </x:c>
      <x:c r="C104" s="898" t="n">
        <x:v>36.23</x:v>
      </x:c>
      <x:c r="D104" s="898" t="n">
        <x:v>35.64</x:v>
      </x:c>
      <x:c r="E104" s="898" t="n">
        <x:v>35.93</x:v>
      </x:c>
      <x:c r="F104" s="901" t="n">
        <x:v>1324900</x:v>
      </x:c>
      <x:c r="G104" s="904" t="n">
        <x:v>1467.98</x:v>
      </x:c>
      <x:c r="H104" s="904" t="n">
        <x:v>1475.85</x:v>
      </x:c>
      <x:c r="I104" s="904" t="n">
        <x:v>1461.78</x:v>
      </x:c>
      <x:c r="J104" s="904" t="n">
        <x:v>1463.54</x:v>
      </x:c>
      <x:c r="K104" s="901" t="n">
        <x:v>760375600</x:v>
      </x:c>
      <x:c r="L104" s="907" t="str">
        <x:v>SRC-P404</x:v>
      </x:c>
      <x:c r="M104" s="907" t="str">
        <x:v>VNStock API actual</x:v>
      </x:c>
      <x:c r="N104" s="1032" t="n">
        <x:v>46229.241747685184</x:v>
      </x:c>
    </x:row>
    <x:row r="105">
      <x:c r="A105" s="895" t="n">
        <x:v>44543</x:v>
      </x:c>
      <x:c r="B105" s="898" t="n">
        <x:v>36.16</x:v>
      </x:c>
      <x:c r="C105" s="898" t="n">
        <x:v>36.27</x:v>
      </x:c>
      <x:c r="D105" s="898" t="n">
        <x:v>35.79</x:v>
      </x:c>
      <x:c r="E105" s="898" t="n">
        <x:v>36.08</x:v>
      </x:c>
      <x:c r="F105" s="901" t="n">
        <x:v>1451900</x:v>
      </x:c>
      <x:c r="G105" s="904" t="n">
        <x:v>1463.54</x:v>
      </x:c>
      <x:c r="H105" s="904" t="n">
        <x:v>1481.7</x:v>
      </x:c>
      <x:c r="I105" s="904" t="n">
        <x:v>1463.54</x:v>
      </x:c>
      <x:c r="J105" s="904" t="n">
        <x:v>1476.21</x:v>
      </x:c>
      <x:c r="K105" s="901" t="n">
        <x:v>789945400</x:v>
      </x:c>
      <x:c r="L105" s="907" t="str">
        <x:v>SRC-P404</x:v>
      </x:c>
      <x:c r="M105" s="907" t="str">
        <x:v>VNStock API actual</x:v>
      </x:c>
      <x:c r="N105" s="1032" t="n">
        <x:v>46229.241747685184</x:v>
      </x:c>
    </x:row>
    <x:row r="106">
      <x:c r="A106" s="895" t="n">
        <x:v>44544</x:v>
      </x:c>
      <x:c r="B106" s="898" t="n">
        <x:v>36.16</x:v>
      </x:c>
      <x:c r="C106" s="898" t="n">
        <x:v>36.16</x:v>
      </x:c>
      <x:c r="D106" s="898" t="n">
        <x:v>35.64</x:v>
      </x:c>
      <x:c r="E106" s="898" t="n">
        <x:v>35.93</x:v>
      </x:c>
      <x:c r="F106" s="901" t="n">
        <x:v>1679600</x:v>
      </x:c>
      <x:c r="G106" s="904" t="n">
        <x:v>1476.21</x:v>
      </x:c>
      <x:c r="H106" s="904" t="n">
        <x:v>1485.14</x:v>
      </x:c>
      <x:c r="I106" s="904" t="n">
        <x:v>1469.21</x:v>
      </x:c>
      <x:c r="J106" s="904" t="n">
        <x:v>1476.02</x:v>
      </x:c>
      <x:c r="K106" s="901" t="n">
        <x:v>888205600</x:v>
      </x:c>
      <x:c r="L106" s="907" t="str">
        <x:v>SRC-P404</x:v>
      </x:c>
      <x:c r="M106" s="907" t="str">
        <x:v>VNStock API actual</x:v>
      </x:c>
      <x:c r="N106" s="1032" t="n">
        <x:v>46229.241747685184</x:v>
      </x:c>
    </x:row>
    <x:row r="107">
      <x:c r="A107" s="895" t="n">
        <x:v>44545</x:v>
      </x:c>
      <x:c r="B107" s="898" t="n">
        <x:v>36.16</x:v>
      </x:c>
      <x:c r="C107" s="898" t="n">
        <x:v>37.56</x:v>
      </x:c>
      <x:c r="D107" s="898" t="n">
        <x:v>36.12</x:v>
      </x:c>
      <x:c r="E107" s="898" t="n">
        <x:v>37.12</x:v>
      </x:c>
      <x:c r="F107" s="901" t="n">
        <x:v>2445400</x:v>
      </x:c>
      <x:c r="G107" s="904" t="n">
        <x:v>1476.02</x:v>
      </x:c>
      <x:c r="H107" s="904" t="n">
        <x:v>1481.67</x:v>
      </x:c>
      <x:c r="I107" s="904" t="n">
        <x:v>1468.21</x:v>
      </x:c>
      <x:c r="J107" s="904" t="n">
        <x:v>1475.5</x:v>
      </x:c>
      <x:c r="K107" s="901" t="n">
        <x:v>840610100</x:v>
      </x:c>
      <x:c r="L107" s="907" t="str">
        <x:v>SRC-P404</x:v>
      </x:c>
      <x:c r="M107" s="907" t="str">
        <x:v>VNStock API actual</x:v>
      </x:c>
      <x:c r="N107" s="1032" t="n">
        <x:v>46229.241747685184</x:v>
      </x:c>
    </x:row>
    <x:row r="108">
      <x:c r="A108" s="895" t="n">
        <x:v>44546</x:v>
      </x:c>
      <x:c r="B108" s="898" t="n">
        <x:v>37.41</x:v>
      </x:c>
      <x:c r="C108" s="898" t="n">
        <x:v>37.41</x:v>
      </x:c>
      <x:c r="D108" s="898" t="n">
        <x:v>36.52</x:v>
      </x:c>
      <x:c r="E108" s="898" t="n">
        <x:v>36.52</x:v>
      </x:c>
      <x:c r="F108" s="901" t="n">
        <x:v>990700</x:v>
      </x:c>
      <x:c r="G108" s="904" t="n">
        <x:v>1475.5</x:v>
      </x:c>
      <x:c r="H108" s="904" t="n">
        <x:v>1482.32</x:v>
      </x:c>
      <x:c r="I108" s="904" t="n">
        <x:v>1468.95</x:v>
      </x:c>
      <x:c r="J108" s="904" t="n">
        <x:v>1476.61</x:v>
      </x:c>
      <x:c r="K108" s="901" t="n">
        <x:v>870245300</x:v>
      </x:c>
      <x:c r="L108" s="907" t="str">
        <x:v>SRC-P404</x:v>
      </x:c>
      <x:c r="M108" s="907" t="str">
        <x:v>VNStock API actual</x:v>
      </x:c>
      <x:c r="N108" s="1032" t="n">
        <x:v>46229.241747685184</x:v>
      </x:c>
    </x:row>
    <x:row r="109">
      <x:c r="A109" s="895" t="n">
        <x:v>44547</x:v>
      </x:c>
      <x:c r="B109" s="898" t="n">
        <x:v>36.38</x:v>
      </x:c>
      <x:c r="C109" s="898" t="n">
        <x:v>36.64</x:v>
      </x:c>
      <x:c r="D109" s="898" t="n">
        <x:v>36.16</x:v>
      </x:c>
      <x:c r="E109" s="898" t="n">
        <x:v>36.38</x:v>
      </x:c>
      <x:c r="F109" s="901" t="n">
        <x:v>1262100</x:v>
      </x:c>
      <x:c r="G109" s="904" t="n">
        <x:v>1476.61</x:v>
      </x:c>
      <x:c r="H109" s="904" t="n">
        <x:v>1487.73</x:v>
      </x:c>
      <x:c r="I109" s="904" t="n">
        <x:v>1476.61</x:v>
      </x:c>
      <x:c r="J109" s="904" t="n">
        <x:v>1479.79</x:v>
      </x:c>
      <x:c r="K109" s="901" t="n">
        <x:v>1035566100</x:v>
      </x:c>
      <x:c r="L109" s="907" t="str">
        <x:v>SRC-P404</x:v>
      </x:c>
      <x:c r="M109" s="907" t="str">
        <x:v>VNStock API actual</x:v>
      </x:c>
      <x:c r="N109" s="1032" t="n">
        <x:v>46229.241747685184</x:v>
      </x:c>
    </x:row>
    <x:row r="110">
      <x:c r="A110" s="895" t="n">
        <x:v>44550</x:v>
      </x:c>
      <x:c r="B110" s="898" t="n">
        <x:v>36.38</x:v>
      </x:c>
      <x:c r="C110" s="898" t="n">
        <x:v>36.38</x:v>
      </x:c>
      <x:c r="D110" s="898" t="n">
        <x:v>35.49</x:v>
      </x:c>
      <x:c r="E110" s="898" t="n">
        <x:v>35.57</x:v>
      </x:c>
      <x:c r="F110" s="901" t="n">
        <x:v>1905100</x:v>
      </x:c>
      <x:c r="G110" s="904" t="n">
        <x:v>1479.79</x:v>
      </x:c>
      <x:c r="H110" s="904" t="n">
        <x:v>1483.85</x:v>
      </x:c>
      <x:c r="I110" s="904" t="n">
        <x:v>1468.88</x:v>
      </x:c>
      <x:c r="J110" s="904" t="n">
        <x:v>1477.33</x:v>
      </x:c>
      <x:c r="K110" s="901" t="n">
        <x:v>886732500</x:v>
      </x:c>
      <x:c r="L110" s="907" t="str">
        <x:v>SRC-P404</x:v>
      </x:c>
      <x:c r="M110" s="907" t="str">
        <x:v>VNStock API actual</x:v>
      </x:c>
      <x:c r="N110" s="1032" t="n">
        <x:v>46229.241747685184</x:v>
      </x:c>
    </x:row>
    <x:row r="111">
      <x:c r="A111" s="895" t="n">
        <x:v>44551</x:v>
      </x:c>
      <x:c r="B111" s="898" t="n">
        <x:v>35.57</x:v>
      </x:c>
      <x:c r="C111" s="898" t="n">
        <x:v>35.64</x:v>
      </x:c>
      <x:c r="D111" s="898" t="n">
        <x:v>35.05</x:v>
      </x:c>
      <x:c r="E111" s="898" t="n">
        <x:v>35.16</x:v>
      </x:c>
      <x:c r="F111" s="901" t="n">
        <x:v>1778600</x:v>
      </x:c>
      <x:c r="G111" s="904" t="n">
        <x:v>1477.33</x:v>
      </x:c>
      <x:c r="H111" s="904" t="n">
        <x:v>1486.03</x:v>
      </x:c>
      <x:c r="I111" s="904" t="n">
        <x:v>1472.43</x:v>
      </x:c>
      <x:c r="J111" s="904" t="n">
        <x:v>1478.74</x:v>
      </x:c>
      <x:c r="K111" s="901" t="n">
        <x:v>838294200</x:v>
      </x:c>
      <x:c r="L111" s="907" t="str">
        <x:v>SRC-P404</x:v>
      </x:c>
      <x:c r="M111" s="907" t="str">
        <x:v>VNStock API actual</x:v>
      </x:c>
      <x:c r="N111" s="1032" t="n">
        <x:v>46229.241747685184</x:v>
      </x:c>
    </x:row>
    <x:row r="112">
      <x:c r="A112" s="895" t="n">
        <x:v>44552</x:v>
      </x:c>
      <x:c r="B112" s="898" t="n">
        <x:v>35.16</x:v>
      </x:c>
      <x:c r="C112" s="898" t="n">
        <x:v>35.86</x:v>
      </x:c>
      <x:c r="D112" s="898" t="n">
        <x:v>35.12</x:v>
      </x:c>
      <x:c r="E112" s="898" t="n">
        <x:v>35.23</x:v>
      </x:c>
      <x:c r="F112" s="901" t="n">
        <x:v>1460800</x:v>
      </x:c>
      <x:c r="G112" s="904" t="n">
        <x:v>1478.74</x:v>
      </x:c>
      <x:c r="H112" s="904" t="n">
        <x:v>1489.24</x:v>
      </x:c>
      <x:c r="I112" s="904" t="n">
        <x:v>1471.84</x:v>
      </x:c>
      <x:c r="J112" s="904" t="n">
        <x:v>1477.67</x:v>
      </x:c>
      <x:c r="K112" s="901" t="n">
        <x:v>998640700</x:v>
      </x:c>
      <x:c r="L112" s="907" t="str">
        <x:v>SRC-P404</x:v>
      </x:c>
      <x:c r="M112" s="907" t="str">
        <x:v>VNStock API actual</x:v>
      </x:c>
      <x:c r="N112" s="1032" t="n">
        <x:v>46229.241747685184</x:v>
      </x:c>
    </x:row>
    <x:row r="113">
      <x:c r="A113" s="895" t="n">
        <x:v>44553</x:v>
      </x:c>
      <x:c r="B113" s="898" t="n">
        <x:v>35.27</x:v>
      </x:c>
      <x:c r="C113" s="898" t="n">
        <x:v>35.27</x:v>
      </x:c>
      <x:c r="D113" s="898" t="n">
        <x:v>33.2</x:v>
      </x:c>
      <x:c r="E113" s="898" t="n">
        <x:v>34.16</x:v>
      </x:c>
      <x:c r="F113" s="901" t="n">
        <x:v>2654700</x:v>
      </x:c>
      <x:c r="G113" s="904" t="n">
        <x:v>1477.67</x:v>
      </x:c>
      <x:c r="H113" s="904" t="n">
        <x:v>1481.21</x:v>
      </x:c>
      <x:c r="I113" s="904" t="n">
        <x:v>1447.14</x:v>
      </x:c>
      <x:c r="J113" s="904" t="n">
        <x:v>1456.96</x:v>
      </x:c>
      <x:c r="K113" s="901" t="n">
        <x:v>1236789400</x:v>
      </x:c>
      <x:c r="L113" s="907" t="str">
        <x:v>SRC-P404</x:v>
      </x:c>
      <x:c r="M113" s="907" t="str">
        <x:v>VNStock API actual</x:v>
      </x:c>
      <x:c r="N113" s="1032" t="n">
        <x:v>46229.241747685184</x:v>
      </x:c>
    </x:row>
    <x:row r="114">
      <x:c r="A114" s="895" t="n">
        <x:v>44554</x:v>
      </x:c>
      <x:c r="B114" s="898" t="n">
        <x:v>34.09</x:v>
      </x:c>
      <x:c r="C114" s="898" t="n">
        <x:v>34.53</x:v>
      </x:c>
      <x:c r="D114" s="898" t="n">
        <x:v>33.43</x:v>
      </x:c>
      <x:c r="E114" s="898" t="n">
        <x:v>33.76</x:v>
      </x:c>
      <x:c r="F114" s="901" t="n">
        <x:v>2414400</x:v>
      </x:c>
      <x:c r="G114" s="904" t="n">
        <x:v>1456.96</x:v>
      </x:c>
      <x:c r="H114" s="904" t="n">
        <x:v>1478.8</x:v>
      </x:c>
      <x:c r="I114" s="904" t="n">
        <x:v>1456.32</x:v>
      </x:c>
      <x:c r="J114" s="904" t="n">
        <x:v>1477.03</x:v>
      </x:c>
      <x:c r="K114" s="901" t="n">
        <x:v>830953100</x:v>
      </x:c>
      <x:c r="L114" s="907" t="str">
        <x:v>SRC-P404</x:v>
      </x:c>
      <x:c r="M114" s="907" t="str">
        <x:v>VNStock API actual</x:v>
      </x:c>
      <x:c r="N114" s="1032" t="n">
        <x:v>46229.241747685184</x:v>
      </x:c>
    </x:row>
    <x:row r="115">
      <x:c r="A115" s="895" t="n">
        <x:v>44557</x:v>
      </x:c>
      <x:c r="B115" s="898" t="n">
        <x:v>33.94</x:v>
      </x:c>
      <x:c r="C115" s="898" t="n">
        <x:v>34.09</x:v>
      </x:c>
      <x:c r="D115" s="898" t="n">
        <x:v>33.46</x:v>
      </x:c>
      <x:c r="E115" s="898" t="n">
        <x:v>33.79</x:v>
      </x:c>
      <x:c r="F115" s="901" t="n">
        <x:v>1084100</x:v>
      </x:c>
      <x:c r="G115" s="904" t="n">
        <x:v>1477.03</x:v>
      </x:c>
      <x:c r="H115" s="904" t="n">
        <x:v>1490.12</x:v>
      </x:c>
      <x:c r="I115" s="904" t="n">
        <x:v>1469.91</x:v>
      </x:c>
      <x:c r="J115" s="904" t="n">
        <x:v>1488.88</x:v>
      </x:c>
      <x:c r="K115" s="901" t="n">
        <x:v>693941300</x:v>
      </x:c>
      <x:c r="L115" s="907" t="str">
        <x:v>SRC-P404</x:v>
      </x:c>
      <x:c r="M115" s="907" t="str">
        <x:v>VNStock API actual</x:v>
      </x:c>
      <x:c r="N115" s="1032" t="n">
        <x:v>46229.241747685184</x:v>
      </x:c>
    </x:row>
    <x:row r="116">
      <x:c r="A116" s="895" t="n">
        <x:v>44558</x:v>
      </x:c>
      <x:c r="B116" s="898" t="n">
        <x:v>33.57</x:v>
      </x:c>
      <x:c r="C116" s="898" t="n">
        <x:v>34.16</x:v>
      </x:c>
      <x:c r="D116" s="898" t="n">
        <x:v>33.57</x:v>
      </x:c>
      <x:c r="E116" s="898" t="n">
        <x:v>33.76</x:v>
      </x:c>
      <x:c r="F116" s="901" t="n">
        <x:v>1222400</x:v>
      </x:c>
      <x:c r="G116" s="904" t="n">
        <x:v>1488.88</x:v>
      </x:c>
      <x:c r="H116" s="904" t="n">
        <x:v>1499.77</x:v>
      </x:c>
      <x:c r="I116" s="904" t="n">
        <x:v>1483.97</x:v>
      </x:c>
      <x:c r="J116" s="904" t="n">
        <x:v>1494.39</x:v>
      </x:c>
      <x:c r="K116" s="901" t="n">
        <x:v>906771600</x:v>
      </x:c>
      <x:c r="L116" s="907" t="str">
        <x:v>SRC-P404</x:v>
      </x:c>
      <x:c r="M116" s="907" t="str">
        <x:v>VNStock API actual</x:v>
      </x:c>
      <x:c r="N116" s="1032" t="n">
        <x:v>46229.241747685184</x:v>
      </x:c>
    </x:row>
    <x:row r="117">
      <x:c r="A117" s="895" t="n">
        <x:v>44559</x:v>
      </x:c>
      <x:c r="B117" s="898" t="n">
        <x:v>33.83</x:v>
      </x:c>
      <x:c r="C117" s="898" t="n">
        <x:v>34.09</x:v>
      </x:c>
      <x:c r="D117" s="898" t="n">
        <x:v>33.72</x:v>
      </x:c>
      <x:c r="E117" s="898" t="n">
        <x:v>33.91</x:v>
      </x:c>
      <x:c r="F117" s="901" t="n">
        <x:v>826300</x:v>
      </x:c>
      <x:c r="G117" s="904" t="n">
        <x:v>1494.39</x:v>
      </x:c>
      <x:c r="H117" s="904" t="n">
        <x:v>1498.91</x:v>
      </x:c>
      <x:c r="I117" s="904" t="n">
        <x:v>1485.82</x:v>
      </x:c>
      <x:c r="J117" s="904" t="n">
        <x:v>1485.82</x:v>
      </x:c>
      <x:c r="K117" s="901" t="n">
        <x:v>769725300</x:v>
      </x:c>
      <x:c r="L117" s="907" t="str">
        <x:v>SRC-P404</x:v>
      </x:c>
      <x:c r="M117" s="907" t="str">
        <x:v>VNStock API actual</x:v>
      </x:c>
      <x:c r="N117" s="1032" t="n">
        <x:v>46229.241747685184</x:v>
      </x:c>
    </x:row>
    <x:row r="118">
      <x:c r="A118" s="895" t="n">
        <x:v>44560</x:v>
      </x:c>
      <x:c r="B118" s="898" t="n">
        <x:v>33.98</x:v>
      </x:c>
      <x:c r="C118" s="898" t="n">
        <x:v>35.12</x:v>
      </x:c>
      <x:c r="D118" s="898" t="n">
        <x:v>33.98</x:v>
      </x:c>
      <x:c r="E118" s="898" t="n">
        <x:v>34.9</x:v>
      </x:c>
      <x:c r="F118" s="901" t="n">
        <x:v>1410700</x:v>
      </x:c>
      <x:c r="G118" s="904" t="n">
        <x:v>1490.96</x:v>
      </x:c>
      <x:c r="H118" s="904" t="n">
        <x:v>1493.38</x:v>
      </x:c>
      <x:c r="I118" s="904" t="n">
        <x:v>1484.82</x:v>
      </x:c>
      <x:c r="J118" s="904" t="n">
        <x:v>1485.97</x:v>
      </x:c>
      <x:c r="K118" s="901" t="n">
        <x:v>697130800</x:v>
      </x:c>
      <x:c r="L118" s="907" t="str">
        <x:v>SRC-P404</x:v>
      </x:c>
      <x:c r="M118" s="907" t="str">
        <x:v>VNStock API actual</x:v>
      </x:c>
      <x:c r="N118" s="1032" t="n">
        <x:v>46229.241747685184</x:v>
      </x:c>
    </x:row>
    <x:row r="119">
      <x:c r="A119" s="895" t="n">
        <x:v>44561</x:v>
      </x:c>
      <x:c r="B119" s="898" t="n">
        <x:v>34.75</x:v>
      </x:c>
      <x:c r="C119" s="898" t="n">
        <x:v>34.9</x:v>
      </x:c>
      <x:c r="D119" s="898" t="n">
        <x:v>34.31</x:v>
      </x:c>
      <x:c r="E119" s="898" t="n">
        <x:v>34.9</x:v>
      </x:c>
      <x:c r="F119" s="901" t="n">
        <x:v>969600</x:v>
      </x:c>
      <x:c r="G119" s="904" t="n">
        <x:v>1485.97</x:v>
      </x:c>
      <x:c r="H119" s="904" t="n">
        <x:v>1499.07</x:v>
      </x:c>
      <x:c r="I119" s="904" t="n">
        <x:v>1485.97</x:v>
      </x:c>
      <x:c r="J119" s="904" t="n">
        <x:v>1498.28</x:v>
      </x:c>
      <x:c r="K119" s="901" t="n">
        <x:v>807120700</x:v>
      </x:c>
      <x:c r="L119" s="907" t="str">
        <x:v>SRC-P404</x:v>
      </x:c>
      <x:c r="M119" s="907" t="str">
        <x:v>VNStock API actual</x:v>
      </x:c>
      <x:c r="N119" s="1032" t="n">
        <x:v>46229.241747685184</x:v>
      </x:c>
    </x:row>
    <x:row r="120">
      <x:c r="A120" s="895" t="n">
        <x:v>44565</x:v>
      </x:c>
      <x:c r="B120" s="898" t="n">
        <x:v>35.05</x:v>
      </x:c>
      <x:c r="C120" s="898" t="n">
        <x:v>35.16</x:v>
      </x:c>
      <x:c r="D120" s="898" t="n">
        <x:v>34.68</x:v>
      </x:c>
      <x:c r="E120" s="898" t="n">
        <x:v>34.98</x:v>
      </x:c>
      <x:c r="F120" s="901" t="n">
        <x:v>1193000</x:v>
      </x:c>
      <x:c r="G120" s="904" t="n">
        <x:v>1508.55</x:v>
      </x:c>
      <x:c r="H120" s="904" t="n">
        <x:v>1526.69</x:v>
      </x:c>
      <x:c r="I120" s="904" t="n">
        <x:v>1507.19</x:v>
      </x:c>
      <x:c r="J120" s="904" t="n">
        <x:v>1525.58</x:v>
      </x:c>
      <x:c r="K120" s="901" t="n">
        <x:v>790467000</x:v>
      </x:c>
      <x:c r="L120" s="907" t="str">
        <x:v>SRC-P404</x:v>
      </x:c>
      <x:c r="M120" s="907" t="str">
        <x:v>VNStock API actual</x:v>
      </x:c>
      <x:c r="N120" s="1032" t="n">
        <x:v>46229.241747685184</x:v>
      </x:c>
    </x:row>
    <x:row r="121">
      <x:c r="A121" s="895" t="n">
        <x:v>44566</x:v>
      </x:c>
      <x:c r="B121" s="898" t="n">
        <x:v>35.05</x:v>
      </x:c>
      <x:c r="C121" s="898" t="n">
        <x:v>35.38</x:v>
      </x:c>
      <x:c r="D121" s="898" t="n">
        <x:v>34.83</x:v>
      </x:c>
      <x:c r="E121" s="898" t="n">
        <x:v>35.12</x:v>
      </x:c>
      <x:c r="F121" s="901" t="n">
        <x:v>1718500</x:v>
      </x:c>
      <x:c r="G121" s="904" t="n">
        <x:v>1525.58</x:v>
      </x:c>
      <x:c r="H121" s="904" t="n">
        <x:v>1535.82</x:v>
      </x:c>
      <x:c r="I121" s="904" t="n">
        <x:v>1522.5</x:v>
      </x:c>
      <x:c r="J121" s="904" t="n">
        <x:v>1522.5</x:v>
      </x:c>
      <x:c r="K121" s="901" t="n">
        <x:v>958500400</x:v>
      </x:c>
      <x:c r="L121" s="907" t="str">
        <x:v>SRC-P404</x:v>
      </x:c>
      <x:c r="M121" s="907" t="str">
        <x:v>VNStock API actual</x:v>
      </x:c>
      <x:c r="N121" s="1032" t="n">
        <x:v>46229.241747685184</x:v>
      </x:c>
    </x:row>
    <x:row r="122">
      <x:c r="A122" s="895" t="n">
        <x:v>44567</x:v>
      </x:c>
      <x:c r="B122" s="898" t="n">
        <x:v>35.05</x:v>
      </x:c>
      <x:c r="C122" s="898" t="n">
        <x:v>35.12</x:v>
      </x:c>
      <x:c r="D122" s="898" t="n">
        <x:v>34.53</x:v>
      </x:c>
      <x:c r="E122" s="898" t="n">
        <x:v>34.53</x:v>
      </x:c>
      <x:c r="F122" s="901" t="n">
        <x:v>1897700</x:v>
      </x:c>
      <x:c r="G122" s="904" t="n">
        <x:v>1522.5</x:v>
      </x:c>
      <x:c r="H122" s="904" t="n">
        <x:v>1536.24</x:v>
      </x:c>
      <x:c r="I122" s="904" t="n">
        <x:v>1518.18</x:v>
      </x:c>
      <x:c r="J122" s="904" t="n">
        <x:v>1528.57</x:v>
      </x:c>
      <x:c r="K122" s="901" t="n">
        <x:v>1049960600</x:v>
      </x:c>
      <x:c r="L122" s="907" t="str">
        <x:v>SRC-P404</x:v>
      </x:c>
      <x:c r="M122" s="907" t="str">
        <x:v>VNStock API actual</x:v>
      </x:c>
      <x:c r="N122" s="1032" t="n">
        <x:v>46229.241747685184</x:v>
      </x:c>
    </x:row>
    <x:row r="123">
      <x:c r="A123" s="895" t="n">
        <x:v>44568</x:v>
      </x:c>
      <x:c r="B123" s="898" t="n">
        <x:v>34.53</x:v>
      </x:c>
      <x:c r="C123" s="898" t="n">
        <x:v>35.97</x:v>
      </x:c>
      <x:c r="D123" s="898" t="n">
        <x:v>34.53</x:v>
      </x:c>
      <x:c r="E123" s="898" t="n">
        <x:v>35.53</x:v>
      </x:c>
      <x:c r="F123" s="901" t="n">
        <x:v>2117300</x:v>
      </x:c>
      <x:c r="G123" s="904" t="n">
        <x:v>1534.1</x:v>
      </x:c>
      <x:c r="H123" s="904" t="n">
        <x:v>1534.52</x:v>
      </x:c>
      <x:c r="I123" s="904" t="n">
        <x:v>1524.96</x:v>
      </x:c>
      <x:c r="J123" s="904" t="n">
        <x:v>1528.48</x:v>
      </x:c>
      <x:c r="K123" s="901" t="n">
        <x:v>925633800</x:v>
      </x:c>
      <x:c r="L123" s="907" t="str">
        <x:v>SRC-P404</x:v>
      </x:c>
      <x:c r="M123" s="907" t="str">
        <x:v>VNStock API actual</x:v>
      </x:c>
      <x:c r="N123" s="1032" t="n">
        <x:v>46229.241747685184</x:v>
      </x:c>
    </x:row>
    <x:row r="124">
      <x:c r="A124" s="895" t="n">
        <x:v>44571</x:v>
      </x:c>
      <x:c r="B124" s="898" t="n">
        <x:v>35.53</x:v>
      </x:c>
      <x:c r="C124" s="898" t="n">
        <x:v>35.53</x:v>
      </x:c>
      <x:c r="D124" s="898" t="n">
        <x:v>34.31</x:v>
      </x:c>
      <x:c r="E124" s="898" t="n">
        <x:v>34.31</x:v>
      </x:c>
      <x:c r="F124" s="901" t="n">
        <x:v>1203500</x:v>
      </x:c>
      <x:c r="G124" s="904" t="n">
        <x:v>1528.48</x:v>
      </x:c>
      <x:c r="H124" s="904" t="n">
        <x:v>1536.45</x:v>
      </x:c>
      <x:c r="I124" s="904" t="n">
        <x:v>1503.71</x:v>
      </x:c>
      <x:c r="J124" s="904" t="n">
        <x:v>1503.71</x:v>
      </x:c>
      <x:c r="K124" s="901" t="n">
        <x:v>1283743700</x:v>
      </x:c>
      <x:c r="L124" s="907" t="str">
        <x:v>SRC-P404</x:v>
      </x:c>
      <x:c r="M124" s="907" t="str">
        <x:v>VNStock API actual</x:v>
      </x:c>
      <x:c r="N124" s="1032" t="n">
        <x:v>46229.241747685184</x:v>
      </x:c>
    </x:row>
    <x:row r="125">
      <x:c r="A125" s="895" t="n">
        <x:v>44572</x:v>
      </x:c>
      <x:c r="B125" s="898" t="n">
        <x:v>34.09</x:v>
      </x:c>
      <x:c r="C125" s="898" t="n">
        <x:v>34.68</x:v>
      </x:c>
      <x:c r="D125" s="898" t="n">
        <x:v>33.79</x:v>
      </x:c>
      <x:c r="E125" s="898" t="n">
        <x:v>33.79</x:v>
      </x:c>
      <x:c r="F125" s="901" t="n">
        <x:v>1008500</x:v>
      </x:c>
      <x:c r="G125" s="904" t="n">
        <x:v>1503.71</x:v>
      </x:c>
      <x:c r="H125" s="904" t="n">
        <x:v>1512.05</x:v>
      </x:c>
      <x:c r="I125" s="904" t="n">
        <x:v>1488.4</x:v>
      </x:c>
      <x:c r="J125" s="904" t="n">
        <x:v>1492.31</x:v>
      </x:c>
      <x:c r="K125" s="901" t="n">
        <x:v>1194709000</x:v>
      </x:c>
      <x:c r="L125" s="907" t="str">
        <x:v>SRC-P404</x:v>
      </x:c>
      <x:c r="M125" s="907" t="str">
        <x:v>VNStock API actual</x:v>
      </x:c>
      <x:c r="N125" s="1032" t="n">
        <x:v>46229.241747685184</x:v>
      </x:c>
    </x:row>
    <x:row r="126">
      <x:c r="A126" s="895" t="n">
        <x:v>44573</x:v>
      </x:c>
      <x:c r="B126" s="898" t="n">
        <x:v>33.87</x:v>
      </x:c>
      <x:c r="C126" s="898" t="n">
        <x:v>34.35</x:v>
      </x:c>
      <x:c r="D126" s="898" t="n">
        <x:v>32.1</x:v>
      </x:c>
      <x:c r="E126" s="898" t="n">
        <x:v>32.72</x:v>
      </x:c>
      <x:c r="F126" s="901" t="n">
        <x:v>2682300</x:v>
      </x:c>
      <x:c r="G126" s="904" t="n">
        <x:v>1489.11</x:v>
      </x:c>
      <x:c r="H126" s="904" t="n">
        <x:v>1510.51</x:v>
      </x:c>
      <x:c r="I126" s="904" t="n">
        <x:v>1464.49</x:v>
      </x:c>
      <x:c r="J126" s="904" t="n">
        <x:v>1510.51</x:v>
      </x:c>
      <x:c r="K126" s="901" t="n">
        <x:v>1070503500</x:v>
      </x:c>
      <x:c r="L126" s="907" t="str">
        <x:v>SRC-P404</x:v>
      </x:c>
      <x:c r="M126" s="907" t="str">
        <x:v>VNStock API actual</x:v>
      </x:c>
      <x:c r="N126" s="1032" t="n">
        <x:v>46229.241747685184</x:v>
      </x:c>
    </x:row>
    <x:row r="127">
      <x:c r="A127" s="895" t="n">
        <x:v>44574</x:v>
      </x:c>
      <x:c r="B127" s="898" t="n">
        <x:v>33.2</x:v>
      </x:c>
      <x:c r="C127" s="898" t="n">
        <x:v>33.5</x:v>
      </x:c>
      <x:c r="D127" s="898" t="n">
        <x:v>32.47</x:v>
      </x:c>
      <x:c r="E127" s="898" t="n">
        <x:v>32.47</x:v>
      </x:c>
      <x:c r="F127" s="901" t="n">
        <x:v>1660400</x:v>
      </x:c>
      <x:c r="G127" s="904" t="n">
        <x:v>1510.51</x:v>
      </x:c>
      <x:c r="H127" s="904" t="n">
        <x:v>1522.6</x:v>
      </x:c>
      <x:c r="I127" s="904" t="n">
        <x:v>1495.13</x:v>
      </x:c>
      <x:c r="J127" s="904" t="n">
        <x:v>1496.05</x:v>
      </x:c>
      <x:c r="K127" s="901" t="n">
        <x:v>941991300</x:v>
      </x:c>
      <x:c r="L127" s="907" t="str">
        <x:v>SRC-P404</x:v>
      </x:c>
      <x:c r="M127" s="907" t="str">
        <x:v>VNStock API actual</x:v>
      </x:c>
      <x:c r="N127" s="1032" t="n">
        <x:v>46229.241747685184</x:v>
      </x:c>
    </x:row>
    <x:row r="128">
      <x:c r="A128" s="895" t="n">
        <x:v>44575</x:v>
      </x:c>
      <x:c r="B128" s="898" t="n">
        <x:v>32.39</x:v>
      </x:c>
      <x:c r="C128" s="898" t="n">
        <x:v>32.47</x:v>
      </x:c>
      <x:c r="D128" s="898" t="n">
        <x:v>31.58</x:v>
      </x:c>
      <x:c r="E128" s="898" t="n">
        <x:v>31.58</x:v>
      </x:c>
      <x:c r="F128" s="901" t="n">
        <x:v>1693300</x:v>
      </x:c>
      <x:c r="G128" s="904" t="n">
        <x:v>1496.05</x:v>
      </x:c>
      <x:c r="H128" s="904" t="n">
        <x:v>1503.25</x:v>
      </x:c>
      <x:c r="I128" s="904" t="n">
        <x:v>1476.68</x:v>
      </x:c>
      <x:c r="J128" s="904" t="n">
        <x:v>1496.02</x:v>
      </x:c>
      <x:c r="K128" s="901" t="n">
        <x:v>712911900</x:v>
      </x:c>
      <x:c r="L128" s="907" t="str">
        <x:v>SRC-P404</x:v>
      </x:c>
      <x:c r="M128" s="907" t="str">
        <x:v>VNStock API actual</x:v>
      </x:c>
      <x:c r="N128" s="1032" t="n">
        <x:v>46229.241747685184</x:v>
      </x:c>
    </x:row>
    <x:row r="129">
      <x:c r="A129" s="895" t="n">
        <x:v>44578</x:v>
      </x:c>
      <x:c r="B129" s="898" t="n">
        <x:v>31.73</x:v>
      </x:c>
      <x:c r="C129" s="898" t="n">
        <x:v>32.32</x:v>
      </x:c>
      <x:c r="D129" s="898" t="n">
        <x:v>29.88</x:v>
      </x:c>
      <x:c r="E129" s="898" t="n">
        <x:v>29.88</x:v>
      </x:c>
      <x:c r="F129" s="901" t="n">
        <x:v>2185900</x:v>
      </x:c>
      <x:c r="G129" s="904" t="n">
        <x:v>1496.02</x:v>
      </x:c>
      <x:c r="H129" s="904" t="n">
        <x:v>1503.86</x:v>
      </x:c>
      <x:c r="I129" s="904" t="n">
        <x:v>1452.84</x:v>
      </x:c>
      <x:c r="J129" s="904" t="n">
        <x:v>1452.84</x:v>
      </x:c>
      <x:c r="K129" s="901" t="n">
        <x:v>888508000</x:v>
      </x:c>
      <x:c r="L129" s="907" t="str">
        <x:v>SRC-P404</x:v>
      </x:c>
      <x:c r="M129" s="907" t="str">
        <x:v>VNStock API actual</x:v>
      </x:c>
      <x:c r="N129" s="1032" t="n">
        <x:v>46229.241747685184</x:v>
      </x:c>
    </x:row>
    <x:row r="130">
      <x:c r="A130" s="895" t="n">
        <x:v>44579</x:v>
      </x:c>
      <x:c r="B130" s="898" t="n">
        <x:v>29.48</x:v>
      </x:c>
      <x:c r="C130" s="898" t="n">
        <x:v>30.7</x:v>
      </x:c>
      <x:c r="D130" s="898" t="n">
        <x:v>29.48</x:v>
      </x:c>
      <x:c r="E130" s="898" t="n">
        <x:v>30.36</x:v>
      </x:c>
      <x:c r="F130" s="901" t="n">
        <x:v>1618700</x:v>
      </x:c>
      <x:c r="G130" s="904" t="n">
        <x:v>1439.29</x:v>
      </x:c>
      <x:c r="H130" s="904" t="n">
        <x:v>1452.14</x:v>
      </x:c>
      <x:c r="I130" s="904" t="n">
        <x:v>1424.65</x:v>
      </x:c>
      <x:c r="J130" s="904" t="n">
        <x:v>1438.94</x:v>
      </x:c>
      <x:c r="K130" s="901" t="n">
        <x:v>666313500</x:v>
      </x:c>
      <x:c r="L130" s="907" t="str">
        <x:v>SRC-P404</x:v>
      </x:c>
      <x:c r="M130" s="907" t="str">
        <x:v>VNStock API actual</x:v>
      </x:c>
      <x:c r="N130" s="1032" t="n">
        <x:v>46229.241747685184</x:v>
      </x:c>
    </x:row>
    <x:row r="131">
      <x:c r="A131" s="895" t="n">
        <x:v>44580</x:v>
      </x:c>
      <x:c r="B131" s="898" t="n">
        <x:v>30.36</x:v>
      </x:c>
      <x:c r="C131" s="898" t="n">
        <x:v>31.36</x:v>
      </x:c>
      <x:c r="D131" s="898" t="n">
        <x:v>30.36</x:v>
      </x:c>
      <x:c r="E131" s="898" t="n">
        <x:v>30.62</x:v>
      </x:c>
      <x:c r="F131" s="901" t="n">
        <x:v>927700</x:v>
      </x:c>
      <x:c r="G131" s="904" t="n">
        <x:v>1438.68</x:v>
      </x:c>
      <x:c r="H131" s="904" t="n">
        <x:v>1449.11</x:v>
      </x:c>
      <x:c r="I131" s="904" t="n">
        <x:v>1434.46</x:v>
      </x:c>
      <x:c r="J131" s="904" t="n">
        <x:v>1442.79</x:v>
      </x:c>
      <x:c r="K131" s="901" t="n">
        <x:v>538507600</x:v>
      </x:c>
      <x:c r="L131" s="907" t="str">
        <x:v>SRC-P404</x:v>
      </x:c>
      <x:c r="M131" s="907" t="str">
        <x:v>VNStock API actual</x:v>
      </x:c>
      <x:c r="N131" s="1032" t="n">
        <x:v>46229.241747685184</x:v>
      </x:c>
    </x:row>
    <x:row r="132">
      <x:c r="A132" s="895" t="n">
        <x:v>44581</x:v>
      </x:c>
      <x:c r="B132" s="898" t="n">
        <x:v>30.99</x:v>
      </x:c>
      <x:c r="C132" s="898" t="n">
        <x:v>31.29</x:v>
      </x:c>
      <x:c r="D132" s="898" t="n">
        <x:v>30.84</x:v>
      </x:c>
      <x:c r="E132" s="898" t="n">
        <x:v>31.03</x:v>
      </x:c>
      <x:c r="F132" s="901" t="n">
        <x:v>647100</x:v>
      </x:c>
      <x:c r="G132" s="904" t="n">
        <x:v>1438.99</x:v>
      </x:c>
      <x:c r="H132" s="904" t="n">
        <x:v>1469.08</x:v>
      </x:c>
      <x:c r="I132" s="904" t="n">
        <x:v>1432.58</x:v>
      </x:c>
      <x:c r="J132" s="904" t="n">
        <x:v>1465.3</x:v>
      </x:c>
      <x:c r="K132" s="901" t="n">
        <x:v>738010400</x:v>
      </x:c>
      <x:c r="L132" s="907" t="str">
        <x:v>SRC-P404</x:v>
      </x:c>
      <x:c r="M132" s="907" t="str">
        <x:v>VNStock API actual</x:v>
      </x:c>
      <x:c r="N132" s="1032" t="n">
        <x:v>46229.241747685184</x:v>
      </x:c>
    </x:row>
    <x:row r="133">
      <x:c r="A133" s="895" t="n">
        <x:v>44582</x:v>
      </x:c>
      <x:c r="B133" s="898" t="n">
        <x:v>31.32</x:v>
      </x:c>
      <x:c r="C133" s="898" t="n">
        <x:v>31.43</x:v>
      </x:c>
      <x:c r="D133" s="898" t="n">
        <x:v>30.99</x:v>
      </x:c>
      <x:c r="E133" s="898" t="n">
        <x:v>30.99</x:v>
      </x:c>
      <x:c r="F133" s="901" t="n">
        <x:v>602300</x:v>
      </x:c>
      <x:c r="G133" s="904" t="n">
        <x:v>1465.3</x:v>
      </x:c>
      <x:c r="H133" s="904" t="n">
        <x:v>1477.09</x:v>
      </x:c>
      <x:c r="I133" s="904" t="n">
        <x:v>1463.06</x:v>
      </x:c>
      <x:c r="J133" s="904" t="n">
        <x:v>1472.89</x:v>
      </x:c>
      <x:c r="K133" s="901" t="n">
        <x:v>755353500</x:v>
      </x:c>
      <x:c r="L133" s="907" t="str">
        <x:v>SRC-P404</x:v>
      </x:c>
      <x:c r="M133" s="907" t="str">
        <x:v>VNStock API actual</x:v>
      </x:c>
      <x:c r="N133" s="1032" t="n">
        <x:v>46229.241747685184</x:v>
      </x:c>
    </x:row>
    <x:row r="134">
      <x:c r="A134" s="895" t="n">
        <x:v>44585</x:v>
      </x:c>
      <x:c r="B134" s="898" t="n">
        <x:v>31.06</x:v>
      </x:c>
      <x:c r="C134" s="898" t="n">
        <x:v>31.06</x:v>
      </x:c>
      <x:c r="D134" s="898" t="n">
        <x:v>29.99</x:v>
      </x:c>
      <x:c r="E134" s="898" t="n">
        <x:v>30.18</x:v>
      </x:c>
      <x:c r="F134" s="901" t="n">
        <x:v>1133000</x:v>
      </x:c>
      <x:c r="G134" s="904" t="n">
        <x:v>1472.89</x:v>
      </x:c>
      <x:c r="H134" s="904" t="n">
        <x:v>1472.89</x:v>
      </x:c>
      <x:c r="I134" s="904" t="n">
        <x:v>1432.18</x:v>
      </x:c>
      <x:c r="J134" s="904" t="n">
        <x:v>1439.71</x:v>
      </x:c>
      <x:c r="K134" s="901" t="n">
        <x:v>757646100</x:v>
      </x:c>
      <x:c r="L134" s="907" t="str">
        <x:v>SRC-P404</x:v>
      </x:c>
      <x:c r="M134" s="907" t="str">
        <x:v>VNStock API actual</x:v>
      </x:c>
      <x:c r="N134" s="1032" t="n">
        <x:v>46229.241747685184</x:v>
      </x:c>
    </x:row>
    <x:row r="135">
      <x:c r="A135" s="895" t="n">
        <x:v>44586</x:v>
      </x:c>
      <x:c r="B135" s="898" t="n">
        <x:v>29.81</x:v>
      </x:c>
      <x:c r="C135" s="898" t="n">
        <x:v>31.77</x:v>
      </x:c>
      <x:c r="D135" s="898" t="n">
        <x:v>29.81</x:v>
      </x:c>
      <x:c r="E135" s="898" t="n">
        <x:v>31.73</x:v>
      </x:c>
      <x:c r="F135" s="901" t="n">
        <x:v>1209500</x:v>
      </x:c>
      <x:c r="G135" s="904" t="n">
        <x:v>1439.71</x:v>
      </x:c>
      <x:c r="H135" s="904" t="n">
        <x:v>1479.58</x:v>
      </x:c>
      <x:c r="I135" s="904" t="n">
        <x:v>1424.36</x:v>
      </x:c>
      <x:c r="J135" s="904" t="n">
        <x:v>1479.58</x:v>
      </x:c>
      <x:c r="K135" s="901" t="n">
        <x:v>680083800</x:v>
      </x:c>
      <x:c r="L135" s="907" t="str">
        <x:v>SRC-P404</x:v>
      </x:c>
      <x:c r="M135" s="907" t="str">
        <x:v>VNStock API actual</x:v>
      </x:c>
      <x:c r="N135" s="1032" t="n">
        <x:v>46229.241747685184</x:v>
      </x:c>
    </x:row>
    <x:row r="136">
      <x:c r="A136" s="895" t="n">
        <x:v>44587</x:v>
      </x:c>
      <x:c r="B136" s="898" t="n">
        <x:v>32.36</x:v>
      </x:c>
      <x:c r="C136" s="898" t="n">
        <x:v>32.36</x:v>
      </x:c>
      <x:c r="D136" s="898" t="n">
        <x:v>30.99</x:v>
      </x:c>
      <x:c r="E136" s="898" t="n">
        <x:v>30.99</x:v>
      </x:c>
      <x:c r="F136" s="901" t="n">
        <x:v>1047600</x:v>
      </x:c>
      <x:c r="G136" s="904" t="n">
        <x:v>1479.58</x:v>
      </x:c>
      <x:c r="H136" s="904" t="n">
        <x:v>1490.45</x:v>
      </x:c>
      <x:c r="I136" s="904" t="n">
        <x:v>1478.41</x:v>
      </x:c>
      <x:c r="J136" s="904" t="n">
        <x:v>1481.58</x:v>
      </x:c>
      <x:c r="K136" s="901" t="n">
        <x:v>737216700</x:v>
      </x:c>
      <x:c r="L136" s="907" t="str">
        <x:v>SRC-P404</x:v>
      </x:c>
      <x:c r="M136" s="907" t="str">
        <x:v>VNStock API actual</x:v>
      </x:c>
      <x:c r="N136" s="1032" t="n">
        <x:v>46229.241747685184</x:v>
      </x:c>
    </x:row>
    <x:row r="137">
      <x:c r="A137" s="895" t="n">
        <x:v>44588</x:v>
      </x:c>
      <x:c r="B137" s="898" t="n">
        <x:v>30.99</x:v>
      </x:c>
      <x:c r="C137" s="898" t="n">
        <x:v>31.84</x:v>
      </x:c>
      <x:c r="D137" s="898" t="n">
        <x:v>30.99</x:v>
      </x:c>
      <x:c r="E137" s="898" t="n">
        <x:v>31.21</x:v>
      </x:c>
      <x:c r="F137" s="901" t="n">
        <x:v>925200</x:v>
      </x:c>
      <x:c r="G137" s="904" t="n">
        <x:v>1481.58</x:v>
      </x:c>
      <x:c r="H137" s="904" t="n">
        <x:v>1486.39</x:v>
      </x:c>
      <x:c r="I137" s="904" t="n">
        <x:v>1464.06</x:v>
      </x:c>
      <x:c r="J137" s="904" t="n">
        <x:v>1470.76</x:v>
      </x:c>
      <x:c r="K137" s="901" t="n">
        <x:v>498256400</x:v>
      </x:c>
      <x:c r="L137" s="907" t="str">
        <x:v>SRC-P404</x:v>
      </x:c>
      <x:c r="M137" s="907" t="str">
        <x:v>VNStock API actual</x:v>
      </x:c>
      <x:c r="N137" s="1032" t="n">
        <x:v>46229.241747685184</x:v>
      </x:c>
    </x:row>
    <x:row r="138">
      <x:c r="A138" s="895" t="n">
        <x:v>44589</x:v>
      </x:c>
      <x:c r="B138" s="898" t="n">
        <x:v>31.36</x:v>
      </x:c>
      <x:c r="C138" s="898" t="n">
        <x:v>31.91</x:v>
      </x:c>
      <x:c r="D138" s="898" t="n">
        <x:v>31.03</x:v>
      </x:c>
      <x:c r="E138" s="898" t="n">
        <x:v>31.73</x:v>
      </x:c>
      <x:c r="F138" s="901" t="n">
        <x:v>1276600</x:v>
      </x:c>
      <x:c r="G138" s="904" t="n">
        <x:v>1470.76</x:v>
      </x:c>
      <x:c r="H138" s="904" t="n">
        <x:v>1484.48</x:v>
      </x:c>
      <x:c r="I138" s="904" t="n">
        <x:v>1465.22</x:v>
      </x:c>
      <x:c r="J138" s="904" t="n">
        <x:v>1478.96</x:v>
      </x:c>
      <x:c r="K138" s="901" t="n">
        <x:v>634887600</x:v>
      </x:c>
      <x:c r="L138" s="907" t="str">
        <x:v>SRC-P404</x:v>
      </x:c>
      <x:c r="M138" s="907" t="str">
        <x:v>VNStock API actual</x:v>
      </x:c>
      <x:c r="N138" s="1032" t="n">
        <x:v>46229.241747685184</x:v>
      </x:c>
    </x:row>
    <x:row r="139">
      <x:c r="A139" s="895" t="n">
        <x:v>44599</x:v>
      </x:c>
      <x:c r="B139" s="898" t="n">
        <x:v>32.36</x:v>
      </x:c>
      <x:c r="C139" s="898" t="n">
        <x:v>33.94</x:v>
      </x:c>
      <x:c r="D139" s="898" t="n">
        <x:v>32.36</x:v>
      </x:c>
      <x:c r="E139" s="898" t="n">
        <x:v>33.94</x:v>
      </x:c>
      <x:c r="F139" s="901" t="n">
        <x:v>1355200</x:v>
      </x:c>
      <x:c r="G139" s="904" t="n">
        <x:v>1498.8</x:v>
      </x:c>
      <x:c r="H139" s="904" t="n">
        <x:v>1505.69</x:v>
      </x:c>
      <x:c r="I139" s="904" t="n">
        <x:v>1493.89</x:v>
      </x:c>
      <x:c r="J139" s="904" t="n">
        <x:v>1497.66</x:v>
      </x:c>
      <x:c r="K139" s="901" t="n">
        <x:v>516533800</x:v>
      </x:c>
      <x:c r="L139" s="907" t="str">
        <x:v>SRC-P404</x:v>
      </x:c>
      <x:c r="M139" s="907" t="str">
        <x:v>VNStock API actual</x:v>
      </x:c>
      <x:c r="N139" s="1032" t="n">
        <x:v>46229.241747685184</x:v>
      </x:c>
    </x:row>
    <x:row r="140">
      <x:c r="A140" s="895" t="n">
        <x:v>44600</x:v>
      </x:c>
      <x:c r="B140" s="898" t="n">
        <x:v>34.27</x:v>
      </x:c>
      <x:c r="C140" s="898" t="n">
        <x:v>35.05</x:v>
      </x:c>
      <x:c r="D140" s="898" t="n">
        <x:v>33.94</x:v>
      </x:c>
      <x:c r="E140" s="898" t="n">
        <x:v>34.42</x:v>
      </x:c>
      <x:c r="F140" s="901" t="n">
        <x:v>1632900</x:v>
      </x:c>
      <x:c r="G140" s="904" t="n">
        <x:v>1496.26</x:v>
      </x:c>
      <x:c r="H140" s="904" t="n">
        <x:v>1503.33</x:v>
      </x:c>
      <x:c r="I140" s="904" t="n">
        <x:v>1491.78</x:v>
      </x:c>
      <x:c r="J140" s="904" t="n">
        <x:v>1500.99</x:v>
      </x:c>
      <x:c r="K140" s="901" t="n">
        <x:v>660158600</x:v>
      </x:c>
      <x:c r="L140" s="907" t="str">
        <x:v>SRC-P404</x:v>
      </x:c>
      <x:c r="M140" s="907" t="str">
        <x:v>VNStock API actual</x:v>
      </x:c>
      <x:c r="N140" s="1032" t="n">
        <x:v>46229.241747685184</x:v>
      </x:c>
    </x:row>
    <x:row r="141">
      <x:c r="A141" s="895" t="n">
        <x:v>44601</x:v>
      </x:c>
      <x:c r="B141" s="898" t="n">
        <x:v>34.68</x:v>
      </x:c>
      <x:c r="C141" s="898" t="n">
        <x:v>35.79</x:v>
      </x:c>
      <x:c r="D141" s="898" t="n">
        <x:v>34.31</x:v>
      </x:c>
      <x:c r="E141" s="898" t="n">
        <x:v>35.79</x:v>
      </x:c>
      <x:c r="F141" s="901" t="n">
        <x:v>2810900</x:v>
      </x:c>
      <x:c r="G141" s="904" t="n">
        <x:v>1501.67</x:v>
      </x:c>
      <x:c r="H141" s="904" t="n">
        <x:v>1511.72</x:v>
      </x:c>
      <x:c r="I141" s="904" t="n">
        <x:v>1499.53</x:v>
      </x:c>
      <x:c r="J141" s="904" t="n">
        <x:v>1505.38</x:v>
      </x:c>
      <x:c r="K141" s="901" t="n">
        <x:v>722161500</x:v>
      </x:c>
      <x:c r="L141" s="907" t="str">
        <x:v>SRC-P404</x:v>
      </x:c>
      <x:c r="M141" s="907" t="str">
        <x:v>VNStock API actual</x:v>
      </x:c>
      <x:c r="N141" s="1032" t="n">
        <x:v>46229.241747685184</x:v>
      </x:c>
    </x:row>
    <x:row r="142">
      <x:c r="A142" s="895" t="n">
        <x:v>44602</x:v>
      </x:c>
      <x:c r="B142" s="898" t="n">
        <x:v>35.71</x:v>
      </x:c>
      <x:c r="C142" s="898" t="n">
        <x:v>35.71</x:v>
      </x:c>
      <x:c r="D142" s="898" t="n">
        <x:v>35.05</x:v>
      </x:c>
      <x:c r="E142" s="898" t="n">
        <x:v>35.23</x:v>
      </x:c>
      <x:c r="F142" s="901" t="n">
        <x:v>1635600</x:v>
      </x:c>
      <x:c r="G142" s="904" t="n">
        <x:v>1510.66</x:v>
      </x:c>
      <x:c r="H142" s="904" t="n">
        <x:v>1512.88</x:v>
      </x:c>
      <x:c r="I142" s="904" t="n">
        <x:v>1495.7</x:v>
      </x:c>
      <x:c r="J142" s="904" t="n">
        <x:v>1506.79</x:v>
      </x:c>
      <x:c r="K142" s="901" t="n">
        <x:v>594347700</x:v>
      </x:c>
      <x:c r="L142" s="907" t="str">
        <x:v>SRC-P404</x:v>
      </x:c>
      <x:c r="M142" s="907" t="str">
        <x:v>VNStock API actual</x:v>
      </x:c>
      <x:c r="N142" s="1032" t="n">
        <x:v>46229.241747685184</x:v>
      </x:c>
    </x:row>
    <x:row r="143">
      <x:c r="A143" s="895" t="n">
        <x:v>44603</x:v>
      </x:c>
      <x:c r="B143" s="898" t="n">
        <x:v>35.23</x:v>
      </x:c>
      <x:c r="C143" s="898" t="n">
        <x:v>35.93</x:v>
      </x:c>
      <x:c r="D143" s="898" t="n">
        <x:v>35.05</x:v>
      </x:c>
      <x:c r="E143" s="898" t="n">
        <x:v>35.68</x:v>
      </x:c>
      <x:c r="F143" s="901" t="n">
        <x:v>1659800</x:v>
      </x:c>
      <x:c r="G143" s="904" t="n">
        <x:v>1502.83</x:v>
      </x:c>
      <x:c r="H143" s="904" t="n">
        <x:v>1508.54</x:v>
      </x:c>
      <x:c r="I143" s="904" t="n">
        <x:v>1499.06</x:v>
      </x:c>
      <x:c r="J143" s="904" t="n">
        <x:v>1501.71</x:v>
      </x:c>
      <x:c r="K143" s="901" t="n">
        <x:v>550204700</x:v>
      </x:c>
      <x:c r="L143" s="907" t="str">
        <x:v>SRC-P404</x:v>
      </x:c>
      <x:c r="M143" s="907" t="str">
        <x:v>VNStock API actual</x:v>
      </x:c>
      <x:c r="N143" s="1032" t="n">
        <x:v>46229.241747685184</x:v>
      </x:c>
    </x:row>
    <x:row r="144">
      <x:c r="A144" s="895" t="n">
        <x:v>44606</x:v>
      </x:c>
      <x:c r="B144" s="898" t="n">
        <x:v>35.57</x:v>
      </x:c>
      <x:c r="C144" s="898" t="n">
        <x:v>36.67</x:v>
      </x:c>
      <x:c r="D144" s="898" t="n">
        <x:v>34.61</x:v>
      </x:c>
      <x:c r="E144" s="898" t="n">
        <x:v>36.08</x:v>
      </x:c>
      <x:c r="F144" s="901" t="n">
        <x:v>2783900</x:v>
      </x:c>
      <x:c r="G144" s="904" t="n">
        <x:v>1486.73</x:v>
      </x:c>
      <x:c r="H144" s="904" t="n">
        <x:v>1495.99</x:v>
      </x:c>
      <x:c r="I144" s="904" t="n">
        <x:v>1471.96</x:v>
      </x:c>
      <x:c r="J144" s="904" t="n">
        <x:v>1471.96</x:v>
      </x:c>
      <x:c r="K144" s="901" t="n">
        <x:v>717396000</x:v>
      </x:c>
      <x:c r="L144" s="907" t="str">
        <x:v>SRC-P404</x:v>
      </x:c>
      <x:c r="M144" s="907" t="str">
        <x:v>VNStock API actual</x:v>
      </x:c>
      <x:c r="N144" s="1032" t="n">
        <x:v>46229.241747685184</x:v>
      </x:c>
    </x:row>
    <x:row r="145">
      <x:c r="A145" s="895" t="n">
        <x:v>44607</x:v>
      </x:c>
      <x:c r="B145" s="898" t="n">
        <x:v>36.08</x:v>
      </x:c>
      <x:c r="C145" s="898" t="n">
        <x:v>36.23</x:v>
      </x:c>
      <x:c r="D145" s="898" t="n">
        <x:v>35.64</x:v>
      </x:c>
      <x:c r="E145" s="898" t="n">
        <x:v>36.08</x:v>
      </x:c>
      <x:c r="F145" s="901" t="n">
        <x:v>1162000</x:v>
      </x:c>
      <x:c r="G145" s="904" t="n">
        <x:v>1473.92</x:v>
      </x:c>
      <x:c r="H145" s="904" t="n">
        <x:v>1495.56</x:v>
      </x:c>
      <x:c r="I145" s="904" t="n">
        <x:v>1470.06</x:v>
      </x:c>
      <x:c r="J145" s="904" t="n">
        <x:v>1492.75</x:v>
      </x:c>
      <x:c r="K145" s="901" t="n">
        <x:v>538527000</x:v>
      </x:c>
      <x:c r="L145" s="907" t="str">
        <x:v>SRC-P404</x:v>
      </x:c>
      <x:c r="M145" s="907" t="str">
        <x:v>VNStock API actual</x:v>
      </x:c>
      <x:c r="N145" s="1032" t="n">
        <x:v>46229.241747685184</x:v>
      </x:c>
    </x:row>
    <x:row r="146">
      <x:c r="A146" s="895" t="n">
        <x:v>44608</x:v>
      </x:c>
      <x:c r="B146" s="898" t="n">
        <x:v>35.79</x:v>
      </x:c>
      <x:c r="C146" s="898" t="n">
        <x:v>36.71</x:v>
      </x:c>
      <x:c r="D146" s="898" t="n">
        <x:v>35.79</x:v>
      </x:c>
      <x:c r="E146" s="898" t="n">
        <x:v>36.45</x:v>
      </x:c>
      <x:c r="F146" s="901" t="n">
        <x:v>1462200</x:v>
      </x:c>
      <x:c r="G146" s="904" t="n">
        <x:v>1499.07</x:v>
      </x:c>
      <x:c r="H146" s="904" t="n">
        <x:v>1499.5</x:v>
      </x:c>
      <x:c r="I146" s="904" t="n">
        <x:v>1486.68</x:v>
      </x:c>
      <x:c r="J146" s="904" t="n">
        <x:v>1492.1</x:v>
      </x:c>
      <x:c r="K146" s="901" t="n">
        <x:v>594459500</x:v>
      </x:c>
      <x:c r="L146" s="907" t="str">
        <x:v>SRC-P404</x:v>
      </x:c>
      <x:c r="M146" s="907" t="str">
        <x:v>VNStock API actual</x:v>
      </x:c>
      <x:c r="N146" s="1032" t="n">
        <x:v>46229.241747685184</x:v>
      </x:c>
    </x:row>
    <x:row r="147">
      <x:c r="A147" s="895" t="n">
        <x:v>44609</x:v>
      </x:c>
      <x:c r="B147" s="898" t="n">
        <x:v>36.89</x:v>
      </x:c>
      <x:c r="C147" s="898" t="n">
        <x:v>37.85</x:v>
      </x:c>
      <x:c r="D147" s="898" t="n">
        <x:v>36.71</x:v>
      </x:c>
      <x:c r="E147" s="898" t="n">
        <x:v>37.78</x:v>
      </x:c>
      <x:c r="F147" s="901" t="n">
        <x:v>3545000</x:v>
      </x:c>
      <x:c r="G147" s="904" t="n">
        <x:v>1492.1</x:v>
      </x:c>
      <x:c r="H147" s="904" t="n">
        <x:v>1507.99</x:v>
      </x:c>
      <x:c r="I147" s="904" t="n">
        <x:v>1492.1</x:v>
      </x:c>
      <x:c r="J147" s="904" t="n">
        <x:v>1507.99</x:v>
      </x:c>
      <x:c r="K147" s="901" t="n">
        <x:v>687250992</x:v>
      </x:c>
      <x:c r="L147" s="907" t="str">
        <x:v>SRC-P404</x:v>
      </x:c>
      <x:c r="M147" s="907" t="str">
        <x:v>VNStock API actual</x:v>
      </x:c>
      <x:c r="N147" s="1032" t="n">
        <x:v>46229.241747685184</x:v>
      </x:c>
    </x:row>
    <x:row r="148">
      <x:c r="A148" s="895" t="n">
        <x:v>44610</x:v>
      </x:c>
      <x:c r="B148" s="898" t="n">
        <x:v>37.63</x:v>
      </x:c>
      <x:c r="C148" s="898" t="n">
        <x:v>38.44</x:v>
      </x:c>
      <x:c r="D148" s="898" t="n">
        <x:v>37.26</x:v>
      </x:c>
      <x:c r="E148" s="898" t="n">
        <x:v>38.3</x:v>
      </x:c>
      <x:c r="F148" s="901" t="n">
        <x:v>3444800</x:v>
      </x:c>
      <x:c r="G148" s="904" t="n">
        <x:v>1494.3</x:v>
      </x:c>
      <x:c r="H148" s="904" t="n">
        <x:v>1507.29</x:v>
      </x:c>
      <x:c r="I148" s="904" t="n">
        <x:v>1492.38</x:v>
      </x:c>
      <x:c r="J148" s="904" t="n">
        <x:v>1504.84</x:v>
      </x:c>
      <x:c r="K148" s="901" t="n">
        <x:v>645883900</x:v>
      </x:c>
      <x:c r="L148" s="907" t="str">
        <x:v>SRC-P404</x:v>
      </x:c>
      <x:c r="M148" s="907" t="str">
        <x:v>VNStock API actual</x:v>
      </x:c>
      <x:c r="N148" s="1032" t="n">
        <x:v>46229.241747685184</x:v>
      </x:c>
    </x:row>
    <x:row r="149">
      <x:c r="A149" s="895" t="n">
        <x:v>44613</x:v>
      </x:c>
      <x:c r="B149" s="898" t="n">
        <x:v>38.22</x:v>
      </x:c>
      <x:c r="C149" s="898" t="n">
        <x:v>38.74</x:v>
      </x:c>
      <x:c r="D149" s="898" t="n">
        <x:v>37.78</x:v>
      </x:c>
      <x:c r="E149" s="898" t="n">
        <x:v>37.78</x:v>
      </x:c>
      <x:c r="F149" s="901" t="n">
        <x:v>1489200</x:v>
      </x:c>
      <x:c r="G149" s="904" t="n">
        <x:v>1504.96</x:v>
      </x:c>
      <x:c r="H149" s="904" t="n">
        <x:v>1516.63</x:v>
      </x:c>
      <x:c r="I149" s="904" t="n">
        <x:v>1500.97</x:v>
      </x:c>
      <x:c r="J149" s="904" t="n">
        <x:v>1510.84</x:v>
      </x:c>
      <x:c r="K149" s="901" t="n">
        <x:v>708058800</x:v>
      </x:c>
      <x:c r="L149" s="907" t="str">
        <x:v>SRC-P404</x:v>
      </x:c>
      <x:c r="M149" s="907" t="str">
        <x:v>VNStock API actual</x:v>
      </x:c>
      <x:c r="N149" s="1032" t="n">
        <x:v>46229.241747685184</x:v>
      </x:c>
    </x:row>
    <x:row r="150">
      <x:c r="A150" s="895" t="n">
        <x:v>44614</x:v>
      </x:c>
      <x:c r="B150" s="898" t="n">
        <x:v>37.26</x:v>
      </x:c>
      <x:c r="C150" s="898" t="n">
        <x:v>38.66</x:v>
      </x:c>
      <x:c r="D150" s="898" t="n">
        <x:v>36.52</x:v>
      </x:c>
      <x:c r="E150" s="898" t="n">
        <x:v>38.52</x:v>
      </x:c>
      <x:c r="F150" s="901" t="n">
        <x:v>3583400</x:v>
      </x:c>
      <x:c r="G150" s="904" t="n">
        <x:v>1499.18</x:v>
      </x:c>
      <x:c r="H150" s="904" t="n">
        <x:v>1506.38</x:v>
      </x:c>
      <x:c r="I150" s="904" t="n">
        <x:v>1484.81</x:v>
      </x:c>
      <x:c r="J150" s="904" t="n">
        <x:v>1503.47</x:v>
      </x:c>
      <x:c r="K150" s="901" t="n">
        <x:v>842552800</x:v>
      </x:c>
      <x:c r="L150" s="907" t="str">
        <x:v>SRC-P404</x:v>
      </x:c>
      <x:c r="M150" s="907" t="str">
        <x:v>VNStock API actual</x:v>
      </x:c>
      <x:c r="N150" s="1032" t="n">
        <x:v>46229.241747685184</x:v>
      </x:c>
    </x:row>
    <x:row r="151">
      <x:c r="A151" s="895" t="n">
        <x:v>44615</x:v>
      </x:c>
      <x:c r="B151" s="898" t="n">
        <x:v>38.52</x:v>
      </x:c>
      <x:c r="C151" s="898" t="n">
        <x:v>39.33</x:v>
      </x:c>
      <x:c r="D151" s="898" t="n">
        <x:v>38.3</x:v>
      </x:c>
      <x:c r="E151" s="898" t="n">
        <x:v>38.44</x:v>
      </x:c>
      <x:c r="F151" s="901" t="n">
        <x:v>2823400</x:v>
      </x:c>
      <x:c r="G151" s="904" t="n">
        <x:v>1509.12</x:v>
      </x:c>
      <x:c r="H151" s="904" t="n">
        <x:v>1520.78</x:v>
      </x:c>
      <x:c r="I151" s="904" t="n">
        <x:v>1507.37</x:v>
      </x:c>
      <x:c r="J151" s="904" t="n">
        <x:v>1512.3</x:v>
      </x:c>
      <x:c r="K151" s="901" t="n">
        <x:v>628763100</x:v>
      </x:c>
      <x:c r="L151" s="907" t="str">
        <x:v>SRC-P404</x:v>
      </x:c>
      <x:c r="M151" s="907" t="str">
        <x:v>VNStock API actual</x:v>
      </x:c>
      <x:c r="N151" s="1032" t="n">
        <x:v>46229.241747685184</x:v>
      </x:c>
    </x:row>
    <x:row r="152">
      <x:c r="A152" s="895" t="n">
        <x:v>44616</x:v>
      </x:c>
      <x:c r="B152" s="898" t="n">
        <x:v>38</x:v>
      </x:c>
      <x:c r="C152" s="898" t="n">
        <x:v>38.96</x:v>
      </x:c>
      <x:c r="D152" s="898" t="n">
        <x:v>37.04</x:v>
      </x:c>
      <x:c r="E152" s="898" t="n">
        <x:v>37.93</x:v>
      </x:c>
      <x:c r="F152" s="901" t="n">
        <x:v>2961300</x:v>
      </x:c>
      <x:c r="G152" s="904" t="n">
        <x:v>1508.73</x:v>
      </x:c>
      <x:c r="H152" s="904" t="n">
        <x:v>1513.25</x:v>
      </x:c>
      <x:c r="I152" s="904" t="n">
        <x:v>1473.76</x:v>
      </x:c>
      <x:c r="J152" s="904" t="n">
        <x:v>1494.85</x:v>
      </x:c>
      <x:c r="K152" s="901" t="n">
        <x:v>1085759500</x:v>
      </x:c>
      <x:c r="L152" s="907" t="str">
        <x:v>SRC-P404</x:v>
      </x:c>
      <x:c r="M152" s="907" t="str">
        <x:v>VNStock API actual</x:v>
      </x:c>
      <x:c r="N152" s="1032" t="n">
        <x:v>46229.241747685184</x:v>
      </x:c>
    </x:row>
    <x:row r="153">
      <x:c r="A153" s="895" t="n">
        <x:v>44617</x:v>
      </x:c>
      <x:c r="B153" s="898" t="n">
        <x:v>38.37</x:v>
      </x:c>
      <x:c r="C153" s="898" t="n">
        <x:v>38.89</x:v>
      </x:c>
      <x:c r="D153" s="898" t="n">
        <x:v>37.04</x:v>
      </x:c>
      <x:c r="E153" s="898" t="n">
        <x:v>37.26</x:v>
      </x:c>
      <x:c r="F153" s="901" t="n">
        <x:v>2841200</x:v>
      </x:c>
      <x:c r="G153" s="904" t="n">
        <x:v>1494.85</x:v>
      </x:c>
      <x:c r="H153" s="904" t="n">
        <x:v>1512.05</x:v>
      </x:c>
      <x:c r="I153" s="904" t="n">
        <x:v>1494.85</x:v>
      </x:c>
      <x:c r="J153" s="904" t="n">
        <x:v>1498.89</x:v>
      </x:c>
      <x:c r="K153" s="901" t="n">
        <x:v>915975659</x:v>
      </x:c>
      <x:c r="L153" s="907" t="str">
        <x:v>SRC-P404</x:v>
      </x:c>
      <x:c r="M153" s="907" t="str">
        <x:v>VNStock API actual</x:v>
      </x:c>
      <x:c r="N153" s="1032" t="n">
        <x:v>46229.241747685184</x:v>
      </x:c>
    </x:row>
    <x:row r="154">
      <x:c r="A154" s="895" t="n">
        <x:v>44620</x:v>
      </x:c>
      <x:c r="B154" s="898" t="n">
        <x:v>37.34</x:v>
      </x:c>
      <x:c r="C154" s="898" t="n">
        <x:v>37.78</x:v>
      </x:c>
      <x:c r="D154" s="898" t="n">
        <x:v>36.08</x:v>
      </x:c>
      <x:c r="E154" s="898" t="n">
        <x:v>36.67</x:v>
      </x:c>
      <x:c r="F154" s="901" t="n">
        <x:v>3043400</x:v>
      </x:c>
      <x:c r="G154" s="904" t="n">
        <x:v>1499.43</x:v>
      </x:c>
      <x:c r="H154" s="904" t="n">
        <x:v>1502.36</x:v>
      </x:c>
      <x:c r="I154" s="904" t="n">
        <x:v>1487.57</x:v>
      </x:c>
      <x:c r="J154" s="904" t="n">
        <x:v>1490.13</x:v>
      </x:c>
      <x:c r="K154" s="901" t="n">
        <x:v>661415000</x:v>
      </x:c>
      <x:c r="L154" s="907" t="str">
        <x:v>SRC-P404</x:v>
      </x:c>
      <x:c r="M154" s="907" t="str">
        <x:v>VNStock API actual</x:v>
      </x:c>
      <x:c r="N154" s="1032" t="n">
        <x:v>46229.241747685184</x:v>
      </x:c>
    </x:row>
    <x:row r="155">
      <x:c r="A155" s="895" t="n">
        <x:v>44621</x:v>
      </x:c>
      <x:c r="B155" s="898" t="n">
        <x:v>37.26</x:v>
      </x:c>
      <x:c r="C155" s="898" t="n">
        <x:v>38</x:v>
      </x:c>
      <x:c r="D155" s="898" t="n">
        <x:v>36.64</x:v>
      </x:c>
      <x:c r="E155" s="898" t="n">
        <x:v>36.89</x:v>
      </x:c>
      <x:c r="F155" s="901" t="n">
        <x:v>2258800</x:v>
      </x:c>
      <x:c r="G155" s="904" t="n">
        <x:v>1493.93</x:v>
      </x:c>
      <x:c r="H155" s="904" t="n">
        <x:v>1501.73</x:v>
      </x:c>
      <x:c r="I155" s="904" t="n">
        <x:v>1491.48</x:v>
      </x:c>
      <x:c r="J155" s="904" t="n">
        <x:v>1498.78</x:v>
      </x:c>
      <x:c r="K155" s="901" t="n">
        <x:v>766211100</x:v>
      </x:c>
      <x:c r="L155" s="907" t="str">
        <x:v>SRC-P404</x:v>
      </x:c>
      <x:c r="M155" s="907" t="str">
        <x:v>VNStock API actual</x:v>
      </x:c>
      <x:c r="N155" s="1032" t="n">
        <x:v>46229.241747685184</x:v>
      </x:c>
    </x:row>
    <x:row r="156">
      <x:c r="A156" s="895" t="n">
        <x:v>44622</x:v>
      </x:c>
      <x:c r="B156" s="898" t="n">
        <x:v>36.67</x:v>
      </x:c>
      <x:c r="C156" s="898" t="n">
        <x:v>37.63</x:v>
      </x:c>
      <x:c r="D156" s="898" t="n">
        <x:v>36.01</x:v>
      </x:c>
      <x:c r="E156" s="898" t="n">
        <x:v>37.56</x:v>
      </x:c>
      <x:c r="F156" s="901" t="n">
        <x:v>2071300</x:v>
      </x:c>
      <x:c r="G156" s="904" t="n">
        <x:v>1499.37</x:v>
      </x:c>
      <x:c r="H156" s="904" t="n">
        <x:v>1500.41</x:v>
      </x:c>
      <x:c r="I156" s="904" t="n">
        <x:v>1479.55</x:v>
      </x:c>
      <x:c r="J156" s="904" t="n">
        <x:v>1485.52</x:v>
      </x:c>
      <x:c r="K156" s="901" t="n">
        <x:v>870952300</x:v>
      </x:c>
      <x:c r="L156" s="907" t="str">
        <x:v>SRC-P404</x:v>
      </x:c>
      <x:c r="M156" s="907" t="str">
        <x:v>VNStock API actual</x:v>
      </x:c>
      <x:c r="N156" s="1032" t="n">
        <x:v>46229.241747685184</x:v>
      </x:c>
    </x:row>
    <x:row r="157">
      <x:c r="A157" s="895" t="n">
        <x:v>44623</x:v>
      </x:c>
      <x:c r="B157" s="898" t="n">
        <x:v>37.34</x:v>
      </x:c>
      <x:c r="C157" s="898" t="n">
        <x:v>40.14</x:v>
      </x:c>
      <x:c r="D157" s="898" t="n">
        <x:v>36.97</x:v>
      </x:c>
      <x:c r="E157" s="898" t="n">
        <x:v>40.14</x:v>
      </x:c>
      <x:c r="F157" s="901" t="n">
        <x:v>6625300</x:v>
      </x:c>
      <x:c r="G157" s="904" t="n">
        <x:v>1492.48</x:v>
      </x:c>
      <x:c r="H157" s="904" t="n">
        <x:v>1505</x:v>
      </x:c>
      <x:c r="I157" s="904" t="n">
        <x:v>1487.69</x:v>
      </x:c>
      <x:c r="J157" s="904" t="n">
        <x:v>1505</x:v>
      </x:c>
      <x:c r="K157" s="901" t="n">
        <x:v>858871000</x:v>
      </x:c>
      <x:c r="L157" s="907" t="str">
        <x:v>SRC-P404</x:v>
      </x:c>
      <x:c r="M157" s="907" t="str">
        <x:v>VNStock API actual</x:v>
      </x:c>
      <x:c r="N157" s="1032" t="n">
        <x:v>46229.241747685184</x:v>
      </x:c>
    </x:row>
    <x:row r="158">
      <x:c r="A158" s="895" t="n">
        <x:v>44624</x:v>
      </x:c>
      <x:c r="B158" s="898" t="n">
        <x:v>41.54</x:v>
      </x:c>
      <x:c r="C158" s="898" t="n">
        <x:v>42.06</x:v>
      </x:c>
      <x:c r="D158" s="898" t="n">
        <x:v>40.36</x:v>
      </x:c>
      <x:c r="E158" s="898" t="n">
        <x:v>40.58</x:v>
      </x:c>
      <x:c r="F158" s="901" t="n">
        <x:v>3852900</x:v>
      </x:c>
      <x:c r="G158" s="904" t="n">
        <x:v>1505</x:v>
      </x:c>
      <x:c r="H158" s="904" t="n">
        <x:v>1509.19</x:v>
      </x:c>
      <x:c r="I158" s="904" t="n">
        <x:v>1501.39</x:v>
      </x:c>
      <x:c r="J158" s="904" t="n">
        <x:v>1505.33</x:v>
      </x:c>
      <x:c r="K158" s="901" t="n">
        <x:v>1112602915</x:v>
      </x:c>
      <x:c r="L158" s="907" t="str">
        <x:v>SRC-P404</x:v>
      </x:c>
      <x:c r="M158" s="907" t="str">
        <x:v>VNStock API actual</x:v>
      </x:c>
      <x:c r="N158" s="1032" t="n">
        <x:v>46229.241747685184</x:v>
      </x:c>
    </x:row>
    <x:row r="159">
      <x:c r="A159" s="895" t="n">
        <x:v>44627</x:v>
      </x:c>
      <x:c r="B159" s="898" t="n">
        <x:v>40.51</x:v>
      </x:c>
      <x:c r="C159" s="898" t="n">
        <x:v>42.8</x:v>
      </x:c>
      <x:c r="D159" s="898" t="n">
        <x:v>40.21</x:v>
      </x:c>
      <x:c r="E159" s="898" t="n">
        <x:v>41.32</x:v>
      </x:c>
      <x:c r="F159" s="901" t="n">
        <x:v>3521400</x:v>
      </x:c>
      <x:c r="G159" s="904" t="n">
        <x:v>1500.65</x:v>
      </x:c>
      <x:c r="H159" s="904" t="n">
        <x:v>1505.32</x:v>
      </x:c>
      <x:c r="I159" s="904" t="n">
        <x:v>1493.87</x:v>
      </x:c>
      <x:c r="J159" s="904" t="n">
        <x:v>1499.05</x:v>
      </x:c>
      <x:c r="K159" s="901" t="n">
        <x:v>907794900</x:v>
      </x:c>
      <x:c r="L159" s="907" t="str">
        <x:v>SRC-P404</x:v>
      </x:c>
      <x:c r="M159" s="907" t="str">
        <x:v>VNStock API actual</x:v>
      </x:c>
      <x:c r="N159" s="1032" t="n">
        <x:v>46229.241747685184</x:v>
      </x:c>
    </x:row>
    <x:row r="160">
      <x:c r="A160" s="895" t="n">
        <x:v>44628</x:v>
      </x:c>
      <x:c r="B160" s="898" t="n">
        <x:v>40.88</x:v>
      </x:c>
      <x:c r="C160" s="898" t="n">
        <x:v>41.47</x:v>
      </x:c>
      <x:c r="D160" s="898" t="n">
        <x:v>38.81</x:v>
      </x:c>
      <x:c r="E160" s="898" t="n">
        <x:v>38.81</x:v>
      </x:c>
      <x:c r="F160" s="901" t="n">
        <x:v>4881800</x:v>
      </x:c>
      <x:c r="G160" s="904" t="n">
        <x:v>1487.37</x:v>
      </x:c>
      <x:c r="H160" s="904" t="n">
        <x:v>1495.97</x:v>
      </x:c>
      <x:c r="I160" s="904" t="n">
        <x:v>1473.71</x:v>
      </x:c>
      <x:c r="J160" s="904" t="n">
        <x:v>1473.71</x:v>
      </x:c>
      <x:c r="K160" s="901" t="n">
        <x:v>952541400</x:v>
      </x:c>
      <x:c r="L160" s="907" t="str">
        <x:v>SRC-P404</x:v>
      </x:c>
      <x:c r="M160" s="907" t="str">
        <x:v>VNStock API actual</x:v>
      </x:c>
      <x:c r="N160" s="1032" t="n">
        <x:v>46229.241747685184</x:v>
      </x:c>
    </x:row>
    <x:row r="161">
      <x:c r="A161" s="895" t="n">
        <x:v>44629</x:v>
      </x:c>
      <x:c r="B161" s="898" t="n">
        <x:v>39.03</x:v>
      </x:c>
      <x:c r="C161" s="898" t="n">
        <x:v>41.47</x:v>
      </x:c>
      <x:c r="D161" s="898" t="n">
        <x:v>38.81</x:v>
      </x:c>
      <x:c r="E161" s="898" t="n">
        <x:v>41.47</x:v>
      </x:c>
      <x:c r="F161" s="901" t="n">
        <x:v>6222700</x:v>
      </x:c>
      <x:c r="G161" s="904" t="n">
        <x:v>1478.43</x:v>
      </x:c>
      <x:c r="H161" s="904" t="n">
        <x:v>1482.86</x:v>
      </x:c>
      <x:c r="I161" s="904" t="n">
        <x:v>1462.8</x:v>
      </x:c>
      <x:c r="J161" s="904" t="n">
        <x:v>1473.74</x:v>
      </x:c>
      <x:c r="K161" s="901" t="n">
        <x:v>864004300</x:v>
      </x:c>
      <x:c r="L161" s="907" t="str">
        <x:v>SRC-P404</x:v>
      </x:c>
      <x:c r="M161" s="907" t="str">
        <x:v>VNStock API actual</x:v>
      </x:c>
      <x:c r="N161" s="1032" t="n">
        <x:v>46229.241747685184</x:v>
      </x:c>
    </x:row>
    <x:row r="162">
      <x:c r="A162" s="895" t="n">
        <x:v>44630</x:v>
      </x:c>
      <x:c r="B162" s="898" t="n">
        <x:v>42.06</x:v>
      </x:c>
      <x:c r="C162" s="898" t="n">
        <x:v>42.58</x:v>
      </x:c>
      <x:c r="D162" s="898" t="n">
        <x:v>40.21</x:v>
      </x:c>
      <x:c r="E162" s="898" t="n">
        <x:v>40.58</x:v>
      </x:c>
      <x:c r="F162" s="901" t="n">
        <x:v>4931700</x:v>
      </x:c>
      <x:c r="G162" s="904" t="n">
        <x:v>1485.11</x:v>
      </x:c>
      <x:c r="H162" s="904" t="n">
        <x:v>1488.59</x:v>
      </x:c>
      <x:c r="I162" s="904" t="n">
        <x:v>1479.08</x:v>
      </x:c>
      <x:c r="J162" s="904" t="n">
        <x:v>1479.08</x:v>
      </x:c>
      <x:c r="K162" s="901" t="n">
        <x:v>607737500</x:v>
      </x:c>
      <x:c r="L162" s="907" t="str">
        <x:v>SRC-P404</x:v>
      </x:c>
      <x:c r="M162" s="907" t="str">
        <x:v>VNStock API actual</x:v>
      </x:c>
      <x:c r="N162" s="1032" t="n">
        <x:v>46229.241747685184</x:v>
      </x:c>
    </x:row>
    <x:row r="163">
      <x:c r="A163" s="895" t="n">
        <x:v>44631</x:v>
      </x:c>
      <x:c r="B163" s="898" t="n">
        <x:v>40.58</x:v>
      </x:c>
      <x:c r="C163" s="898" t="n">
        <x:v>41.62</x:v>
      </x:c>
      <x:c r="D163" s="898" t="n">
        <x:v>40.21</x:v>
      </x:c>
      <x:c r="E163" s="898" t="n">
        <x:v>41.1</x:v>
      </x:c>
      <x:c r="F163" s="901" t="n">
        <x:v>3028400</x:v>
      </x:c>
      <x:c r="G163" s="904" t="n">
        <x:v>1479.08</x:v>
      </x:c>
      <x:c r="H163" s="904" t="n">
        <x:v>1480.29</x:v>
      </x:c>
      <x:c r="I163" s="904" t="n">
        <x:v>1458.88</x:v>
      </x:c>
      <x:c r="J163" s="904" t="n">
        <x:v>1466.54</x:v>
      </x:c>
      <x:c r="K163" s="901" t="n">
        <x:v>1159784462</x:v>
      </x:c>
      <x:c r="L163" s="907" t="str">
        <x:v>SRC-P404</x:v>
      </x:c>
      <x:c r="M163" s="907" t="str">
        <x:v>VNStock API actual</x:v>
      </x:c>
      <x:c r="N163" s="1032" t="n">
        <x:v>46229.241747685184</x:v>
      </x:c>
    </x:row>
    <x:row r="164">
      <x:c r="A164" s="895" t="n">
        <x:v>44634</x:v>
      </x:c>
      <x:c r="B164" s="898" t="n">
        <x:v>40.58</x:v>
      </x:c>
      <x:c r="C164" s="898" t="n">
        <x:v>41.47</x:v>
      </x:c>
      <x:c r="D164" s="898" t="n">
        <x:v>38.3</x:v>
      </x:c>
      <x:c r="E164" s="898" t="n">
        <x:v>38.3</x:v>
      </x:c>
      <x:c r="F164" s="901" t="n">
        <x:v>6156600</x:v>
      </x:c>
      <x:c r="G164" s="904" t="n">
        <x:v>1459.28</x:v>
      </x:c>
      <x:c r="H164" s="904" t="n">
        <x:v>1461.06</x:v>
      </x:c>
      <x:c r="I164" s="904" t="n">
        <x:v>1439.19</x:v>
      </x:c>
      <x:c r="J164" s="904" t="n">
        <x:v>1446.25</x:v>
      </x:c>
      <x:c r="K164" s="901" t="n">
        <x:v>787290900</x:v>
      </x:c>
      <x:c r="L164" s="907" t="str">
        <x:v>SRC-P404</x:v>
      </x:c>
      <x:c r="M164" s="907" t="str">
        <x:v>VNStock API actual</x:v>
      </x:c>
      <x:c r="N164" s="1032" t="n">
        <x:v>46229.241747685184</x:v>
      </x:c>
    </x:row>
    <x:row r="165">
      <x:c r="A165" s="895" t="n">
        <x:v>44635</x:v>
      </x:c>
      <x:c r="B165" s="898" t="n">
        <x:v>37.26</x:v>
      </x:c>
      <x:c r="C165" s="898" t="n">
        <x:v>38.89</x:v>
      </x:c>
      <x:c r="D165" s="898" t="n">
        <x:v>36.16</x:v>
      </x:c>
      <x:c r="E165" s="898" t="n">
        <x:v>38.66</x:v>
      </x:c>
      <x:c r="F165" s="901" t="n">
        <x:v>4176100</x:v>
      </x:c>
      <x:c r="G165" s="904" t="n">
        <x:v>1444.92</x:v>
      </x:c>
      <x:c r="H165" s="904" t="n">
        <x:v>1453.07</x:v>
      </x:c>
      <x:c r="I165" s="904" t="n">
        <x:v>1437.27</x:v>
      </x:c>
      <x:c r="J165" s="904" t="n">
        <x:v>1452.74</x:v>
      </x:c>
      <x:c r="K165" s="901" t="n">
        <x:v>618581000</x:v>
      </x:c>
      <x:c r="L165" s="907" t="str">
        <x:v>SRC-P404</x:v>
      </x:c>
      <x:c r="M165" s="907" t="str">
        <x:v>VNStock API actual</x:v>
      </x:c>
      <x:c r="N165" s="1032" t="n">
        <x:v>46229.241747685184</x:v>
      </x:c>
    </x:row>
    <x:row r="166">
      <x:c r="A166" s="895" t="n">
        <x:v>44636</x:v>
      </x:c>
      <x:c r="B166" s="898" t="n">
        <x:v>39.03</x:v>
      </x:c>
      <x:c r="C166" s="898" t="n">
        <x:v>40.07</x:v>
      </x:c>
      <x:c r="D166" s="898" t="n">
        <x:v>38.59</x:v>
      </x:c>
      <x:c r="E166" s="898" t="n">
        <x:v>39.48</x:v>
      </x:c>
      <x:c r="F166" s="901" t="n">
        <x:v>2357300</x:v>
      </x:c>
      <x:c r="G166" s="904" t="n">
        <x:v>1459.68</x:v>
      </x:c>
      <x:c r="H166" s="904" t="n">
        <x:v>1462.98</x:v>
      </x:c>
      <x:c r="I166" s="904" t="n">
        <x:v>1453.91</x:v>
      </x:c>
      <x:c r="J166" s="904" t="n">
        <x:v>1459.33</x:v>
      </x:c>
      <x:c r="K166" s="901" t="n">
        <x:v>527855900</x:v>
      </x:c>
      <x:c r="L166" s="907" t="str">
        <x:v>SRC-P404</x:v>
      </x:c>
      <x:c r="M166" s="907" t="str">
        <x:v>VNStock API actual</x:v>
      </x:c>
      <x:c r="N166" s="1032" t="n">
        <x:v>46229.241747685184</x:v>
      </x:c>
    </x:row>
    <x:row r="167">
      <x:c r="A167" s="895" t="n">
        <x:v>44637</x:v>
      </x:c>
      <x:c r="B167" s="898" t="n">
        <x:v>39.55</x:v>
      </x:c>
      <x:c r="C167" s="898" t="n">
        <x:v>39.85</x:v>
      </x:c>
      <x:c r="D167" s="898" t="n">
        <x:v>38.66</x:v>
      </x:c>
      <x:c r="E167" s="898" t="n">
        <x:v>39.11</x:v>
      </x:c>
      <x:c r="F167" s="901" t="n">
        <x:v>2264900</x:v>
      </x:c>
      <x:c r="G167" s="904" t="n">
        <x:v>1466.56</x:v>
      </x:c>
      <x:c r="H167" s="904" t="n">
        <x:v>1467.74</x:v>
      </x:c>
      <x:c r="I167" s="904" t="n">
        <x:v>1459.14</x:v>
      </x:c>
      <x:c r="J167" s="904" t="n">
        <x:v>1461.34</x:v>
      </x:c>
      <x:c r="K167" s="901" t="n">
        <x:v>666857100</x:v>
      </x:c>
      <x:c r="L167" s="907" t="str">
        <x:v>SRC-P404</x:v>
      </x:c>
      <x:c r="M167" s="907" t="str">
        <x:v>VNStock API actual</x:v>
      </x:c>
      <x:c r="N167" s="1032" t="n">
        <x:v>46229.241747685184</x:v>
      </x:c>
    </x:row>
    <x:row r="168">
      <x:c r="A168" s="895" t="n">
        <x:v>44638</x:v>
      </x:c>
      <x:c r="B168" s="898" t="n">
        <x:v>39.4</x:v>
      </x:c>
      <x:c r="C168" s="898" t="n">
        <x:v>40.21</x:v>
      </x:c>
      <x:c r="D168" s="898" t="n">
        <x:v>38.89</x:v>
      </x:c>
      <x:c r="E168" s="898" t="n">
        <x:v>39.77</x:v>
      </x:c>
      <x:c r="F168" s="901" t="n">
        <x:v>2628000</x:v>
      </x:c>
      <x:c r="G168" s="904" t="n">
        <x:v>1461.34</x:v>
      </x:c>
      <x:c r="H168" s="904" t="n">
        <x:v>1474.86</x:v>
      </x:c>
      <x:c r="I168" s="904" t="n">
        <x:v>1461.34</x:v>
      </x:c>
      <x:c r="J168" s="904" t="n">
        <x:v>1469.1</x:v>
      </x:c>
      <x:c r="K168" s="901" t="n">
        <x:v>935872693</x:v>
      </x:c>
      <x:c r="L168" s="907" t="str">
        <x:v>SRC-P404</x:v>
      </x:c>
      <x:c r="M168" s="907" t="str">
        <x:v>VNStock API actual</x:v>
      </x:c>
      <x:c r="N168" s="1032" t="n">
        <x:v>46229.241747685184</x:v>
      </x:c>
    </x:row>
    <x:row r="169">
      <x:c r="A169" s="895" t="n">
        <x:v>44641</x:v>
      </x:c>
      <x:c r="B169" s="898" t="n">
        <x:v>39.85</x:v>
      </x:c>
      <x:c r="C169" s="898" t="n">
        <x:v>40.36</x:v>
      </x:c>
      <x:c r="D169" s="898" t="n">
        <x:v>39.48</x:v>
      </x:c>
      <x:c r="E169" s="898" t="n">
        <x:v>40.14</x:v>
      </x:c>
      <x:c r="F169" s="901" t="n">
        <x:v>2407700</x:v>
      </x:c>
      <x:c r="G169" s="904" t="n">
        <x:v>1474.78</x:v>
      </x:c>
      <x:c r="H169" s="904" t="n">
        <x:v>1494.95</x:v>
      </x:c>
      <x:c r="I169" s="904" t="n">
        <x:v>1474.38</x:v>
      </x:c>
      <x:c r="J169" s="904" t="n">
        <x:v>1494.95</x:v>
      </x:c>
      <x:c r="K169" s="901" t="n">
        <x:v>694839300</x:v>
      </x:c>
      <x:c r="L169" s="907" t="str">
        <x:v>SRC-P404</x:v>
      </x:c>
      <x:c r="M169" s="907" t="str">
        <x:v>VNStock API actual</x:v>
      </x:c>
      <x:c r="N169" s="1032" t="n">
        <x:v>46229.241747685184</x:v>
      </x:c>
    </x:row>
    <x:row r="170">
      <x:c r="A170" s="895" t="n">
        <x:v>44642</x:v>
      </x:c>
      <x:c r="B170" s="898" t="n">
        <x:v>40.14</x:v>
      </x:c>
      <x:c r="C170" s="898" t="n">
        <x:v>41.17</x:v>
      </x:c>
      <x:c r="D170" s="898" t="n">
        <x:v>39.33</x:v>
      </x:c>
      <x:c r="E170" s="898" t="n">
        <x:v>40.29</x:v>
      </x:c>
      <x:c r="F170" s="901" t="n">
        <x:v>3443500</x:v>
      </x:c>
      <x:c r="G170" s="904" t="n">
        <x:v>1500.08</x:v>
      </x:c>
      <x:c r="H170" s="904" t="n">
        <x:v>1507.71</x:v>
      </x:c>
      <x:c r="I170" s="904" t="n">
        <x:v>1498.48</x:v>
      </x:c>
      <x:c r="J170" s="904" t="n">
        <x:v>1503.78</x:v>
      </x:c>
      <x:c r="K170" s="901" t="n">
        <x:v>873002500</x:v>
      </x:c>
      <x:c r="L170" s="907" t="str">
        <x:v>SRC-P404</x:v>
      </x:c>
      <x:c r="M170" s="907" t="str">
        <x:v>VNStock API actual</x:v>
      </x:c>
      <x:c r="N170" s="1032" t="n">
        <x:v>46229.241747685184</x:v>
      </x:c>
    </x:row>
    <x:row r="171">
      <x:c r="A171" s="895" t="n">
        <x:v>44643</x:v>
      </x:c>
      <x:c r="B171" s="898" t="n">
        <x:v>40.58</x:v>
      </x:c>
      <x:c r="C171" s="898" t="n">
        <x:v>40.95</x:v>
      </x:c>
      <x:c r="D171" s="898" t="n">
        <x:v>39.55</x:v>
      </x:c>
      <x:c r="E171" s="898" t="n">
        <x:v>39.55</x:v>
      </x:c>
      <x:c r="F171" s="901" t="n">
        <x:v>2233600</x:v>
      </x:c>
      <x:c r="G171" s="904" t="n">
        <x:v>1505.76</x:v>
      </x:c>
      <x:c r="H171" s="904" t="n">
        <x:v>1513.9</x:v>
      </x:c>
      <x:c r="I171" s="904" t="n">
        <x:v>1501.67</x:v>
      </x:c>
      <x:c r="J171" s="904" t="n">
        <x:v>1502.34</x:v>
      </x:c>
      <x:c r="K171" s="901" t="n">
        <x:v>763655100</x:v>
      </x:c>
      <x:c r="L171" s="907" t="str">
        <x:v>SRC-P404</x:v>
      </x:c>
      <x:c r="M171" s="907" t="str">
        <x:v>VNStock API actual</x:v>
      </x:c>
      <x:c r="N171" s="1032" t="n">
        <x:v>46229.241747685184</x:v>
      </x:c>
    </x:row>
    <x:row r="172">
      <x:c r="A172" s="895" t="n">
        <x:v>44644</x:v>
      </x:c>
      <x:c r="B172" s="898" t="n">
        <x:v>39.62</x:v>
      </x:c>
      <x:c r="C172" s="898" t="n">
        <x:v>41.62</x:v>
      </x:c>
      <x:c r="D172" s="898" t="n">
        <x:v>38.96</x:v>
      </x:c>
      <x:c r="E172" s="898" t="n">
        <x:v>41.17</x:v>
      </x:c>
      <x:c r="F172" s="901" t="n">
        <x:v>5789100</x:v>
      </x:c>
      <x:c r="G172" s="904" t="n">
        <x:v>1503.91</x:v>
      </x:c>
      <x:c r="H172" s="904" t="n">
        <x:v>1505.39</x:v>
      </x:c>
      <x:c r="I172" s="904" t="n">
        <x:v>1495.18</x:v>
      </x:c>
      <x:c r="J172" s="904" t="n">
        <x:v>1498.26</x:v>
      </x:c>
      <x:c r="K172" s="901" t="n">
        <x:v>732998300</x:v>
      </x:c>
      <x:c r="L172" s="907" t="str">
        <x:v>SRC-P404</x:v>
      </x:c>
      <x:c r="M172" s="907" t="str">
        <x:v>VNStock API actual</x:v>
      </x:c>
      <x:c r="N172" s="1032" t="n">
        <x:v>46229.241747685184</x:v>
      </x:c>
    </x:row>
    <x:row r="173">
      <x:c r="A173" s="895" t="n">
        <x:v>44645</x:v>
      </x:c>
      <x:c r="B173" s="898" t="n">
        <x:v>41.17</x:v>
      </x:c>
      <x:c r="C173" s="898" t="n">
        <x:v>41.39</x:v>
      </x:c>
      <x:c r="D173" s="898" t="n">
        <x:v>39.85</x:v>
      </x:c>
      <x:c r="E173" s="898" t="n">
        <x:v>40.44</x:v>
      </x:c>
      <x:c r="F173" s="901" t="n">
        <x:v>3140800</x:v>
      </x:c>
      <x:c r="G173" s="904" t="n">
        <x:v>1500.17</x:v>
      </x:c>
      <x:c r="H173" s="904" t="n">
        <x:v>1503.29</x:v>
      </x:c>
      <x:c r="I173" s="904" t="n">
        <x:v>1494.55</x:v>
      </x:c>
      <x:c r="J173" s="904" t="n">
        <x:v>1498.5</x:v>
      </x:c>
      <x:c r="K173" s="901" t="n">
        <x:v>947688031</x:v>
      </x:c>
      <x:c r="L173" s="907" t="str">
        <x:v>SRC-P404</x:v>
      </x:c>
      <x:c r="M173" s="907" t="str">
        <x:v>VNStock API actual</x:v>
      </x:c>
      <x:c r="N173" s="1032" t="n">
        <x:v>46229.241747685184</x:v>
      </x:c>
    </x:row>
    <x:row r="174">
      <x:c r="A174" s="895" t="n">
        <x:v>44648</x:v>
      </x:c>
      <x:c r="B174" s="898" t="n">
        <x:v>39.55</x:v>
      </x:c>
      <x:c r="C174" s="898" t="n">
        <x:v>41.76</x:v>
      </x:c>
      <x:c r="D174" s="898" t="n">
        <x:v>39.55</x:v>
      </x:c>
      <x:c r="E174" s="898" t="n">
        <x:v>41.54</x:v>
      </x:c>
      <x:c r="F174" s="901" t="n">
        <x:v>5191400</x:v>
      </x:c>
      <x:c r="G174" s="904" t="n">
        <x:v>1490.44</x:v>
      </x:c>
      <x:c r="H174" s="904" t="n">
        <x:v>1496.79</x:v>
      </x:c>
      <x:c r="I174" s="904" t="n">
        <x:v>1473.8</x:v>
      </x:c>
      <x:c r="J174" s="904" t="n">
        <x:v>1483.18</x:v>
      </x:c>
      <x:c r="K174" s="901" t="n">
        <x:v>958280800</x:v>
      </x:c>
      <x:c r="L174" s="907" t="str">
        <x:v>SRC-P404</x:v>
      </x:c>
      <x:c r="M174" s="907" t="str">
        <x:v>VNStock API actual</x:v>
      </x:c>
      <x:c r="N174" s="1032" t="n">
        <x:v>46229.241747685184</x:v>
      </x:c>
    </x:row>
    <x:row r="175">
      <x:c r="A175" s="895" t="n">
        <x:v>44649</x:v>
      </x:c>
      <x:c r="B175" s="898" t="n">
        <x:v>41.69</x:v>
      </x:c>
      <x:c r="C175" s="898" t="n">
        <x:v>43.9</x:v>
      </x:c>
      <x:c r="D175" s="898" t="n">
        <x:v>41.62</x:v>
      </x:c>
      <x:c r="E175" s="898" t="n">
        <x:v>43.53</x:v>
      </x:c>
      <x:c r="F175" s="901" t="n">
        <x:v>5425200</x:v>
      </x:c>
      <x:c r="G175" s="904" t="n">
        <x:v>1487.57</x:v>
      </x:c>
      <x:c r="H175" s="904" t="n">
        <x:v>1498.45</x:v>
      </x:c>
      <x:c r="I175" s="904" t="n">
        <x:v>1487.57</x:v>
      </x:c>
      <x:c r="J175" s="904" t="n">
        <x:v>1497.76</x:v>
      </x:c>
      <x:c r="K175" s="901" t="n">
        <x:v>661152000</x:v>
      </x:c>
      <x:c r="L175" s="907" t="str">
        <x:v>SRC-P404</x:v>
      </x:c>
      <x:c r="M175" s="907" t="str">
        <x:v>VNStock API actual</x:v>
      </x:c>
      <x:c r="N175" s="1032" t="n">
        <x:v>46229.241747685184</x:v>
      </x:c>
    </x:row>
    <x:row r="176">
      <x:c r="A176" s="895" t="n">
        <x:v>44650</x:v>
      </x:c>
      <x:c r="B176" s="898" t="n">
        <x:v>43.53</x:v>
      </x:c>
      <x:c r="C176" s="898" t="n">
        <x:v>44.2</x:v>
      </x:c>
      <x:c r="D176" s="898" t="n">
        <x:v>42.06</x:v>
      </x:c>
      <x:c r="E176" s="898" t="n">
        <x:v>42.43</x:v>
      </x:c>
      <x:c r="F176" s="901" t="n">
        <x:v>3404100</x:v>
      </x:c>
      <x:c r="G176" s="904" t="n">
        <x:v>1491.92</x:v>
      </x:c>
      <x:c r="H176" s="904" t="n">
        <x:v>1503.89</x:v>
      </x:c>
      <x:c r="I176" s="904" t="n">
        <x:v>1483.9</x:v>
      </x:c>
      <x:c r="J176" s="904" t="n">
        <x:v>1490.51</x:v>
      </x:c>
      <x:c r="K176" s="901" t="n">
        <x:v>854370000</x:v>
      </x:c>
      <x:c r="L176" s="907" t="str">
        <x:v>SRC-P404</x:v>
      </x:c>
      <x:c r="M176" s="907" t="str">
        <x:v>VNStock API actual</x:v>
      </x:c>
      <x:c r="N176" s="1032" t="n">
        <x:v>46229.241747685184</x:v>
      </x:c>
    </x:row>
    <x:row r="177">
      <x:c r="A177" s="895" t="n">
        <x:v>44651</x:v>
      </x:c>
      <x:c r="B177" s="898" t="n">
        <x:v>42.8</x:v>
      </x:c>
      <x:c r="C177" s="898" t="n">
        <x:v>43.39</x:v>
      </x:c>
      <x:c r="D177" s="898" t="n">
        <x:v>42.43</x:v>
      </x:c>
      <x:c r="E177" s="898" t="n">
        <x:v>43.09</x:v>
      </x:c>
      <x:c r="F177" s="901" t="n">
        <x:v>2149600</x:v>
      </x:c>
      <x:c r="G177" s="904" t="n">
        <x:v>1492.5</x:v>
      </x:c>
      <x:c r="H177" s="904" t="n">
        <x:v>1498.41</x:v>
      </x:c>
      <x:c r="I177" s="904" t="n">
        <x:v>1488.27</x:v>
      </x:c>
      <x:c r="J177" s="904" t="n">
        <x:v>1492.15</x:v>
      </x:c>
      <x:c r="K177" s="901" t="n">
        <x:v>603940100</x:v>
      </x:c>
      <x:c r="L177" s="907" t="str">
        <x:v>SRC-P404</x:v>
      </x:c>
      <x:c r="M177" s="907" t="str">
        <x:v>VNStock API actual</x:v>
      </x:c>
      <x:c r="N177" s="1032" t="n">
        <x:v>46229.241747685184</x:v>
      </x:c>
    </x:row>
    <x:row r="178">
      <x:c r="A178" s="895" t="n">
        <x:v>44652</x:v>
      </x:c>
      <x:c r="B178" s="898" t="n">
        <x:v>42.43</x:v>
      </x:c>
      <x:c r="C178" s="898" t="n">
        <x:v>43.76</x:v>
      </x:c>
      <x:c r="D178" s="898" t="n">
        <x:v>42.06</x:v>
      </x:c>
      <x:c r="E178" s="898" t="n">
        <x:v>42.8</x:v>
      </x:c>
      <x:c r="F178" s="901" t="n">
        <x:v>2562300</x:v>
      </x:c>
      <x:c r="G178" s="904" t="n">
        <x:v>1492.15</x:v>
      </x:c>
      <x:c r="H178" s="904" t="n">
        <x:v>1516.87</x:v>
      </x:c>
      <x:c r="I178" s="904" t="n">
        <x:v>1484.13</x:v>
      </x:c>
      <x:c r="J178" s="904" t="n">
        <x:v>1516.44</x:v>
      </x:c>
      <x:c r="K178" s="901" t="n">
        <x:v>1087307257</x:v>
      </x:c>
      <x:c r="L178" s="907" t="str">
        <x:v>SRC-P404</x:v>
      </x:c>
      <x:c r="M178" s="907" t="str">
        <x:v>VNStock API actual</x:v>
      </x:c>
      <x:c r="N178" s="1032" t="n">
        <x:v>46229.241747685184</x:v>
      </x:c>
    </x:row>
    <x:row r="179">
      <x:c r="A179" s="895" t="n">
        <x:v>44655</x:v>
      </x:c>
      <x:c r="B179" s="898" t="n">
        <x:v>42.87</x:v>
      </x:c>
      <x:c r="C179" s="898" t="n">
        <x:v>44.13</x:v>
      </x:c>
      <x:c r="D179" s="898" t="n">
        <x:v>42.43</x:v>
      </x:c>
      <x:c r="E179" s="898" t="n">
        <x:v>43.46</x:v>
      </x:c>
      <x:c r="F179" s="901" t="n">
        <x:v>3446600</x:v>
      </x:c>
      <x:c r="G179" s="904" t="n">
        <x:v>1528.87</x:v>
      </x:c>
      <x:c r="H179" s="904" t="n">
        <x:v>1530.95</x:v>
      </x:c>
      <x:c r="I179" s="904" t="n">
        <x:v>1522.82</x:v>
      </x:c>
      <x:c r="J179" s="904" t="n">
        <x:v>1524.7</x:v>
      </x:c>
      <x:c r="K179" s="901" t="n">
        <x:v>702062500</x:v>
      </x:c>
      <x:c r="L179" s="907" t="str">
        <x:v>SRC-P404</x:v>
      </x:c>
      <x:c r="M179" s="907" t="str">
        <x:v>VNStock API actual</x:v>
      </x:c>
      <x:c r="N179" s="1032" t="n">
        <x:v>46229.241747685184</x:v>
      </x:c>
    </x:row>
    <x:row r="180">
      <x:c r="A180" s="895" t="n">
        <x:v>44656</x:v>
      </x:c>
      <x:c r="B180" s="898" t="n">
        <x:v>43.9</x:v>
      </x:c>
      <x:c r="C180" s="898" t="n">
        <x:v>45.31</x:v>
      </x:c>
      <x:c r="D180" s="898" t="n">
        <x:v>43.17</x:v>
      </x:c>
      <x:c r="E180" s="898" t="n">
        <x:v>43.9</x:v>
      </x:c>
      <x:c r="F180" s="901" t="n">
        <x:v>3848300</x:v>
      </x:c>
      <x:c r="G180" s="904" t="n">
        <x:v>1521.4</x:v>
      </x:c>
      <x:c r="H180" s="904" t="n">
        <x:v>1527.57</x:v>
      </x:c>
      <x:c r="I180" s="904" t="n">
        <x:v>1519.28</x:v>
      </x:c>
      <x:c r="J180" s="904" t="n">
        <x:v>1520.03</x:v>
      </x:c>
      <x:c r="K180" s="901" t="n">
        <x:v>635012500</x:v>
      </x:c>
      <x:c r="L180" s="907" t="str">
        <x:v>SRC-P404</x:v>
      </x:c>
      <x:c r="M180" s="907" t="str">
        <x:v>VNStock API actual</x:v>
      </x:c>
      <x:c r="N180" s="1032" t="n">
        <x:v>46229.241747685184</x:v>
      </x:c>
    </x:row>
    <x:row r="181">
      <x:c r="A181" s="895" t="n">
        <x:v>44657</x:v>
      </x:c>
      <x:c r="B181" s="898" t="n">
        <x:v>43.83</x:v>
      </x:c>
      <x:c r="C181" s="898" t="n">
        <x:v>44.79</x:v>
      </x:c>
      <x:c r="D181" s="898" t="n">
        <x:v>42.65</x:v>
      </x:c>
      <x:c r="E181" s="898" t="n">
        <x:v>42.87</x:v>
      </x:c>
      <x:c r="F181" s="901" t="n">
        <x:v>3138800</x:v>
      </x:c>
      <x:c r="G181" s="904" t="n">
        <x:v>1510.69</x:v>
      </x:c>
      <x:c r="H181" s="904" t="n">
        <x:v>1523.75</x:v>
      </x:c>
      <x:c r="I181" s="904" t="n">
        <x:v>1507.62</x:v>
      </x:c>
      <x:c r="J181" s="904" t="n">
        <x:v>1522.9</x:v>
      </x:c>
      <x:c r="K181" s="901" t="n">
        <x:v>875381800</x:v>
      </x:c>
      <x:c r="L181" s="907" t="str">
        <x:v>SRC-P404</x:v>
      </x:c>
      <x:c r="M181" s="907" t="str">
        <x:v>VNStock API actual</x:v>
      </x:c>
      <x:c r="N181" s="1032" t="n">
        <x:v>46229.241747685184</x:v>
      </x:c>
    </x:row>
    <x:row r="182">
      <x:c r="A182" s="895" t="n">
        <x:v>44658</x:v>
      </x:c>
      <x:c r="B182" s="898" t="n">
        <x:v>42.87</x:v>
      </x:c>
      <x:c r="C182" s="898" t="n">
        <x:v>43.24</x:v>
      </x:c>
      <x:c r="D182" s="898" t="n">
        <x:v>40.58</x:v>
      </x:c>
      <x:c r="E182" s="898" t="n">
        <x:v>41.47</x:v>
      </x:c>
      <x:c r="F182" s="901" t="n">
        <x:v>3956200</x:v>
      </x:c>
      <x:c r="G182" s="904" t="n">
        <x:v>1524.12</x:v>
      </x:c>
      <x:c r="H182" s="904" t="n">
        <x:v>1524.92</x:v>
      </x:c>
      <x:c r="I182" s="904" t="n">
        <x:v>1502.35</x:v>
      </x:c>
      <x:c r="J182" s="904" t="n">
        <x:v>1502.35</x:v>
      </x:c>
      <x:c r="K182" s="901" t="n">
        <x:v>731702000</x:v>
      </x:c>
      <x:c r="L182" s="907" t="str">
        <x:v>SRC-P404</x:v>
      </x:c>
      <x:c r="M182" s="907" t="str">
        <x:v>VNStock API actual</x:v>
      </x:c>
      <x:c r="N182" s="1032" t="n">
        <x:v>46229.241747685184</x:v>
      </x:c>
    </x:row>
    <x:row r="183">
      <x:c r="A183" s="895" t="n">
        <x:v>44659</x:v>
      </x:c>
      <x:c r="B183" s="898" t="n">
        <x:v>41.69</x:v>
      </x:c>
      <x:c r="C183" s="898" t="n">
        <x:v>41.91</x:v>
      </x:c>
      <x:c r="D183" s="898" t="n">
        <x:v>40.21</x:v>
      </x:c>
      <x:c r="E183" s="898" t="n">
        <x:v>40.44</x:v>
      </x:c>
      <x:c r="F183" s="901" t="n">
        <x:v>2202100</x:v>
      </x:c>
      <x:c r="G183" s="904" t="n">
        <x:v>1504.31</x:v>
      </x:c>
      <x:c r="H183" s="904" t="n">
        <x:v>1507.73</x:v>
      </x:c>
      <x:c r="I183" s="904" t="n">
        <x:v>1482</x:v>
      </x:c>
      <x:c r="J183" s="904" t="n">
        <x:v>1482</x:v>
      </x:c>
      <x:c r="K183" s="901" t="n">
        <x:v>714336000</x:v>
      </x:c>
      <x:c r="L183" s="907" t="str">
        <x:v>SRC-P404</x:v>
      </x:c>
      <x:c r="M183" s="907" t="str">
        <x:v>VNStock API actual</x:v>
      </x:c>
      <x:c r="N183" s="1032" t="n">
        <x:v>46229.241747685184</x:v>
      </x:c>
    </x:row>
    <x:row r="184">
      <x:c r="A184" s="895" t="n">
        <x:v>44663</x:v>
      </x:c>
      <x:c r="B184" s="898" t="n">
        <x:v>40.44</x:v>
      </x:c>
      <x:c r="C184" s="898" t="n">
        <x:v>41.17</x:v>
      </x:c>
      <x:c r="D184" s="898" t="n">
        <x:v>38.44</x:v>
      </x:c>
      <x:c r="E184" s="898" t="n">
        <x:v>38.44</x:v>
      </x:c>
      <x:c r="F184" s="901" t="n">
        <x:v>1925200</x:v>
      </x:c>
      <x:c r="G184" s="904" t="n">
        <x:v>1487.94</x:v>
      </x:c>
      <x:c r="H184" s="904" t="n">
        <x:v>1490.58</x:v>
      </x:c>
      <x:c r="I184" s="904" t="n">
        <x:v>1455.25</x:v>
      </x:c>
      <x:c r="J184" s="904" t="n">
        <x:v>1455.25</x:v>
      </x:c>
      <x:c r="K184" s="901" t="n">
        <x:v>626421200</x:v>
      </x:c>
      <x:c r="L184" s="907" t="str">
        <x:v>SRC-P404</x:v>
      </x:c>
      <x:c r="M184" s="907" t="str">
        <x:v>VNStock API actual</x:v>
      </x:c>
      <x:c r="N184" s="1032" t="n">
        <x:v>46229.241747685184</x:v>
      </x:c>
    </x:row>
    <x:row r="185">
      <x:c r="A185" s="895" t="n">
        <x:v>44664</x:v>
      </x:c>
      <x:c r="B185" s="898" t="n">
        <x:v>38.74</x:v>
      </x:c>
      <x:c r="C185" s="898" t="n">
        <x:v>41.1</x:v>
      </x:c>
      <x:c r="D185" s="898" t="n">
        <x:v>38.59</x:v>
      </x:c>
      <x:c r="E185" s="898" t="n">
        <x:v>41.1</x:v>
      </x:c>
      <x:c r="F185" s="901" t="n">
        <x:v>2542200</x:v>
      </x:c>
      <x:c r="G185" s="904" t="n">
        <x:v>1459.48</x:v>
      </x:c>
      <x:c r="H185" s="904" t="n">
        <x:v>1477.2</x:v>
      </x:c>
      <x:c r="I185" s="904" t="n">
        <x:v>1448.52</x:v>
      </x:c>
      <x:c r="J185" s="904" t="n">
        <x:v>1477.2</x:v>
      </x:c>
      <x:c r="K185" s="901" t="n">
        <x:v>610048700</x:v>
      </x:c>
      <x:c r="L185" s="907" t="str">
        <x:v>SRC-P404</x:v>
      </x:c>
      <x:c r="M185" s="907" t="str">
        <x:v>VNStock API actual</x:v>
      </x:c>
      <x:c r="N185" s="1032" t="n">
        <x:v>46229.241747685184</x:v>
      </x:c>
    </x:row>
    <x:row r="186">
      <x:c r="A186" s="895" t="n">
        <x:v>44665</x:v>
      </x:c>
      <x:c r="B186" s="898" t="n">
        <x:v>42.06</x:v>
      </x:c>
      <x:c r="C186" s="898" t="n">
        <x:v>42.21</x:v>
      </x:c>
      <x:c r="D186" s="898" t="n">
        <x:v>41.03</x:v>
      </x:c>
      <x:c r="E186" s="898" t="n">
        <x:v>41.69</x:v>
      </x:c>
      <x:c r="F186" s="901" t="n">
        <x:v>1500200</x:v>
      </x:c>
      <x:c r="G186" s="904" t="n">
        <x:v>1483.08</x:v>
      </x:c>
      <x:c r="H186" s="904" t="n">
        <x:v>1484.34</x:v>
      </x:c>
      <x:c r="I186" s="904" t="n">
        <x:v>1471.75</x:v>
      </x:c>
      <x:c r="J186" s="904" t="n">
        <x:v>1472.12</x:v>
      </x:c>
      <x:c r="K186" s="901" t="n">
        <x:v>469987900</x:v>
      </x:c>
      <x:c r="L186" s="907" t="str">
        <x:v>SRC-P404</x:v>
      </x:c>
      <x:c r="M186" s="907" t="str">
        <x:v>VNStock API actual</x:v>
      </x:c>
      <x:c r="N186" s="1032" t="n">
        <x:v>46229.241747685184</x:v>
      </x:c>
    </x:row>
    <x:row r="187">
      <x:c r="A187" s="895" t="n">
        <x:v>44666</x:v>
      </x:c>
      <x:c r="B187" s="898" t="n">
        <x:v>41.32</x:v>
      </x:c>
      <x:c r="C187" s="898" t="n">
        <x:v>43.17</x:v>
      </x:c>
      <x:c r="D187" s="898" t="n">
        <x:v>41.03</x:v>
      </x:c>
      <x:c r="E187" s="898" t="n">
        <x:v>42.28</x:v>
      </x:c>
      <x:c r="F187" s="901" t="n">
        <x:v>2769800</x:v>
      </x:c>
      <x:c r="G187" s="904" t="n">
        <x:v>1470.32</x:v>
      </x:c>
      <x:c r="H187" s="904" t="n">
        <x:v>1478.95</x:v>
      </x:c>
      <x:c r="I187" s="904" t="n">
        <x:v>1456.39</x:v>
      </x:c>
      <x:c r="J187" s="904" t="n">
        <x:v>1458.56</x:v>
      </x:c>
      <x:c r="K187" s="901" t="n">
        <x:v>607674500</x:v>
      </x:c>
      <x:c r="L187" s="907" t="str">
        <x:v>SRC-P404</x:v>
      </x:c>
      <x:c r="M187" s="907" t="str">
        <x:v>VNStock API actual</x:v>
      </x:c>
      <x:c r="N187" s="1032" t="n">
        <x:v>46229.241747685184</x:v>
      </x:c>
    </x:row>
    <x:row r="188">
      <x:c r="A188" s="895" t="n">
        <x:v>44669</x:v>
      </x:c>
      <x:c r="B188" s="898" t="n">
        <x:v>42.06</x:v>
      </x:c>
      <x:c r="C188" s="898" t="n">
        <x:v>43.02</x:v>
      </x:c>
      <x:c r="D188" s="898" t="n">
        <x:v>41.03</x:v>
      </x:c>
      <x:c r="E188" s="898" t="n">
        <x:v>41.39</x:v>
      </x:c>
      <x:c r="F188" s="901" t="n">
        <x:v>2269300</x:v>
      </x:c>
      <x:c r="G188" s="904" t="n">
        <x:v>1455.04</x:v>
      </x:c>
      <x:c r="H188" s="904" t="n">
        <x:v>1456.07</x:v>
      </x:c>
      <x:c r="I188" s="904" t="n">
        <x:v>1425.07</x:v>
      </x:c>
      <x:c r="J188" s="904" t="n">
        <x:v>1432.6</x:v>
      </x:c>
      <x:c r="K188" s="901" t="n">
        <x:v>756738100</x:v>
      </x:c>
      <x:c r="L188" s="907" t="str">
        <x:v>SRC-P404</x:v>
      </x:c>
      <x:c r="M188" s="907" t="str">
        <x:v>VNStock API actual</x:v>
      </x:c>
      <x:c r="N188" s="1032" t="n">
        <x:v>46229.241747685184</x:v>
      </x:c>
    </x:row>
    <x:row r="189">
      <x:c r="A189" s="895" t="n">
        <x:v>44670</x:v>
      </x:c>
      <x:c r="B189" s="898" t="n">
        <x:v>41.76</x:v>
      </x:c>
      <x:c r="C189" s="898" t="n">
        <x:v>43.83</x:v>
      </x:c>
      <x:c r="D189" s="898" t="n">
        <x:v>41.69</x:v>
      </x:c>
      <x:c r="E189" s="898" t="n">
        <x:v>42.43</x:v>
      </x:c>
      <x:c r="F189" s="901" t="n">
        <x:v>3745800</x:v>
      </x:c>
      <x:c r="G189" s="904" t="n">
        <x:v>1435.82</x:v>
      </x:c>
      <x:c r="H189" s="904" t="n">
        <x:v>1442.04</x:v>
      </x:c>
      <x:c r="I189" s="904" t="n">
        <x:v>1406.45</x:v>
      </x:c>
      <x:c r="J189" s="904" t="n">
        <x:v>1406.45</x:v>
      </x:c>
      <x:c r="K189" s="901" t="n">
        <x:v>631671200</x:v>
      </x:c>
      <x:c r="L189" s="907" t="str">
        <x:v>SRC-P404</x:v>
      </x:c>
      <x:c r="M189" s="907" t="str">
        <x:v>VNStock API actual</x:v>
      </x:c>
      <x:c r="N189" s="1032" t="n">
        <x:v>46229.241747685184</x:v>
      </x:c>
    </x:row>
    <x:row r="190">
      <x:c r="A190" s="895" t="n">
        <x:v>44671</x:v>
      </x:c>
      <x:c r="B190" s="898" t="n">
        <x:v>42.65</x:v>
      </x:c>
      <x:c r="C190" s="898" t="n">
        <x:v>43.46</x:v>
      </x:c>
      <x:c r="D190" s="898" t="n">
        <x:v>40.58</x:v>
      </x:c>
      <x:c r="E190" s="898" t="n">
        <x:v>41.03</x:v>
      </x:c>
      <x:c r="F190" s="901" t="n">
        <x:v>2570300</x:v>
      </x:c>
      <x:c r="G190" s="904" t="n">
        <x:v>1401.63</x:v>
      </x:c>
      <x:c r="H190" s="904" t="n">
        <x:v>1410.64</x:v>
      </x:c>
      <x:c r="I190" s="904" t="n">
        <x:v>1384.72</x:v>
      </x:c>
      <x:c r="J190" s="904" t="n">
        <x:v>1384.72</x:v>
      </x:c>
      <x:c r="K190" s="901" t="n">
        <x:v>623503300</x:v>
      </x:c>
      <x:c r="L190" s="907" t="str">
        <x:v>SRC-P404</x:v>
      </x:c>
      <x:c r="M190" s="907" t="str">
        <x:v>VNStock API actual</x:v>
      </x:c>
      <x:c r="N190" s="1032" t="n">
        <x:v>46229.241747685184</x:v>
      </x:c>
    </x:row>
    <x:row r="191">
      <x:c r="A191" s="895" t="n">
        <x:v>44672</x:v>
      </x:c>
      <x:c r="B191" s="898" t="n">
        <x:v>40.21</x:v>
      </x:c>
      <x:c r="C191" s="898" t="n">
        <x:v>42.06</x:v>
      </x:c>
      <x:c r="D191" s="898" t="n">
        <x:v>39.33</x:v>
      </x:c>
      <x:c r="E191" s="898" t="n">
        <x:v>41.03</x:v>
      </x:c>
      <x:c r="F191" s="901" t="n">
        <x:v>2008600</x:v>
      </x:c>
      <x:c r="G191" s="904" t="n">
        <x:v>1369.8</x:v>
      </x:c>
      <x:c r="H191" s="904" t="n">
        <x:v>1392.33</x:v>
      </x:c>
      <x:c r="I191" s="904" t="n">
        <x:v>1356.58</x:v>
      </x:c>
      <x:c r="J191" s="904" t="n">
        <x:v>1370.21</x:v>
      </x:c>
      <x:c r="K191" s="901" t="n">
        <x:v>710757900</x:v>
      </x:c>
      <x:c r="L191" s="907" t="str">
        <x:v>SRC-P404</x:v>
      </x:c>
      <x:c r="M191" s="907" t="str">
        <x:v>VNStock API actual</x:v>
      </x:c>
      <x:c r="N191" s="1032" t="n">
        <x:v>46229.241747685184</x:v>
      </x:c>
    </x:row>
    <x:row r="192">
      <x:c r="A192" s="895" t="n">
        <x:v>44673</x:v>
      </x:c>
      <x:c r="B192" s="898" t="n">
        <x:v>40.66</x:v>
      </x:c>
      <x:c r="C192" s="898" t="n">
        <x:v>41.32</x:v>
      </x:c>
      <x:c r="D192" s="898" t="n">
        <x:v>38.22</x:v>
      </x:c>
      <x:c r="E192" s="898" t="n">
        <x:v>38.66</x:v>
      </x:c>
      <x:c r="F192" s="901" t="n">
        <x:v>5448200</x:v>
      </x:c>
      <x:c r="G192" s="904" t="n">
        <x:v>1378.28</x:v>
      </x:c>
      <x:c r="H192" s="904" t="n">
        <x:v>1392.89</x:v>
      </x:c>
      <x:c r="I192" s="904" t="n">
        <x:v>1352.43</x:v>
      </x:c>
      <x:c r="J192" s="904" t="n">
        <x:v>1379.23</x:v>
      </x:c>
      <x:c r="K192" s="901" t="n">
        <x:v>757404900</x:v>
      </x:c>
      <x:c r="L192" s="907" t="str">
        <x:v>SRC-P404</x:v>
      </x:c>
      <x:c r="M192" s="907" t="str">
        <x:v>VNStock API actual</x:v>
      </x:c>
      <x:c r="N192" s="1032" t="n">
        <x:v>46229.241747685184</x:v>
      </x:c>
    </x:row>
    <x:row r="193">
      <x:c r="A193" s="895" t="n">
        <x:v>44676</x:v>
      </x:c>
      <x:c r="B193" s="898" t="n">
        <x:v>38.52</x:v>
      </x:c>
      <x:c r="C193" s="898" t="n">
        <x:v>38.59</x:v>
      </x:c>
      <x:c r="D193" s="898" t="n">
        <x:v>35.97</x:v>
      </x:c>
      <x:c r="E193" s="898" t="n">
        <x:v>35.97</x:v>
      </x:c>
      <x:c r="F193" s="901" t="n">
        <x:v>4328000</x:v>
      </x:c>
      <x:c r="G193" s="904" t="n">
        <x:v>1377.75</x:v>
      </x:c>
      <x:c r="H193" s="904" t="n">
        <x:v>1382.13</x:v>
      </x:c>
      <x:c r="I193" s="904" t="n">
        <x:v>1298.38</x:v>
      </x:c>
      <x:c r="J193" s="904" t="n">
        <x:v>1310.92</x:v>
      </x:c>
      <x:c r="K193" s="901" t="n">
        <x:v>653206600</x:v>
      </x:c>
      <x:c r="L193" s="907" t="str">
        <x:v>SRC-P404</x:v>
      </x:c>
      <x:c r="M193" s="907" t="str">
        <x:v>VNStock API actual</x:v>
      </x:c>
      <x:c r="N193" s="1032" t="n">
        <x:v>46229.241747685184</x:v>
      </x:c>
    </x:row>
    <x:row r="194">
      <x:c r="A194" s="895" t="n">
        <x:v>44677</x:v>
      </x:c>
      <x:c r="B194" s="898" t="n">
        <x:v>34.02</x:v>
      </x:c>
      <x:c r="C194" s="898" t="n">
        <x:v>38.44</x:v>
      </x:c>
      <x:c r="D194" s="898" t="n">
        <x:v>34.02</x:v>
      </x:c>
      <x:c r="E194" s="898" t="n">
        <x:v>38</x:v>
      </x:c>
      <x:c r="F194" s="901" t="n">
        <x:v>2805500</x:v>
      </x:c>
      <x:c r="G194" s="904" t="n">
        <x:v>1285.4</x:v>
      </x:c>
      <x:c r="H194" s="904" t="n">
        <x:v>1341.34</x:v>
      </x:c>
      <x:c r="I194" s="904" t="n">
        <x:v>1261.4</x:v>
      </x:c>
      <x:c r="J194" s="904" t="n">
        <x:v>1341.34</x:v>
      </x:c>
      <x:c r="K194" s="901" t="n">
        <x:v>642893200</x:v>
      </x:c>
      <x:c r="L194" s="907" t="str">
        <x:v>SRC-P404</x:v>
      </x:c>
      <x:c r="M194" s="907" t="str">
        <x:v>VNStock API actual</x:v>
      </x:c>
      <x:c r="N194" s="1032" t="n">
        <x:v>46229.241747685184</x:v>
      </x:c>
    </x:row>
    <x:row r="195">
      <x:c r="A195" s="895" t="n">
        <x:v>44678</x:v>
      </x:c>
      <x:c r="B195" s="898" t="n">
        <x:v>37.63</x:v>
      </x:c>
      <x:c r="C195" s="898" t="n">
        <x:v>39.85</x:v>
      </x:c>
      <x:c r="D195" s="898" t="n">
        <x:v>37.48</x:v>
      </x:c>
      <x:c r="E195" s="898" t="n">
        <x:v>39.33</x:v>
      </x:c>
      <x:c r="F195" s="901" t="n">
        <x:v>1702400</x:v>
      </x:c>
      <x:c r="G195" s="904" t="n">
        <x:v>1331.73</x:v>
      </x:c>
      <x:c r="H195" s="904" t="n">
        <x:v>1355.92</x:v>
      </x:c>
      <x:c r="I195" s="904" t="n">
        <x:v>1314.81</x:v>
      </x:c>
      <x:c r="J195" s="904" t="n">
        <x:v>1353.77</x:v>
      </x:c>
      <x:c r="K195" s="901" t="n">
        <x:v>460096300</x:v>
      </x:c>
      <x:c r="L195" s="907" t="str">
        <x:v>SRC-P404</x:v>
      </x:c>
      <x:c r="M195" s="907" t="str">
        <x:v>VNStock API actual</x:v>
      </x:c>
      <x:c r="N195" s="1032" t="n">
        <x:v>46229.241747685184</x:v>
      </x:c>
    </x:row>
    <x:row r="196">
      <x:c r="A196" s="895" t="n">
        <x:v>44679</x:v>
      </x:c>
      <x:c r="B196" s="898" t="n">
        <x:v>39.7</x:v>
      </x:c>
      <x:c r="C196" s="898" t="n">
        <x:v>40.8</x:v>
      </x:c>
      <x:c r="D196" s="898" t="n">
        <x:v>39.62</x:v>
      </x:c>
      <x:c r="E196" s="898" t="n">
        <x:v>39.7</x:v>
      </x:c>
      <x:c r="F196" s="901" t="n">
        <x:v>2595800</x:v>
      </x:c>
      <x:c r="G196" s="904" t="n">
        <x:v>1353.48</x:v>
      </x:c>
      <x:c r="H196" s="904" t="n">
        <x:v>1358.07</x:v>
      </x:c>
      <x:c r="I196" s="904" t="n">
        <x:v>1344.1</x:v>
      </x:c>
      <x:c r="J196" s="904" t="n">
        <x:v>1350.99</x:v>
      </x:c>
      <x:c r="K196" s="901" t="n">
        <x:v>433237500</x:v>
      </x:c>
      <x:c r="L196" s="907" t="str">
        <x:v>SRC-P404</x:v>
      </x:c>
      <x:c r="M196" s="907" t="str">
        <x:v>VNStock API actual</x:v>
      </x:c>
      <x:c r="N196" s="1032" t="n">
        <x:v>46229.241747685184</x:v>
      </x:c>
    </x:row>
    <x:row r="197">
      <x:c r="A197" s="895" t="n">
        <x:v>44680</x:v>
      </x:c>
      <x:c r="B197" s="898" t="n">
        <x:v>39.48</x:v>
      </x:c>
      <x:c r="C197" s="898" t="n">
        <x:v>40.44</x:v>
      </x:c>
      <x:c r="D197" s="898" t="n">
        <x:v>39.4</x:v>
      </x:c>
      <x:c r="E197" s="898" t="n">
        <x:v>40.14</x:v>
      </x:c>
      <x:c r="F197" s="901" t="n">
        <x:v>1834400</x:v>
      </x:c>
      <x:c r="G197" s="904" t="n">
        <x:v>1347.08</x:v>
      </x:c>
      <x:c r="H197" s="904" t="n">
        <x:v>1369.31</x:v>
      </x:c>
      <x:c r="I197" s="904" t="n">
        <x:v>1343.24</x:v>
      </x:c>
      <x:c r="J197" s="904" t="n">
        <x:v>1366.8</x:v>
      </x:c>
      <x:c r="K197" s="901" t="n">
        <x:v>507963700</x:v>
      </x:c>
      <x:c r="L197" s="907" t="str">
        <x:v>SRC-P404</x:v>
      </x:c>
      <x:c r="M197" s="907" t="str">
        <x:v>VNStock API actual</x:v>
      </x:c>
      <x:c r="N197" s="1032" t="n">
        <x:v>46229.241747685184</x:v>
      </x:c>
    </x:row>
    <x:row r="198">
      <x:c r="A198" s="895" t="n">
        <x:v>44685</x:v>
      </x:c>
      <x:c r="B198" s="898" t="n">
        <x:v>40.51</x:v>
      </x:c>
      <x:c r="C198" s="898" t="n">
        <x:v>42.21</x:v>
      </x:c>
      <x:c r="D198" s="898" t="n">
        <x:v>39.48</x:v>
      </x:c>
      <x:c r="E198" s="898" t="n">
        <x:v>41.69</x:v>
      </x:c>
      <x:c r="F198" s="901" t="n">
        <x:v>2454200</x:v>
      </x:c>
      <x:c r="G198" s="904" t="n">
        <x:v>1366.11</x:v>
      </x:c>
      <x:c r="H198" s="904" t="n">
        <x:v>1366.39</x:v>
      </x:c>
      <x:c r="I198" s="904" t="n">
        <x:v>1348.68</x:v>
      </x:c>
      <x:c r="J198" s="904" t="n">
        <x:v>1348.68</x:v>
      </x:c>
      <x:c r="K198" s="901" t="n">
        <x:v>479468500</x:v>
      </x:c>
      <x:c r="L198" s="907" t="str">
        <x:v>SRC-P404</x:v>
      </x:c>
      <x:c r="M198" s="907" t="str">
        <x:v>VNStock API actual</x:v>
      </x:c>
      <x:c r="N198" s="1032" t="n">
        <x:v>46229.241747685184</x:v>
      </x:c>
    </x:row>
    <x:row r="199">
      <x:c r="A199" s="895" t="n">
        <x:v>44686</x:v>
      </x:c>
      <x:c r="B199" s="898" t="n">
        <x:v>42.43</x:v>
      </x:c>
      <x:c r="C199" s="898" t="n">
        <x:v>42.43</x:v>
      </x:c>
      <x:c r="D199" s="898" t="n">
        <x:v>40.51</x:v>
      </x:c>
      <x:c r="E199" s="898" t="n">
        <x:v>41.1</x:v>
      </x:c>
      <x:c r="F199" s="901" t="n">
        <x:v>2748000</x:v>
      </x:c>
      <x:c r="G199" s="904" t="n">
        <x:v>1361.62</x:v>
      </x:c>
      <x:c r="H199" s="904" t="n">
        <x:v>1362.18</x:v>
      </x:c>
      <x:c r="I199" s="904" t="n">
        <x:v>1331.41</x:v>
      </x:c>
      <x:c r="J199" s="904" t="n">
        <x:v>1360.68</x:v>
      </x:c>
      <x:c r="K199" s="901" t="n">
        <x:v>489256000</x:v>
      </x:c>
      <x:c r="L199" s="907" t="str">
        <x:v>SRC-P404</x:v>
      </x:c>
      <x:c r="M199" s="907" t="str">
        <x:v>VNStock API actual</x:v>
      </x:c>
      <x:c r="N199" s="1032" t="n">
        <x:v>46229.241747685184</x:v>
      </x:c>
    </x:row>
    <x:row r="200">
      <x:c r="A200" s="895" t="n">
        <x:v>44687</x:v>
      </x:c>
      <x:c r="B200" s="898" t="n">
        <x:v>39.99</x:v>
      </x:c>
      <x:c r="C200" s="898" t="n">
        <x:v>42.72</x:v>
      </x:c>
      <x:c r="D200" s="898" t="n">
        <x:v>39.99</x:v>
      </x:c>
      <x:c r="E200" s="898" t="n">
        <x:v>41.39</x:v>
      </x:c>
      <x:c r="F200" s="901" t="n">
        <x:v>4339200</x:v>
      </x:c>
      <x:c r="G200" s="904" t="n">
        <x:v>1333.55</x:v>
      </x:c>
      <x:c r="H200" s="904" t="n">
        <x:v>1350.09</x:v>
      </x:c>
      <x:c r="I200" s="904" t="n">
        <x:v>1328.13</x:v>
      </x:c>
      <x:c r="J200" s="904" t="n">
        <x:v>1329.26</x:v>
      </x:c>
      <x:c r="K200" s="901" t="n">
        <x:v>483028300</x:v>
      </x:c>
      <x:c r="L200" s="907" t="str">
        <x:v>SRC-P404</x:v>
      </x:c>
      <x:c r="M200" s="907" t="str">
        <x:v>VNStock API actual</x:v>
      </x:c>
      <x:c r="N200" s="1032" t="n">
        <x:v>46229.241747685184</x:v>
      </x:c>
    </x:row>
    <x:row r="201">
      <x:c r="A201" s="895" t="n">
        <x:v>44690</x:v>
      </x:c>
      <x:c r="B201" s="898" t="n">
        <x:v>40.58</x:v>
      </x:c>
      <x:c r="C201" s="898" t="n">
        <x:v>40.95</x:v>
      </x:c>
      <x:c r="D201" s="898" t="n">
        <x:v>38.59</x:v>
      </x:c>
      <x:c r="E201" s="898" t="n">
        <x:v>39.48</x:v>
      </x:c>
      <x:c r="F201" s="901" t="n">
        <x:v>3568900</x:v>
      </x:c>
      <x:c r="G201" s="904" t="n">
        <x:v>1313.49</x:v>
      </x:c>
      <x:c r="H201" s="904" t="n">
        <x:v>1314.52</x:v>
      </x:c>
      <x:c r="I201" s="904" t="n">
        <x:v>1265.54</x:v>
      </x:c>
      <x:c r="J201" s="904" t="n">
        <x:v>1269.62</x:v>
      </x:c>
      <x:c r="K201" s="901" t="n">
        <x:v>599089800</x:v>
      </x:c>
      <x:c r="L201" s="907" t="str">
        <x:v>SRC-P404</x:v>
      </x:c>
      <x:c r="M201" s="907" t="str">
        <x:v>VNStock API actual</x:v>
      </x:c>
      <x:c r="N201" s="1032" t="n">
        <x:v>46229.241747685184</x:v>
      </x:c>
    </x:row>
    <x:row r="202">
      <x:c r="A202" s="895" t="n">
        <x:v>44691</x:v>
      </x:c>
      <x:c r="B202" s="898" t="n">
        <x:v>38.59</x:v>
      </x:c>
      <x:c r="C202" s="898" t="n">
        <x:v>40.66</x:v>
      </x:c>
      <x:c r="D202" s="898" t="n">
        <x:v>37.71</x:v>
      </x:c>
      <x:c r="E202" s="898" t="n">
        <x:v>40.58</x:v>
      </x:c>
      <x:c r="F202" s="901" t="n">
        <x:v>1708900</x:v>
      </x:c>
      <x:c r="G202" s="904" t="n">
        <x:v>1240.93</x:v>
      </x:c>
      <x:c r="H202" s="904" t="n">
        <x:v>1293.56</x:v>
      </x:c>
      <x:c r="I202" s="904" t="n">
        <x:v>1232.57</x:v>
      </x:c>
      <x:c r="J202" s="904" t="n">
        <x:v>1293.56</x:v>
      </x:c>
      <x:c r="K202" s="901" t="n">
        <x:v>581394400</x:v>
      </x:c>
      <x:c r="L202" s="907" t="str">
        <x:v>SRC-P404</x:v>
      </x:c>
      <x:c r="M202" s="907" t="str">
        <x:v>VNStock API actual</x:v>
      </x:c>
      <x:c r="N202" s="1032" t="n">
        <x:v>46229.241747685184</x:v>
      </x:c>
    </x:row>
    <x:row r="203">
      <x:c r="A203" s="895" t="n">
        <x:v>44692</x:v>
      </x:c>
      <x:c r="B203" s="898" t="n">
        <x:v>40.88</x:v>
      </x:c>
      <x:c r="C203" s="898" t="n">
        <x:v>41.91</x:v>
      </x:c>
      <x:c r="D203" s="898" t="n">
        <x:v>40.58</x:v>
      </x:c>
      <x:c r="E203" s="898" t="n">
        <x:v>41.69</x:v>
      </x:c>
      <x:c r="F203" s="901" t="n">
        <x:v>2018900</x:v>
      </x:c>
      <x:c r="G203" s="904" t="n">
        <x:v>1295.39</x:v>
      </x:c>
      <x:c r="H203" s="904" t="n">
        <x:v>1305.17</x:v>
      </x:c>
      <x:c r="I203" s="904" t="n">
        <x:v>1277.91</x:v>
      </x:c>
      <x:c r="J203" s="904" t="n">
        <x:v>1301.53</x:v>
      </x:c>
      <x:c r="K203" s="901" t="n">
        <x:v>358173000</x:v>
      </x:c>
      <x:c r="L203" s="907" t="str">
        <x:v>SRC-P404</x:v>
      </x:c>
      <x:c r="M203" s="907" t="str">
        <x:v>VNStock API actual</x:v>
      </x:c>
      <x:c r="N203" s="1032" t="n">
        <x:v>46229.241747685184</x:v>
      </x:c>
    </x:row>
    <x:row r="204">
      <x:c r="A204" s="895" t="n">
        <x:v>44693</x:v>
      </x:c>
      <x:c r="B204" s="898" t="n">
        <x:v>41.17</x:v>
      </x:c>
      <x:c r="C204" s="898" t="n">
        <x:v>43.46</x:v>
      </x:c>
      <x:c r="D204" s="898" t="n">
        <x:v>41.03</x:v>
      </x:c>
      <x:c r="E204" s="898" t="n">
        <x:v>41.25</x:v>
      </x:c>
      <x:c r="F204" s="901" t="n">
        <x:v>5734700</x:v>
      </x:c>
      <x:c r="G204" s="904" t="n">
        <x:v>1290.4</x:v>
      </x:c>
      <x:c r="H204" s="904" t="n">
        <x:v>1291.65</x:v>
      </x:c>
      <x:c r="I204" s="904" t="n">
        <x:v>1238.05</x:v>
      </x:c>
      <x:c r="J204" s="904" t="n">
        <x:v>1238.84</x:v>
      </x:c>
      <x:c r="K204" s="901" t="n">
        <x:v>487651200</x:v>
      </x:c>
      <x:c r="L204" s="907" t="str">
        <x:v>SRC-P404</x:v>
      </x:c>
      <x:c r="M204" s="907" t="str">
        <x:v>VNStock API actual</x:v>
      </x:c>
      <x:c r="N204" s="1032" t="n">
        <x:v>46229.241747685184</x:v>
      </x:c>
    </x:row>
    <x:row r="205">
      <x:c r="A205" s="895" t="n">
        <x:v>44694</x:v>
      </x:c>
      <x:c r="B205" s="898" t="n">
        <x:v>41.32</x:v>
      </x:c>
      <x:c r="C205" s="898" t="n">
        <x:v>41.69</x:v>
      </x:c>
      <x:c r="D205" s="898" t="n">
        <x:v>38.37</x:v>
      </x:c>
      <x:c r="E205" s="898" t="n">
        <x:v>38.37</x:v>
      </x:c>
      <x:c r="F205" s="901" t="n">
        <x:v>3165800</x:v>
      </x:c>
      <x:c r="G205" s="904" t="n">
        <x:v>1235.03</x:v>
      </x:c>
      <x:c r="H205" s="904" t="n">
        <x:v>1237.8</x:v>
      </x:c>
      <x:c r="I205" s="904" t="n">
        <x:v>1180.6</x:v>
      </x:c>
      <x:c r="J205" s="904" t="n">
        <x:v>1182.77</x:v>
      </x:c>
      <x:c r="K205" s="901" t="n">
        <x:v>703049500</x:v>
      </x:c>
      <x:c r="L205" s="907" t="str">
        <x:v>SRC-P404</x:v>
      </x:c>
      <x:c r="M205" s="907" t="str">
        <x:v>VNStock API actual</x:v>
      </x:c>
      <x:c r="N205" s="1032" t="n">
        <x:v>46229.241747685184</x:v>
      </x:c>
    </x:row>
    <x:row r="206">
      <x:c r="A206" s="895" t="n">
        <x:v>44697</x:v>
      </x:c>
      <x:c r="B206" s="898" t="n">
        <x:v>39.85</x:v>
      </x:c>
      <x:c r="C206" s="898" t="n">
        <x:v>40.21</x:v>
      </x:c>
      <x:c r="D206" s="898" t="n">
        <x:v>35.71</x:v>
      </x:c>
      <x:c r="E206" s="898" t="n">
        <x:v>35.71</x:v>
      </x:c>
      <x:c r="F206" s="901" t="n">
        <x:v>3057200</x:v>
      </x:c>
      <x:c r="G206" s="904" t="n">
        <x:v>1208.05</x:v>
      </x:c>
      <x:c r="H206" s="904" t="n">
        <x:v>1215.96</x:v>
      </x:c>
      <x:c r="I206" s="904" t="n">
        <x:v>1170.59</x:v>
      </x:c>
      <x:c r="J206" s="904" t="n">
        <x:v>1171.95</x:v>
      </x:c>
      <x:c r="K206" s="901" t="n">
        <x:v>521921500</x:v>
      </x:c>
      <x:c r="L206" s="907" t="str">
        <x:v>SRC-P404</x:v>
      </x:c>
      <x:c r="M206" s="907" t="str">
        <x:v>VNStock API actual</x:v>
      </x:c>
      <x:c r="N206" s="1032" t="n">
        <x:v>46229.241747685184</x:v>
      </x:c>
    </x:row>
    <x:row r="207">
      <x:c r="A207" s="895" t="n">
        <x:v>44698</x:v>
      </x:c>
      <x:c r="B207" s="898" t="n">
        <x:v>34.68</x:v>
      </x:c>
      <x:c r="C207" s="898" t="n">
        <x:v>38.15</x:v>
      </x:c>
      <x:c r="D207" s="898" t="n">
        <x:v>33.24</x:v>
      </x:c>
      <x:c r="E207" s="898" t="n">
        <x:v>38.15</x:v>
      </x:c>
      <x:c r="F207" s="901" t="n">
        <x:v>3938200</x:v>
      </x:c>
      <x:c r="G207" s="904" t="n">
        <x:v>1164.32</x:v>
      </x:c>
      <x:c r="H207" s="904" t="n">
        <x:v>1228.37</x:v>
      </x:c>
      <x:c r="I207" s="904" t="n">
        <x:v>1156.54</x:v>
      </x:c>
      <x:c r="J207" s="904" t="n">
        <x:v>1228.37</x:v>
      </x:c>
      <x:c r="K207" s="901" t="n">
        <x:v>515009800</x:v>
      </x:c>
      <x:c r="L207" s="907" t="str">
        <x:v>SRC-P404</x:v>
      </x:c>
      <x:c r="M207" s="907" t="str">
        <x:v>VNStock API actual</x:v>
      </x:c>
      <x:c r="N207" s="1032" t="n">
        <x:v>46229.241747685184</x:v>
      </x:c>
    </x:row>
    <x:row r="208">
      <x:c r="A208" s="895" t="n">
        <x:v>44699</x:v>
      </x:c>
      <x:c r="B208" s="898" t="n">
        <x:v>38.59</x:v>
      </x:c>
      <x:c r="C208" s="898" t="n">
        <x:v>39.48</x:v>
      </x:c>
      <x:c r="D208" s="898" t="n">
        <x:v>37.71</x:v>
      </x:c>
      <x:c r="E208" s="898" t="n">
        <x:v>37.78</x:v>
      </x:c>
      <x:c r="F208" s="901" t="n">
        <x:v>1982700</x:v>
      </x:c>
      <x:c r="G208" s="904" t="n">
        <x:v>1240.06</x:v>
      </x:c>
      <x:c r="H208" s="904" t="n">
        <x:v>1249.84</x:v>
      </x:c>
      <x:c r="I208" s="904" t="n">
        <x:v>1222.92</x:v>
      </x:c>
      <x:c r="J208" s="904" t="n">
        <x:v>1240.76</x:v>
      </x:c>
      <x:c r="K208" s="901" t="n">
        <x:v>485410300</x:v>
      </x:c>
      <x:c r="L208" s="907" t="str">
        <x:v>SRC-P404</x:v>
      </x:c>
      <x:c r="M208" s="907" t="str">
        <x:v>VNStock API actual</x:v>
      </x:c>
      <x:c r="N208" s="1032" t="n">
        <x:v>46229.241747685184</x:v>
      </x:c>
    </x:row>
    <x:row r="209">
      <x:c r="A209" s="895" t="n">
        <x:v>44700</x:v>
      </x:c>
      <x:c r="B209" s="898" t="n">
        <x:v>36.67</x:v>
      </x:c>
      <x:c r="C209" s="898" t="n">
        <x:v>38.37</x:v>
      </x:c>
      <x:c r="D209" s="898" t="n">
        <x:v>36.67</x:v>
      </x:c>
      <x:c r="E209" s="898" t="n">
        <x:v>37.63</x:v>
      </x:c>
      <x:c r="F209" s="901" t="n">
        <x:v>1728900</x:v>
      </x:c>
      <x:c r="G209" s="904" t="n">
        <x:v>1211.31</x:v>
      </x:c>
      <x:c r="H209" s="904" t="n">
        <x:v>1246.66</x:v>
      </x:c>
      <x:c r="I209" s="904" t="n">
        <x:v>1211.07</x:v>
      </x:c>
      <x:c r="J209" s="904" t="n">
        <x:v>1241.64</x:v>
      </x:c>
      <x:c r="K209" s="901" t="n">
        <x:v>435034100</x:v>
      </x:c>
      <x:c r="L209" s="907" t="str">
        <x:v>SRC-P404</x:v>
      </x:c>
      <x:c r="M209" s="907" t="str">
        <x:v>VNStock API actual</x:v>
      </x:c>
      <x:c r="N209" s="1032" t="n">
        <x:v>46229.241747685184</x:v>
      </x:c>
    </x:row>
    <x:row r="210">
      <x:c r="A210" s="895" t="n">
        <x:v>44701</x:v>
      </x:c>
      <x:c r="B210" s="898" t="n">
        <x:v>37.63</x:v>
      </x:c>
      <x:c r="C210" s="898" t="n">
        <x:v>38.3</x:v>
      </x:c>
      <x:c r="D210" s="898" t="n">
        <x:v>36.52</x:v>
      </x:c>
      <x:c r="E210" s="898" t="n">
        <x:v>36.75</x:v>
      </x:c>
      <x:c r="F210" s="901" t="n">
        <x:v>1914500</x:v>
      </x:c>
      <x:c r="G210" s="904" t="n">
        <x:v>1240.72</x:v>
      </x:c>
      <x:c r="H210" s="904" t="n">
        <x:v>1252.96</x:v>
      </x:c>
      <x:c r="I210" s="904" t="n">
        <x:v>1232.33</x:v>
      </x:c>
      <x:c r="J210" s="904" t="n">
        <x:v>1240.71</x:v>
      </x:c>
      <x:c r="K210" s="901" t="n">
        <x:v>439345600</x:v>
      </x:c>
      <x:c r="L210" s="907" t="str">
        <x:v>SRC-P404</x:v>
      </x:c>
      <x:c r="M210" s="907" t="str">
        <x:v>VNStock API actual</x:v>
      </x:c>
      <x:c r="N210" s="1032" t="n">
        <x:v>46229.241747685184</x:v>
      </x:c>
    </x:row>
    <x:row r="211">
      <x:c r="A211" s="895" t="n">
        <x:v>44704</x:v>
      </x:c>
      <x:c r="B211" s="898" t="n">
        <x:v>36.89</x:v>
      </x:c>
      <x:c r="C211" s="898" t="n">
        <x:v>38.3</x:v>
      </x:c>
      <x:c r="D211" s="898" t="n">
        <x:v>36.52</x:v>
      </x:c>
      <x:c r="E211" s="898" t="n">
        <x:v>37.26</x:v>
      </x:c>
      <x:c r="F211" s="901" t="n">
        <x:v>1204600</x:v>
      </x:c>
      <x:c r="G211" s="904" t="n">
        <x:v>1246.56</x:v>
      </x:c>
      <x:c r="H211" s="904" t="n">
        <x:v>1246.58</x:v>
      </x:c>
      <x:c r="I211" s="904" t="n">
        <x:v>1207.99</x:v>
      </x:c>
      <x:c r="J211" s="904" t="n">
        <x:v>1218.81</x:v>
      </x:c>
      <x:c r="K211" s="901" t="n">
        <x:v>464634600</x:v>
      </x:c>
      <x:c r="L211" s="907" t="str">
        <x:v>SRC-P404</x:v>
      </x:c>
      <x:c r="M211" s="907" t="str">
        <x:v>VNStock API actual</x:v>
      </x:c>
      <x:c r="N211" s="1032" t="n">
        <x:v>46229.241747685184</x:v>
      </x:c>
    </x:row>
    <x:row r="212">
      <x:c r="A212" s="895" t="n">
        <x:v>44705</x:v>
      </x:c>
      <x:c r="B212" s="898" t="n">
        <x:v>37.26</x:v>
      </x:c>
      <x:c r="C212" s="898" t="n">
        <x:v>38</x:v>
      </x:c>
      <x:c r="D212" s="898" t="n">
        <x:v>36.89</x:v>
      </x:c>
      <x:c r="E212" s="898" t="n">
        <x:v>37.93</x:v>
      </x:c>
      <x:c r="F212" s="901" t="n">
        <x:v>858900</x:v>
      </x:c>
      <x:c r="G212" s="904" t="n">
        <x:v>1218.87</x:v>
      </x:c>
      <x:c r="H212" s="904" t="n">
        <x:v>1233.38</x:v>
      </x:c>
      <x:c r="I212" s="904" t="n">
        <x:v>1203.28</x:v>
      </x:c>
      <x:c r="J212" s="904" t="n">
        <x:v>1233.38</x:v>
      </x:c>
      <x:c r="K212" s="901" t="n">
        <x:v>451441400</x:v>
      </x:c>
      <x:c r="L212" s="907" t="str">
        <x:v>SRC-P404</x:v>
      </x:c>
      <x:c r="M212" s="907" t="str">
        <x:v>VNStock API actual</x:v>
      </x:c>
      <x:c r="N212" s="1032" t="n">
        <x:v>46229.241747685184</x:v>
      </x:c>
    </x:row>
    <x:row r="213">
      <x:c r="A213" s="895" t="n">
        <x:v>44706</x:v>
      </x:c>
      <x:c r="B213" s="898" t="n">
        <x:v>38</x:v>
      </x:c>
      <x:c r="C213" s="898" t="n">
        <x:v>40.44</x:v>
      </x:c>
      <x:c r="D213" s="898" t="n">
        <x:v>38</x:v>
      </x:c>
      <x:c r="E213" s="898" t="n">
        <x:v>40.21</x:v>
      </x:c>
      <x:c r="F213" s="901" t="n">
        <x:v>3751300</x:v>
      </x:c>
      <x:c r="G213" s="904" t="n">
        <x:v>1238.52</x:v>
      </x:c>
      <x:c r="H213" s="904" t="n">
        <x:v>1268.43</x:v>
      </x:c>
      <x:c r="I213" s="904" t="n">
        <x:v>1234.17</x:v>
      </x:c>
      <x:c r="J213" s="904" t="n">
        <x:v>1268.43</x:v>
      </x:c>
      <x:c r="K213" s="901" t="n">
        <x:v>583626500</x:v>
      </x:c>
      <x:c r="L213" s="907" t="str">
        <x:v>SRC-P404</x:v>
      </x:c>
      <x:c r="M213" s="907" t="str">
        <x:v>VNStock API actual</x:v>
      </x:c>
      <x:c r="N213" s="1032" t="n">
        <x:v>46229.241747685184</x:v>
      </x:c>
    </x:row>
    <x:row r="214">
      <x:c r="A214" s="895" t="n">
        <x:v>44707</x:v>
      </x:c>
      <x:c r="B214" s="898" t="n">
        <x:v>39.85</x:v>
      </x:c>
      <x:c r="C214" s="898" t="n">
        <x:v>40.58</x:v>
      </x:c>
      <x:c r="D214" s="898" t="n">
        <x:v>39.48</x:v>
      </x:c>
      <x:c r="E214" s="898" t="n">
        <x:v>39.62</x:v>
      </x:c>
      <x:c r="F214" s="901" t="n">
        <x:v>1739700</x:v>
      </x:c>
      <x:c r="G214" s="904" t="n">
        <x:v>1273.8</x:v>
      </x:c>
      <x:c r="H214" s="904" t="n">
        <x:v>1278.11</x:v>
      </x:c>
      <x:c r="I214" s="904" t="n">
        <x:v>1261.55</x:v>
      </x:c>
      <x:c r="J214" s="904" t="n">
        <x:v>1268.57</x:v>
      </x:c>
      <x:c r="K214" s="901" t="n">
        <x:v>488313100</x:v>
      </x:c>
      <x:c r="L214" s="907" t="str">
        <x:v>SRC-P404</x:v>
      </x:c>
      <x:c r="M214" s="907" t="str">
        <x:v>VNStock API actual</x:v>
      </x:c>
      <x:c r="N214" s="1032" t="n">
        <x:v>46229.241747685184</x:v>
      </x:c>
    </x:row>
    <x:row r="215">
      <x:c r="A215" s="895" t="n">
        <x:v>44708</x:v>
      </x:c>
      <x:c r="B215" s="898" t="n">
        <x:v>39.77</x:v>
      </x:c>
      <x:c r="C215" s="898" t="n">
        <x:v>41.54</x:v>
      </x:c>
      <x:c r="D215" s="898" t="n">
        <x:v>39.62</x:v>
      </x:c>
      <x:c r="E215" s="898" t="n">
        <x:v>40.8</x:v>
      </x:c>
      <x:c r="F215" s="901" t="n">
        <x:v>3247100</x:v>
      </x:c>
      <x:c r="G215" s="904" t="n">
        <x:v>1270.56</x:v>
      </x:c>
      <x:c r="H215" s="904" t="n">
        <x:v>1286.99</x:v>
      </x:c>
      <x:c r="I215" s="904" t="n">
        <x:v>1269.29</x:v>
      </x:c>
      <x:c r="J215" s="904" t="n">
        <x:v>1285.45</x:v>
      </x:c>
      <x:c r="K215" s="901" t="n">
        <x:v>545455800</x:v>
      </x:c>
      <x:c r="L215" s="907" t="str">
        <x:v>SRC-P404</x:v>
      </x:c>
      <x:c r="M215" s="907" t="str">
        <x:v>VNStock API actual</x:v>
      </x:c>
      <x:c r="N215" s="1032" t="n">
        <x:v>46229.241747685184</x:v>
      </x:c>
    </x:row>
    <x:row r="216">
      <x:c r="A216" s="895" t="n">
        <x:v>44711</x:v>
      </x:c>
      <x:c r="B216" s="898" t="n">
        <x:v>40.8</x:v>
      </x:c>
      <x:c r="C216" s="898" t="n">
        <x:v>42.21</x:v>
      </x:c>
      <x:c r="D216" s="898" t="n">
        <x:v>40.07</x:v>
      </x:c>
      <x:c r="E216" s="898" t="n">
        <x:v>41.76</x:v>
      </x:c>
      <x:c r="F216" s="901" t="n">
        <x:v>2402100</x:v>
      </x:c>
      <x:c r="G216" s="904" t="n">
        <x:v>1290.11</x:v>
      </x:c>
      <x:c r="H216" s="904" t="n">
        <x:v>1296.22</x:v>
      </x:c>
      <x:c r="I216" s="904" t="n">
        <x:v>1281.27</x:v>
      </x:c>
      <x:c r="J216" s="904" t="n">
        <x:v>1293.92</x:v>
      </x:c>
      <x:c r="K216" s="901" t="n">
        <x:v>469531300</x:v>
      </x:c>
      <x:c r="L216" s="907" t="str">
        <x:v>SRC-P404</x:v>
      </x:c>
      <x:c r="M216" s="907" t="str">
        <x:v>VNStock API actual</x:v>
      </x:c>
      <x:c r="N216" s="1032" t="n">
        <x:v>46229.241747685184</x:v>
      </x:c>
    </x:row>
    <x:row r="217">
      <x:c r="A217" s="895" t="n">
        <x:v>44712</x:v>
      </x:c>
      <x:c r="B217" s="898" t="n">
        <x:v>41.76</x:v>
      </x:c>
      <x:c r="C217" s="898" t="n">
        <x:v>43.09</x:v>
      </x:c>
      <x:c r="D217" s="898" t="n">
        <x:v>41.17</x:v>
      </x:c>
      <x:c r="E217" s="898" t="n">
        <x:v>41.17</x:v>
      </x:c>
      <x:c r="F217" s="901" t="n">
        <x:v>3087000</x:v>
      </x:c>
      <x:c r="G217" s="904" t="n">
        <x:v>1288.63</x:v>
      </x:c>
      <x:c r="H217" s="904" t="n">
        <x:v>1297.64</x:v>
      </x:c>
      <x:c r="I217" s="904" t="n">
        <x:v>1280.44</x:v>
      </x:c>
      <x:c r="J217" s="904" t="n">
        <x:v>1292.68</x:v>
      </x:c>
      <x:c r="K217" s="901" t="n">
        <x:v>514291400</x:v>
      </x:c>
      <x:c r="L217" s="907" t="str">
        <x:v>SRC-P404</x:v>
      </x:c>
      <x:c r="M217" s="907" t="str">
        <x:v>VNStock API actual</x:v>
      </x:c>
      <x:c r="N217" s="1032" t="n">
        <x:v>46229.241747685184</x:v>
      </x:c>
    </x:row>
    <x:row r="218">
      <x:c r="A218" s="895" t="n">
        <x:v>44713</x:v>
      </x:c>
      <x:c r="B218" s="898" t="n">
        <x:v>41.17</x:v>
      </x:c>
      <x:c r="C218" s="898" t="n">
        <x:v>43.17</x:v>
      </x:c>
      <x:c r="D218" s="898" t="n">
        <x:v>40.58</x:v>
      </x:c>
      <x:c r="E218" s="898" t="n">
        <x:v>43.17</x:v>
      </x:c>
      <x:c r="F218" s="901" t="n">
        <x:v>4321700</x:v>
      </x:c>
      <x:c r="G218" s="904" t="n">
        <x:v>1289.56</x:v>
      </x:c>
      <x:c r="H218" s="904" t="n">
        <x:v>1302.25</x:v>
      </x:c>
      <x:c r="I218" s="904" t="n">
        <x:v>1286.01</x:v>
      </x:c>
      <x:c r="J218" s="904" t="n">
        <x:v>1299.52</x:v>
      </x:c>
      <x:c r="K218" s="901" t="n">
        <x:v>471780800</x:v>
      </x:c>
      <x:c r="L218" s="907" t="str">
        <x:v>SRC-P404</x:v>
      </x:c>
      <x:c r="M218" s="907" t="str">
        <x:v>VNStock API actual</x:v>
      </x:c>
      <x:c r="N218" s="1032" t="n">
        <x:v>46229.241747685184</x:v>
      </x:c>
    </x:row>
    <x:row r="219">
      <x:c r="A219" s="895" t="n">
        <x:v>44714</x:v>
      </x:c>
      <x:c r="B219" s="898" t="n">
        <x:v>43.17</x:v>
      </x:c>
      <x:c r="C219" s="898" t="n">
        <x:v>44.13</x:v>
      </x:c>
      <x:c r="D219" s="898" t="n">
        <x:v>42.43</x:v>
      </x:c>
      <x:c r="E219" s="898" t="n">
        <x:v>42.43</x:v>
      </x:c>
      <x:c r="F219" s="901" t="n">
        <x:v>2953400</x:v>
      </x:c>
      <x:c r="G219" s="904" t="n">
        <x:v>1300.58</x:v>
      </x:c>
      <x:c r="H219" s="904" t="n">
        <x:v>1302.66</x:v>
      </x:c>
      <x:c r="I219" s="904" t="n">
        <x:v>1283.32</x:v>
      </x:c>
      <x:c r="J219" s="904" t="n">
        <x:v>1288.62</x:v>
      </x:c>
      <x:c r="K219" s="901" t="n">
        <x:v>493377500</x:v>
      </x:c>
      <x:c r="L219" s="907" t="str">
        <x:v>SRC-P404</x:v>
      </x:c>
      <x:c r="M219" s="907" t="str">
        <x:v>VNStock API actual</x:v>
      </x:c>
      <x:c r="N219" s="1032" t="n">
        <x:v>46229.241747685184</x:v>
      </x:c>
    </x:row>
    <x:row r="220">
      <x:c r="A220" s="895" t="n">
        <x:v>44715</x:v>
      </x:c>
      <x:c r="B220" s="898" t="n">
        <x:v>42.43</x:v>
      </x:c>
      <x:c r="C220" s="898" t="n">
        <x:v>43.76</x:v>
      </x:c>
      <x:c r="D220" s="898" t="n">
        <x:v>41.76</x:v>
      </x:c>
      <x:c r="E220" s="898" t="n">
        <x:v>43.17</x:v>
      </x:c>
      <x:c r="F220" s="901" t="n">
        <x:v>3116200</x:v>
      </x:c>
      <x:c r="G220" s="904" t="n">
        <x:v>1284.62</x:v>
      </x:c>
      <x:c r="H220" s="904" t="n">
        <x:v>1292.78</x:v>
      </x:c>
      <x:c r="I220" s="904" t="n">
        <x:v>1276.37</x:v>
      </x:c>
      <x:c r="J220" s="904" t="n">
        <x:v>1287.98</x:v>
      </x:c>
      <x:c r="K220" s="901" t="n">
        <x:v>406823300</x:v>
      </x:c>
      <x:c r="L220" s="907" t="str">
        <x:v>SRC-P404</x:v>
      </x:c>
      <x:c r="M220" s="907" t="str">
        <x:v>VNStock API actual</x:v>
      </x:c>
      <x:c r="N220" s="1032" t="n">
        <x:v>46229.241747685184</x:v>
      </x:c>
    </x:row>
    <x:row r="221">
      <x:c r="A221" s="895" t="n">
        <x:v>44718</x:v>
      </x:c>
      <x:c r="B221" s="898" t="n">
        <x:v>43.39</x:v>
      </x:c>
      <x:c r="C221" s="898" t="n">
        <x:v>45.6</x:v>
      </x:c>
      <x:c r="D221" s="898" t="n">
        <x:v>43.17</x:v>
      </x:c>
      <x:c r="E221" s="898" t="n">
        <x:v>44.13</x:v>
      </x:c>
      <x:c r="F221" s="901" t="n">
        <x:v>7791200</x:v>
      </x:c>
      <x:c r="G221" s="904" t="n">
        <x:v>1290.04</x:v>
      </x:c>
      <x:c r="H221" s="904" t="n">
        <x:v>1302.14</x:v>
      </x:c>
      <x:c r="I221" s="904" t="n">
        <x:v>1281.95</x:v>
      </x:c>
      <x:c r="J221" s="904" t="n">
        <x:v>1290.01</x:v>
      </x:c>
      <x:c r="K221" s="901" t="n">
        <x:v>515257600</x:v>
      </x:c>
      <x:c r="L221" s="907" t="str">
        <x:v>SRC-P404</x:v>
      </x:c>
      <x:c r="M221" s="907" t="str">
        <x:v>VNStock API actual</x:v>
      </x:c>
      <x:c r="N221" s="1032" t="n">
        <x:v>46229.241747685184</x:v>
      </x:c>
    </x:row>
    <x:row r="222">
      <x:c r="A222" s="895" t="n">
        <x:v>44719</x:v>
      </x:c>
      <x:c r="B222" s="898" t="n">
        <x:v>44.13</x:v>
      </x:c>
      <x:c r="C222" s="898" t="n">
        <x:v>45.38</x:v>
      </x:c>
      <x:c r="D222" s="898" t="n">
        <x:v>42.8</x:v>
      </x:c>
      <x:c r="E222" s="898" t="n">
        <x:v>45.31</x:v>
      </x:c>
      <x:c r="F222" s="901" t="n">
        <x:v>4032200</x:v>
      </x:c>
      <x:c r="G222" s="904" t="n">
        <x:v>1285.07</x:v>
      </x:c>
      <x:c r="H222" s="904" t="n">
        <x:v>1291.35</x:v>
      </x:c>
      <x:c r="I222" s="904" t="n">
        <x:v>1260.92</x:v>
      </x:c>
      <x:c r="J222" s="904" t="n">
        <x:v>1291.35</x:v>
      </x:c>
      <x:c r="K222" s="901" t="n">
        <x:v>592865300</x:v>
      </x:c>
      <x:c r="L222" s="907" t="str">
        <x:v>SRC-P404</x:v>
      </x:c>
      <x:c r="M222" s="907" t="str">
        <x:v>VNStock API actual</x:v>
      </x:c>
      <x:c r="N222" s="1032" t="n">
        <x:v>46229.241747685184</x:v>
      </x:c>
    </x:row>
    <x:row r="223">
      <x:c r="A223" s="895" t="n">
        <x:v>44720</x:v>
      </x:c>
      <x:c r="B223" s="898" t="n">
        <x:v>45.75</x:v>
      </x:c>
      <x:c r="C223" s="898" t="n">
        <x:v>45.9</x:v>
      </x:c>
      <x:c r="D223" s="898" t="n">
        <x:v>44.27</x:v>
      </x:c>
      <x:c r="E223" s="898" t="n">
        <x:v>44.35</x:v>
      </x:c>
      <x:c r="F223" s="901" t="n">
        <x:v>2869800</x:v>
      </x:c>
      <x:c r="G223" s="904" t="n">
        <x:v>1297.56</x:v>
      </x:c>
      <x:c r="H223" s="904" t="n">
        <x:v>1316.78</x:v>
      </x:c>
      <x:c r="I223" s="904" t="n">
        <x:v>1294.27</x:v>
      </x:c>
      <x:c r="J223" s="904" t="n">
        <x:v>1307.91</x:v>
      </x:c>
      <x:c r="K223" s="901" t="n">
        <x:v>512060100</x:v>
      </x:c>
      <x:c r="L223" s="907" t="str">
        <x:v>SRC-P404</x:v>
      </x:c>
      <x:c r="M223" s="907" t="str">
        <x:v>VNStock API actual</x:v>
      </x:c>
      <x:c r="N223" s="1032" t="n">
        <x:v>46229.241747685184</x:v>
      </x:c>
    </x:row>
    <x:row r="224">
      <x:c r="A224" s="895" t="n">
        <x:v>44721</x:v>
      </x:c>
      <x:c r="B224" s="898" t="n">
        <x:v>44.42</x:v>
      </x:c>
      <x:c r="C224" s="898" t="n">
        <x:v>44.42</x:v>
      </x:c>
      <x:c r="D224" s="898" t="n">
        <x:v>43.17</x:v>
      </x:c>
      <x:c r="E224" s="898" t="n">
        <x:v>43.53</x:v>
      </x:c>
      <x:c r="F224" s="901" t="n">
        <x:v>3673900</x:v>
      </x:c>
      <x:c r="G224" s="904" t="n">
        <x:v>1310.35</x:v>
      </x:c>
      <x:c r="H224" s="904" t="n">
        <x:v>1312.44</x:v>
      </x:c>
      <x:c r="I224" s="904" t="n">
        <x:v>1300.85</x:v>
      </x:c>
      <x:c r="J224" s="904" t="n">
        <x:v>1307.8</x:v>
      </x:c>
      <x:c r="K224" s="901" t="n">
        <x:v>408896500</x:v>
      </x:c>
      <x:c r="L224" s="907" t="str">
        <x:v>SRC-P404</x:v>
      </x:c>
      <x:c r="M224" s="907" t="str">
        <x:v>VNStock API actual</x:v>
      </x:c>
      <x:c r="N224" s="1032" t="n">
        <x:v>46229.241747685184</x:v>
      </x:c>
    </x:row>
    <x:row r="225">
      <x:c r="A225" s="895" t="n">
        <x:v>44722</x:v>
      </x:c>
      <x:c r="B225" s="898" t="n">
        <x:v>42.8</x:v>
      </x:c>
      <x:c r="C225" s="898" t="n">
        <x:v>44.13</x:v>
      </x:c>
      <x:c r="D225" s="898" t="n">
        <x:v>40.58</x:v>
      </x:c>
      <x:c r="E225" s="898" t="n">
        <x:v>40.58</x:v>
      </x:c>
      <x:c r="F225" s="901" t="n">
        <x:v>4882400</x:v>
      </x:c>
      <x:c r="G225" s="904" t="n">
        <x:v>1298.78</x:v>
      </x:c>
      <x:c r="H225" s="904" t="n">
        <x:v>1309.59</x:v>
      </x:c>
      <x:c r="I225" s="904" t="n">
        <x:v>1284.08</x:v>
      </x:c>
      <x:c r="J225" s="904" t="n">
        <x:v>1284.08</x:v>
      </x:c>
      <x:c r="K225" s="901" t="n">
        <x:v>535867000</x:v>
      </x:c>
      <x:c r="L225" s="907" t="str">
        <x:v>SRC-P404</x:v>
      </x:c>
      <x:c r="M225" s="907" t="str">
        <x:v>VNStock API actual</x:v>
      </x:c>
      <x:c r="N225" s="1032" t="n">
        <x:v>46229.241747685184</x:v>
      </x:c>
    </x:row>
    <x:row r="226">
      <x:c r="A226" s="895" t="n">
        <x:v>44725</x:v>
      </x:c>
      <x:c r="B226" s="898" t="n">
        <x:v>39.77</x:v>
      </x:c>
      <x:c r="C226" s="898" t="n">
        <x:v>40.44</x:v>
      </x:c>
      <x:c r="D226" s="898" t="n">
        <x:v>38</x:v>
      </x:c>
      <x:c r="E226" s="898" t="n">
        <x:v>38</x:v>
      </x:c>
      <x:c r="F226" s="901" t="n">
        <x:v>5711500</x:v>
      </x:c>
      <x:c r="G226" s="904" t="n">
        <x:v>1251.08</x:v>
      </x:c>
      <x:c r="H226" s="904" t="n">
        <x:v>1261.54</x:v>
      </x:c>
      <x:c r="I226" s="904" t="n">
        <x:v>1226.01</x:v>
      </x:c>
      <x:c r="J226" s="904" t="n">
        <x:v>1227.04</x:v>
      </x:c>
      <x:c r="K226" s="901" t="n">
        <x:v>667133200</x:v>
      </x:c>
      <x:c r="L226" s="907" t="str">
        <x:v>SRC-P404</x:v>
      </x:c>
      <x:c r="M226" s="907" t="str">
        <x:v>VNStock API actual</x:v>
      </x:c>
      <x:c r="N226" s="1032" t="n">
        <x:v>46229.241747685184</x:v>
      </x:c>
    </x:row>
    <x:row r="227">
      <x:c r="A227" s="895" t="n">
        <x:v>44726</x:v>
      </x:c>
      <x:c r="B227" s="898" t="n">
        <x:v>37.63</x:v>
      </x:c>
      <x:c r="C227" s="898" t="n">
        <x:v>39.7</x:v>
      </x:c>
      <x:c r="D227" s="898" t="n">
        <x:v>37.41</x:v>
      </x:c>
      <x:c r="E227" s="898" t="n">
        <x:v>39.18</x:v>
      </x:c>
      <x:c r="F227" s="901" t="n">
        <x:v>2865700</x:v>
      </x:c>
      <x:c r="G227" s="904" t="n">
        <x:v>1213.44</x:v>
      </x:c>
      <x:c r="H227" s="904" t="n">
        <x:v>1239.36</x:v>
      </x:c>
      <x:c r="I227" s="904" t="n">
        <x:v>1211.13</x:v>
      </x:c>
      <x:c r="J227" s="904" t="n">
        <x:v>1230.31</x:v>
      </x:c>
      <x:c r="K227" s="901" t="n">
        <x:v>492264800</x:v>
      </x:c>
      <x:c r="L227" s="907" t="str">
        <x:v>SRC-P404</x:v>
      </x:c>
      <x:c r="M227" s="907" t="str">
        <x:v>VNStock API actual</x:v>
      </x:c>
      <x:c r="N227" s="1032" t="n">
        <x:v>46229.241747685184</x:v>
      </x:c>
    </x:row>
    <x:row r="228">
      <x:c r="A228" s="895" t="n">
        <x:v>44727</x:v>
      </x:c>
      <x:c r="B228" s="898" t="n">
        <x:v>39.48</x:v>
      </x:c>
      <x:c r="C228" s="898" t="n">
        <x:v>39.7</x:v>
      </x:c>
      <x:c r="D228" s="898" t="n">
        <x:v>37.93</x:v>
      </x:c>
      <x:c r="E228" s="898" t="n">
        <x:v>38.74</x:v>
      </x:c>
      <x:c r="F228" s="901" t="n">
        <x:v>2116400</x:v>
      </x:c>
      <x:c r="G228" s="904" t="n">
        <x:v>1231.23</x:v>
      </x:c>
      <x:c r="H228" s="904" t="n">
        <x:v>1235.56</x:v>
      </x:c>
      <x:c r="I228" s="904" t="n">
        <x:v>1195.19</x:v>
      </x:c>
      <x:c r="J228" s="904" t="n">
        <x:v>1213.93</x:v>
      </x:c>
      <x:c r="K228" s="901" t="n">
        <x:v>597693500</x:v>
      </x:c>
      <x:c r="L228" s="907" t="str">
        <x:v>SRC-P404</x:v>
      </x:c>
      <x:c r="M228" s="907" t="str">
        <x:v>VNStock API actual</x:v>
      </x:c>
      <x:c r="N228" s="1032" t="n">
        <x:v>46229.241747685184</x:v>
      </x:c>
    </x:row>
    <x:row r="229">
      <x:c r="A229" s="895" t="n">
        <x:v>44728</x:v>
      </x:c>
      <x:c r="B229" s="898" t="n">
        <x:v>39.7</x:v>
      </x:c>
      <x:c r="C229" s="898" t="n">
        <x:v>40.73</x:v>
      </x:c>
      <x:c r="D229" s="898" t="n">
        <x:v>39.48</x:v>
      </x:c>
      <x:c r="E229" s="898" t="n">
        <x:v>40.14</x:v>
      </x:c>
      <x:c r="F229" s="901" t="n">
        <x:v>2479800</x:v>
      </x:c>
      <x:c r="G229" s="904" t="n">
        <x:v>1227.24</x:v>
      </x:c>
      <x:c r="H229" s="904" t="n">
        <x:v>1246.32</x:v>
      </x:c>
      <x:c r="I229" s="904" t="n">
        <x:v>1223</x:v>
      </x:c>
      <x:c r="J229" s="904" t="n">
        <x:v>1236.63</x:v>
      </x:c>
      <x:c r="K229" s="901" t="n">
        <x:v>493452200</x:v>
      </x:c>
      <x:c r="L229" s="907" t="str">
        <x:v>SRC-P404</x:v>
      </x:c>
      <x:c r="M229" s="907" t="str">
        <x:v>VNStock API actual</x:v>
      </x:c>
      <x:c r="N229" s="1032" t="n">
        <x:v>46229.241747685184</x:v>
      </x:c>
    </x:row>
    <x:row r="230">
      <x:c r="A230" s="895" t="n">
        <x:v>44729</x:v>
      </x:c>
      <x:c r="B230" s="898" t="n">
        <x:v>39.11</x:v>
      </x:c>
      <x:c r="C230" s="898" t="n">
        <x:v>41.17</x:v>
      </x:c>
      <x:c r="D230" s="898" t="n">
        <x:v>38.89</x:v>
      </x:c>
      <x:c r="E230" s="898" t="n">
        <x:v>40.95</x:v>
      </x:c>
      <x:c r="F230" s="901" t="n">
        <x:v>3565000</x:v>
      </x:c>
      <x:c r="G230" s="904" t="n">
        <x:v>1210.5</x:v>
      </x:c>
      <x:c r="H230" s="904" t="n">
        <x:v>1220.41</x:v>
      </x:c>
      <x:c r="I230" s="904" t="n">
        <x:v>1191.92</x:v>
      </x:c>
      <x:c r="J230" s="904" t="n">
        <x:v>1217.3</x:v>
      </x:c>
      <x:c r="K230" s="901" t="n">
        <x:v>647122700</x:v>
      </x:c>
      <x:c r="L230" s="907" t="str">
        <x:v>SRC-P404</x:v>
      </x:c>
      <x:c r="M230" s="907" t="str">
        <x:v>VNStock API actual</x:v>
      </x:c>
      <x:c r="N230" s="1032" t="n">
        <x:v>46229.241747685184</x:v>
      </x:c>
    </x:row>
    <x:row r="231">
      <x:c r="A231" s="895" t="n">
        <x:v>44732</x:v>
      </x:c>
      <x:c r="B231" s="898" t="n">
        <x:v>41.25</x:v>
      </x:c>
      <x:c r="C231" s="898" t="n">
        <x:v>41.62</x:v>
      </x:c>
      <x:c r="D231" s="898" t="n">
        <x:v>39.85</x:v>
      </x:c>
      <x:c r="E231" s="898" t="n">
        <x:v>39.92</x:v>
      </x:c>
      <x:c r="F231" s="901" t="n">
        <x:v>2907800</x:v>
      </x:c>
      <x:c r="G231" s="904" t="n">
        <x:v>1218.37</x:v>
      </x:c>
      <x:c r="H231" s="904" t="n">
        <x:v>1221.6</x:v>
      </x:c>
      <x:c r="I231" s="904" t="n">
        <x:v>1180.4</x:v>
      </x:c>
      <x:c r="J231" s="904" t="n">
        <x:v>1180.4</x:v>
      </x:c>
      <x:c r="K231" s="901" t="n">
        <x:v>579954500</x:v>
      </x:c>
      <x:c r="L231" s="907" t="str">
        <x:v>SRC-P404</x:v>
      </x:c>
      <x:c r="M231" s="907" t="str">
        <x:v>VNStock API actual</x:v>
      </x:c>
      <x:c r="N231" s="1032" t="n">
        <x:v>46229.241747685184</x:v>
      </x:c>
    </x:row>
    <x:row r="232">
      <x:c r="A232" s="895" t="n">
        <x:v>44733</x:v>
      </x:c>
      <x:c r="B232" s="898" t="n">
        <x:v>39.62</x:v>
      </x:c>
      <x:c r="C232" s="898" t="n">
        <x:v>40.14</x:v>
      </x:c>
      <x:c r="D232" s="898" t="n">
        <x:v>37.19</x:v>
      </x:c>
      <x:c r="E232" s="898" t="n">
        <x:v>37.41</x:v>
      </x:c>
      <x:c r="F232" s="901" t="n">
        <x:v>4110400</x:v>
      </x:c>
      <x:c r="G232" s="904" t="n">
        <x:v>1172.98</x:v>
      </x:c>
      <x:c r="H232" s="904" t="n">
        <x:v>1189.97</x:v>
      </x:c>
      <x:c r="I232" s="904" t="n">
        <x:v>1162.94</x:v>
      </x:c>
      <x:c r="J232" s="904" t="n">
        <x:v>1172.47</x:v>
      </x:c>
      <x:c r="K232" s="901" t="n">
        <x:v>574256800</x:v>
      </x:c>
      <x:c r="L232" s="907" t="str">
        <x:v>SRC-P404</x:v>
      </x:c>
      <x:c r="M232" s="907" t="str">
        <x:v>VNStock API actual</x:v>
      </x:c>
      <x:c r="N232" s="1032" t="n">
        <x:v>46229.241747685184</x:v>
      </x:c>
    </x:row>
    <x:row r="233">
      <x:c r="A233" s="895" t="n">
        <x:v>44734</x:v>
      </x:c>
      <x:c r="B233" s="898" t="n">
        <x:v>38.22</x:v>
      </x:c>
      <x:c r="C233" s="898" t="n">
        <x:v>38.22</x:v>
      </x:c>
      <x:c r="D233" s="898" t="n">
        <x:v>36.52</x:v>
      </x:c>
      <x:c r="E233" s="898" t="n">
        <x:v>36.6</x:v>
      </x:c>
      <x:c r="F233" s="901" t="n">
        <x:v>2980000</x:v>
      </x:c>
      <x:c r="G233" s="904" t="n">
        <x:v>1180.11</x:v>
      </x:c>
      <x:c r="H233" s="904" t="n">
        <x:v>1185.86</x:v>
      </x:c>
      <x:c r="I233" s="904" t="n">
        <x:v>1162.98</x:v>
      </x:c>
      <x:c r="J233" s="904" t="n">
        <x:v>1169.27</x:v>
      </x:c>
      <x:c r="K233" s="901" t="n">
        <x:v>491739500</x:v>
      </x:c>
      <x:c r="L233" s="907" t="str">
        <x:v>SRC-P404</x:v>
      </x:c>
      <x:c r="M233" s="907" t="str">
        <x:v>VNStock API actual</x:v>
      </x:c>
      <x:c r="N233" s="1032" t="n">
        <x:v>46229.241747685184</x:v>
      </x:c>
    </x:row>
    <x:row r="234">
      <x:c r="A234" s="895" t="n">
        <x:v>44735</x:v>
      </x:c>
      <x:c r="B234" s="898" t="n">
        <x:v>36.23</x:v>
      </x:c>
      <x:c r="C234" s="898" t="n">
        <x:v>39.11</x:v>
      </x:c>
      <x:c r="D234" s="898" t="n">
        <x:v>36.19</x:v>
      </x:c>
      <x:c r="E234" s="898" t="n">
        <x:v>39.11</x:v>
      </x:c>
      <x:c r="F234" s="901" t="n">
        <x:v>1587700</x:v>
      </x:c>
      <x:c r="G234" s="904" t="n">
        <x:v>1162.06</x:v>
      </x:c>
      <x:c r="H234" s="904" t="n">
        <x:v>1188.88</x:v>
      </x:c>
      <x:c r="I234" s="904" t="n">
        <x:v>1162.06</x:v>
      </x:c>
      <x:c r="J234" s="904" t="n">
        <x:v>1188.88</x:v>
      </x:c>
      <x:c r="K234" s="901" t="n">
        <x:v>348627000</x:v>
      </x:c>
      <x:c r="L234" s="907" t="str">
        <x:v>SRC-P404</x:v>
      </x:c>
      <x:c r="M234" s="907" t="str">
        <x:v>VNStock API actual</x:v>
      </x:c>
      <x:c r="N234" s="1032" t="n">
        <x:v>46229.241747685184</x:v>
      </x:c>
    </x:row>
    <x:row r="235">
      <x:c r="A235" s="895" t="n">
        <x:v>44736</x:v>
      </x:c>
      <x:c r="B235" s="898" t="n">
        <x:v>39.18</x:v>
      </x:c>
      <x:c r="C235" s="898" t="n">
        <x:v>39.7</x:v>
      </x:c>
      <x:c r="D235" s="898" t="n">
        <x:v>38.37</x:v>
      </x:c>
      <x:c r="E235" s="898" t="n">
        <x:v>38.37</x:v>
      </x:c>
      <x:c r="F235" s="901" t="n">
        <x:v>1777300</x:v>
      </x:c>
      <x:c r="G235" s="904" t="n">
        <x:v>1190.82</x:v>
      </x:c>
      <x:c r="H235" s="904" t="n">
        <x:v>1196.85</x:v>
      </x:c>
      <x:c r="I235" s="904" t="n">
        <x:v>1185.48</x:v>
      </x:c>
      <x:c r="J235" s="904" t="n">
        <x:v>1185.48</x:v>
      </x:c>
      <x:c r="K235" s="901" t="n">
        <x:v>365631700</x:v>
      </x:c>
      <x:c r="L235" s="907" t="str">
        <x:v>SRC-P404</x:v>
      </x:c>
      <x:c r="M235" s="907" t="str">
        <x:v>VNStock API actual</x:v>
      </x:c>
      <x:c r="N235" s="1032" t="n">
        <x:v>46229.241747685184</x:v>
      </x:c>
    </x:row>
    <x:row r="236">
      <x:c r="A236" s="895" t="n">
        <x:v>44739</x:v>
      </x:c>
      <x:c r="B236" s="898" t="n">
        <x:v>38.74</x:v>
      </x:c>
      <x:c r="C236" s="898" t="n">
        <x:v>39.26</x:v>
      </x:c>
      <x:c r="D236" s="898" t="n">
        <x:v>38.37</x:v>
      </x:c>
      <x:c r="E236" s="898" t="n">
        <x:v>38.74</x:v>
      </x:c>
      <x:c r="F236" s="901" t="n">
        <x:v>1097200</x:v>
      </x:c>
      <x:c r="G236" s="904" t="n">
        <x:v>1189.12</x:v>
      </x:c>
      <x:c r="H236" s="904" t="n">
        <x:v>1203.51</x:v>
      </x:c>
      <x:c r="I236" s="904" t="n">
        <x:v>1187.38</x:v>
      </x:c>
      <x:c r="J236" s="904" t="n">
        <x:v>1202.82</x:v>
      </x:c>
      <x:c r="K236" s="901" t="n">
        <x:v>399448200</x:v>
      </x:c>
      <x:c r="L236" s="907" t="str">
        <x:v>SRC-P404</x:v>
      </x:c>
      <x:c r="M236" s="907" t="str">
        <x:v>VNStock API actual</x:v>
      </x:c>
      <x:c r="N236" s="1032" t="n">
        <x:v>46229.241747685184</x:v>
      </x:c>
    </x:row>
    <x:row r="237">
      <x:c r="A237" s="895" t="n">
        <x:v>44740</x:v>
      </x:c>
      <x:c r="B237" s="898" t="n">
        <x:v>38.81</x:v>
      </x:c>
      <x:c r="C237" s="898" t="n">
        <x:v>39.11</x:v>
      </x:c>
      <x:c r="D237" s="898" t="n">
        <x:v>37.26</x:v>
      </x:c>
      <x:c r="E237" s="898" t="n">
        <x:v>39.03</x:v>
      </x:c>
      <x:c r="F237" s="901" t="n">
        <x:v>2772000</x:v>
      </x:c>
      <x:c r="G237" s="904" t="n">
        <x:v>1202.41</x:v>
      </x:c>
      <x:c r="H237" s="904" t="n">
        <x:v>1221.74</x:v>
      </x:c>
      <x:c r="I237" s="904" t="n">
        <x:v>1198.99</x:v>
      </x:c>
      <x:c r="J237" s="904" t="n">
        <x:v>1218.1</x:v>
      </x:c>
      <x:c r="K237" s="901" t="n">
        <x:v>496605600</x:v>
      </x:c>
      <x:c r="L237" s="907" t="str">
        <x:v>SRC-P404</x:v>
      </x:c>
      <x:c r="M237" s="907" t="str">
        <x:v>VNStock API actual</x:v>
      </x:c>
      <x:c r="N237" s="1032" t="n">
        <x:v>46229.241747685184</x:v>
      </x:c>
    </x:row>
    <x:row r="238">
      <x:c r="A238" s="895" t="n">
        <x:v>44741</x:v>
      </x:c>
      <x:c r="B238" s="898" t="n">
        <x:v>38.89</x:v>
      </x:c>
      <x:c r="C238" s="898" t="n">
        <x:v>41.32</x:v>
      </x:c>
      <x:c r="D238" s="898" t="n">
        <x:v>38.07</x:v>
      </x:c>
      <x:c r="E238" s="898" t="n">
        <x:v>40.21</x:v>
      </x:c>
      <x:c r="F238" s="901" t="n">
        <x:v>2413500</x:v>
      </x:c>
      <x:c r="G238" s="904" t="n">
        <x:v>1208.22</x:v>
      </x:c>
      <x:c r="H238" s="904" t="n">
        <x:v>1219.58</x:v>
      </x:c>
      <x:c r="I238" s="904" t="n">
        <x:v>1207.38</x:v>
      </x:c>
      <x:c r="J238" s="904" t="n">
        <x:v>1218.09</x:v>
      </x:c>
      <x:c r="K238" s="901" t="n">
        <x:v>487488100</x:v>
      </x:c>
      <x:c r="L238" s="907" t="str">
        <x:v>SRC-P404</x:v>
      </x:c>
      <x:c r="M238" s="907" t="str">
        <x:v>VNStock API actual</x:v>
      </x:c>
      <x:c r="N238" s="1032" t="n">
        <x:v>46229.241747685184</x:v>
      </x:c>
    </x:row>
    <x:row r="239">
      <x:c r="A239" s="895" t="n">
        <x:v>44742</x:v>
      </x:c>
      <x:c r="B239" s="898" t="n">
        <x:v>40.44</x:v>
      </x:c>
      <x:c r="C239" s="898" t="n">
        <x:v>40.73</x:v>
      </x:c>
      <x:c r="D239" s="898" t="n">
        <x:v>38.37</x:v>
      </x:c>
      <x:c r="E239" s="898" t="n">
        <x:v>38.37</x:v>
      </x:c>
      <x:c r="F239" s="901" t="n">
        <x:v>1914300</x:v>
      </x:c>
      <x:c r="G239" s="904" t="n">
        <x:v>1218.22</x:v>
      </x:c>
      <x:c r="H239" s="904" t="n">
        <x:v>1220.51</x:v>
      </x:c>
      <x:c r="I239" s="904" t="n">
        <x:v>1197.6</x:v>
      </x:c>
      <x:c r="J239" s="904" t="n">
        <x:v>1197.6</x:v>
      </x:c>
      <x:c r="K239" s="901" t="n">
        <x:v>445081100</x:v>
      </x:c>
      <x:c r="L239" s="907" t="str">
        <x:v>SRC-P404</x:v>
      </x:c>
      <x:c r="M239" s="907" t="str">
        <x:v>VNStock API actual</x:v>
      </x:c>
      <x:c r="N239" s="1032" t="n">
        <x:v>46229.241747685184</x:v>
      </x:c>
    </x:row>
    <x:row r="240">
      <x:c r="A240" s="895" t="n">
        <x:v>44743</x:v>
      </x:c>
      <x:c r="B240" s="898" t="n">
        <x:v>38.3</x:v>
      </x:c>
      <x:c r="C240" s="898" t="n">
        <x:v>38.74</x:v>
      </x:c>
      <x:c r="D240" s="898" t="n">
        <x:v>37.34</x:v>
      </x:c>
      <x:c r="E240" s="898" t="n">
        <x:v>37.93</x:v>
      </x:c>
      <x:c r="F240" s="901" t="n">
        <x:v>1650000</x:v>
      </x:c>
      <x:c r="G240" s="904" t="n">
        <x:v>1193.04</x:v>
      </x:c>
      <x:c r="H240" s="904" t="n">
        <x:v>1202.41</x:v>
      </x:c>
      <x:c r="I240" s="904" t="n">
        <x:v>1170.95</x:v>
      </x:c>
      <x:c r="J240" s="904" t="n">
        <x:v>1198.9</x:v>
      </x:c>
      <x:c r="K240" s="901" t="n">
        <x:v>466693700</x:v>
      </x:c>
      <x:c r="L240" s="907" t="str">
        <x:v>SRC-P404</x:v>
      </x:c>
      <x:c r="M240" s="907" t="str">
        <x:v>VNStock API actual</x:v>
      </x:c>
      <x:c r="N240" s="1032" t="n">
        <x:v>46229.241747685184</x:v>
      </x:c>
    </x:row>
    <x:row r="241">
      <x:c r="A241" s="895" t="n">
        <x:v>44746</x:v>
      </x:c>
      <x:c r="B241" s="898" t="n">
        <x:v>38.07</x:v>
      </x:c>
      <x:c r="C241" s="898" t="n">
        <x:v>38.52</x:v>
      </x:c>
      <x:c r="D241" s="898" t="n">
        <x:v>36.89</x:v>
      </x:c>
      <x:c r="E241" s="898" t="n">
        <x:v>37.48</x:v>
      </x:c>
      <x:c r="F241" s="901" t="n">
        <x:v>1684000</x:v>
      </x:c>
      <x:c r="G241" s="904" t="n">
        <x:v>1206.47</x:v>
      </x:c>
      <x:c r="H241" s="904" t="n">
        <x:v>1208.96</x:v>
      </x:c>
      <x:c r="I241" s="904" t="n">
        <x:v>1192.63</x:v>
      </x:c>
      <x:c r="J241" s="904" t="n">
        <x:v>1195.53</x:v>
      </x:c>
      <x:c r="K241" s="901" t="n">
        <x:v>379316900</x:v>
      </x:c>
      <x:c r="L241" s="907" t="str">
        <x:v>SRC-P404</x:v>
      </x:c>
      <x:c r="M241" s="907" t="str">
        <x:v>VNStock API actual</x:v>
      </x:c>
      <x:c r="N241" s="1032" t="n">
        <x:v>46229.241747685184</x:v>
      </x:c>
    </x:row>
    <x:row r="242">
      <x:c r="A242" s="895" t="n">
        <x:v>44747</x:v>
      </x:c>
      <x:c r="B242" s="898" t="n">
        <x:v>37.48</x:v>
      </x:c>
      <x:c r="C242" s="898" t="n">
        <x:v>38</x:v>
      </x:c>
      <x:c r="D242" s="898" t="n">
        <x:v>36.16</x:v>
      </x:c>
      <x:c r="E242" s="898" t="n">
        <x:v>36.27</x:v>
      </x:c>
      <x:c r="F242" s="901" t="n">
        <x:v>2049400</x:v>
      </x:c>
      <x:c r="G242" s="904" t="n">
        <x:v>1198.42</x:v>
      </x:c>
      <x:c r="H242" s="904" t="n">
        <x:v>1200.99</x:v>
      </x:c>
      <x:c r="I242" s="904" t="n">
        <x:v>1181.29</x:v>
      </x:c>
      <x:c r="J242" s="904" t="n">
        <x:v>1181.29</x:v>
      </x:c>
      <x:c r="K242" s="901" t="n">
        <x:v>527858300</x:v>
      </x:c>
      <x:c r="L242" s="907" t="str">
        <x:v>SRC-P404</x:v>
      </x:c>
      <x:c r="M242" s="907" t="str">
        <x:v>VNStock API actual</x:v>
      </x:c>
      <x:c r="N242" s="1032" t="n">
        <x:v>46229.241747685184</x:v>
      </x:c>
    </x:row>
    <x:row r="243">
      <x:c r="A243" s="895" t="n">
        <x:v>44748</x:v>
      </x:c>
      <x:c r="B243" s="898" t="n">
        <x:v>36.01</x:v>
      </x:c>
      <x:c r="C243" s="898" t="n">
        <x:v>36.23</x:v>
      </x:c>
      <x:c r="D243" s="898" t="n">
        <x:v>33.94</x:v>
      </x:c>
      <x:c r="E243" s="898" t="n">
        <x:v>33.98</x:v>
      </x:c>
      <x:c r="F243" s="901" t="n">
        <x:v>2427700</x:v>
      </x:c>
      <x:c r="G243" s="904" t="n">
        <x:v>1167.25</x:v>
      </x:c>
      <x:c r="H243" s="904" t="n">
        <x:v>1175.26</x:v>
      </x:c>
      <x:c r="I243" s="904" t="n">
        <x:v>1147.63</x:v>
      </x:c>
      <x:c r="J243" s="904" t="n">
        <x:v>1149.61</x:v>
      </x:c>
      <x:c r="K243" s="901" t="n">
        <x:v>481767700</x:v>
      </x:c>
      <x:c r="L243" s="907" t="str">
        <x:v>SRC-P404</x:v>
      </x:c>
      <x:c r="M243" s="907" t="str">
        <x:v>VNStock API actual</x:v>
      </x:c>
      <x:c r="N243" s="1032" t="n">
        <x:v>46229.241747685184</x:v>
      </x:c>
    </x:row>
    <x:row r="244">
      <x:c r="A244" s="895" t="n">
        <x:v>44749</x:v>
      </x:c>
      <x:c r="B244" s="898" t="n">
        <x:v>34.09</x:v>
      </x:c>
      <x:c r="C244" s="898" t="n">
        <x:v>35.34</x:v>
      </x:c>
      <x:c r="D244" s="898" t="n">
        <x:v>33.94</x:v>
      </x:c>
      <x:c r="E244" s="898" t="n">
        <x:v>34.83</x:v>
      </x:c>
      <x:c r="F244" s="901" t="n">
        <x:v>1244200</x:v>
      </x:c>
      <x:c r="G244" s="904" t="n">
        <x:v>1148.97</x:v>
      </x:c>
      <x:c r="H244" s="904" t="n">
        <x:v>1166.48</x:v>
      </x:c>
      <x:c r="I244" s="904" t="n">
        <x:v>1142.8</x:v>
      </x:c>
      <x:c r="J244" s="904" t="n">
        <x:v>1166.48</x:v>
      </x:c>
      <x:c r="K244" s="901" t="n">
        <x:v>336105000</x:v>
      </x:c>
      <x:c r="L244" s="907" t="str">
        <x:v>SRC-P404</x:v>
      </x:c>
      <x:c r="M244" s="907" t="str">
        <x:v>VNStock API actual</x:v>
      </x:c>
      <x:c r="N244" s="1032" t="n">
        <x:v>46229.241747685184</x:v>
      </x:c>
    </x:row>
    <x:row r="245">
      <x:c r="A245" s="895" t="n">
        <x:v>44750</x:v>
      </x:c>
      <x:c r="B245" s="898" t="n">
        <x:v>35.09</x:v>
      </x:c>
      <x:c r="C245" s="898" t="n">
        <x:v>35.75</x:v>
      </x:c>
      <x:c r="D245" s="898" t="n">
        <x:v>34.68</x:v>
      </x:c>
      <x:c r="E245" s="898" t="n">
        <x:v>35.2</x:v>
      </x:c>
      <x:c r="F245" s="901" t="n">
        <x:v>1170300</x:v>
      </x:c>
      <x:c r="G245" s="904" t="n">
        <x:v>1174.53</x:v>
      </x:c>
      <x:c r="H245" s="904" t="n">
        <x:v>1177.18</x:v>
      </x:c>
      <x:c r="I245" s="904" t="n">
        <x:v>1164.23</x:v>
      </x:c>
      <x:c r="J245" s="904" t="n">
        <x:v>1171.31</x:v>
      </x:c>
      <x:c r="K245" s="901" t="n">
        <x:v>408239000</x:v>
      </x:c>
      <x:c r="L245" s="907" t="str">
        <x:v>SRC-P404</x:v>
      </x:c>
      <x:c r="M245" s="907" t="str">
        <x:v>VNStock API actual</x:v>
      </x:c>
      <x:c r="N245" s="1032" t="n">
        <x:v>46229.241747685184</x:v>
      </x:c>
    </x:row>
    <x:row r="246">
      <x:c r="A246" s="895" t="n">
        <x:v>44753</x:v>
      </x:c>
      <x:c r="B246" s="898" t="n">
        <x:v>35.27</x:v>
      </x:c>
      <x:c r="C246" s="898" t="n">
        <x:v>35.64</x:v>
      </x:c>
      <x:c r="D246" s="898" t="n">
        <x:v>34.83</x:v>
      </x:c>
      <x:c r="E246" s="898" t="n">
        <x:v>35.49</x:v>
      </x:c>
      <x:c r="F246" s="901" t="n">
        <x:v>1225400</x:v>
      </x:c>
      <x:c r="G246" s="904" t="n">
        <x:v>1161.3</x:v>
      </x:c>
      <x:c r="H246" s="904" t="n">
        <x:v>1165.23</x:v>
      </x:c>
      <x:c r="I246" s="904" t="n">
        <x:v>1144.55</x:v>
      </x:c>
      <x:c r="J246" s="904" t="n">
        <x:v>1155.29</x:v>
      </x:c>
      <x:c r="K246" s="901" t="n">
        <x:v>458175600</x:v>
      </x:c>
      <x:c r="L246" s="907" t="str">
        <x:v>SRC-P404</x:v>
      </x:c>
      <x:c r="M246" s="907" t="str">
        <x:v>VNStock API actual</x:v>
      </x:c>
      <x:c r="N246" s="1032" t="n">
        <x:v>46229.241747685184</x:v>
      </x:c>
    </x:row>
    <x:row r="247">
      <x:c r="A247" s="895" t="n">
        <x:v>44754</x:v>
      </x:c>
      <x:c r="B247" s="898" t="n">
        <x:v>35.38</x:v>
      </x:c>
      <x:c r="C247" s="898" t="n">
        <x:v>36.38</x:v>
      </x:c>
      <x:c r="D247" s="898" t="n">
        <x:v>35.27</x:v>
      </x:c>
      <x:c r="E247" s="898" t="n">
        <x:v>36.23</x:v>
      </x:c>
      <x:c r="F247" s="901" t="n">
        <x:v>1417700</x:v>
      </x:c>
      <x:c r="G247" s="904" t="n">
        <x:v>1154.31</x:v>
      </x:c>
      <x:c r="H247" s="904" t="n">
        <x:v>1174.82</x:v>
      </x:c>
      <x:c r="I247" s="904" t="n">
        <x:v>1153.55</x:v>
      </x:c>
      <x:c r="J247" s="904" t="n">
        <x:v>1174.82</x:v>
      </x:c>
      <x:c r="K247" s="901" t="n">
        <x:v>446374900</x:v>
      </x:c>
      <x:c r="L247" s="907" t="str">
        <x:v>SRC-P404</x:v>
      </x:c>
      <x:c r="M247" s="907" t="str">
        <x:v>VNStock API actual</x:v>
      </x:c>
      <x:c r="N247" s="1032" t="n">
        <x:v>46229.241747685184</x:v>
      </x:c>
    </x:row>
    <x:row r="248">
      <x:c r="A248" s="895" t="n">
        <x:v>44755</x:v>
      </x:c>
      <x:c r="B248" s="898" t="n">
        <x:v>36.52</x:v>
      </x:c>
      <x:c r="C248" s="898" t="n">
        <x:v>36.89</x:v>
      </x:c>
      <x:c r="D248" s="898" t="n">
        <x:v>35.93</x:v>
      </x:c>
      <x:c r="E248" s="898" t="n">
        <x:v>36.38</x:v>
      </x:c>
      <x:c r="F248" s="901" t="n">
        <x:v>930400</x:v>
      </x:c>
      <x:c r="G248" s="904" t="n">
        <x:v>1173.46</x:v>
      </x:c>
      <x:c r="H248" s="904" t="n">
        <x:v>1182.21</x:v>
      </x:c>
      <x:c r="I248" s="904" t="n">
        <x:v>1170.92</x:v>
      </x:c>
      <x:c r="J248" s="904" t="n">
        <x:v>1173.92</x:v>
      </x:c>
      <x:c r="K248" s="901" t="n">
        <x:v>494032300</x:v>
      </x:c>
      <x:c r="L248" s="907" t="str">
        <x:v>SRC-P404</x:v>
      </x:c>
      <x:c r="M248" s="907" t="str">
        <x:v>VNStock API actual</x:v>
      </x:c>
      <x:c r="N248" s="1032" t="n">
        <x:v>46229.241747685184</x:v>
      </x:c>
    </x:row>
    <x:row r="249">
      <x:c r="A249" s="895" t="n">
        <x:v>44756</x:v>
      </x:c>
      <x:c r="B249" s="898" t="n">
        <x:v>36.16</x:v>
      </x:c>
      <x:c r="C249" s="898" t="n">
        <x:v>36.49</x:v>
      </x:c>
      <x:c r="D249" s="898" t="n">
        <x:v>35.71</x:v>
      </x:c>
      <x:c r="E249" s="898" t="n">
        <x:v>36.49</x:v>
      </x:c>
      <x:c r="F249" s="901" t="n">
        <x:v>847600</x:v>
      </x:c>
      <x:c r="G249" s="904" t="n">
        <x:v>1170.7</x:v>
      </x:c>
      <x:c r="H249" s="904" t="n">
        <x:v>1182.17</x:v>
      </x:c>
      <x:c r="I249" s="904" t="n">
        <x:v>1170.04</x:v>
      </x:c>
      <x:c r="J249" s="904" t="n">
        <x:v>1182.17</x:v>
      </x:c>
      <x:c r="K249" s="901" t="n">
        <x:v>462987000</x:v>
      </x:c>
      <x:c r="L249" s="907" t="str">
        <x:v>SRC-P404</x:v>
      </x:c>
      <x:c r="M249" s="907" t="str">
        <x:v>VNStock API actual</x:v>
      </x:c>
      <x:c r="N249" s="1032" t="n">
        <x:v>46229.241747685184</x:v>
      </x:c>
    </x:row>
    <x:row r="250">
      <x:c r="A250" s="895" t="n">
        <x:v>44757</x:v>
      </x:c>
      <x:c r="B250" s="898" t="n">
        <x:v>36.52</x:v>
      </x:c>
      <x:c r="C250" s="898" t="n">
        <x:v>36.67</x:v>
      </x:c>
      <x:c r="D250" s="898" t="n">
        <x:v>36.16</x:v>
      </x:c>
      <x:c r="E250" s="898" t="n">
        <x:v>36.16</x:v>
      </x:c>
      <x:c r="F250" s="901" t="n">
        <x:v>952400</x:v>
      </x:c>
      <x:c r="G250" s="904" t="n">
        <x:v>1183.15</x:v>
      </x:c>
      <x:c r="H250" s="904" t="n">
        <x:v>1189.66</x:v>
      </x:c>
      <x:c r="I250" s="904" t="n">
        <x:v>1178.12</x:v>
      </x:c>
      <x:c r="J250" s="904" t="n">
        <x:v>1179.25</x:v>
      </x:c>
      <x:c r="K250" s="901" t="n">
        <x:v>514039500</x:v>
      </x:c>
      <x:c r="L250" s="907" t="str">
        <x:v>SRC-P404</x:v>
      </x:c>
      <x:c r="M250" s="907" t="str">
        <x:v>VNStock API actual</x:v>
      </x:c>
      <x:c r="N250" s="1032" t="n">
        <x:v>46229.241747685184</x:v>
      </x:c>
    </x:row>
    <x:row r="251">
      <x:c r="A251" s="895" t="n">
        <x:v>44760</x:v>
      </x:c>
      <x:c r="B251" s="898" t="n">
        <x:v>36.16</x:v>
      </x:c>
      <x:c r="C251" s="898" t="n">
        <x:v>36.41</x:v>
      </x:c>
      <x:c r="D251" s="898" t="n">
        <x:v>35.93</x:v>
      </x:c>
      <x:c r="E251" s="898" t="n">
        <x:v>35.93</x:v>
      </x:c>
      <x:c r="F251" s="901" t="n">
        <x:v>744500</x:v>
      </x:c>
      <x:c r="G251" s="904" t="n">
        <x:v>1184.74</x:v>
      </x:c>
      <x:c r="H251" s="904" t="n">
        <x:v>1184.93</x:v>
      </x:c>
      <x:c r="I251" s="904" t="n">
        <x:v>1174.7</x:v>
      </x:c>
      <x:c r="J251" s="904" t="n">
        <x:v>1176.49</x:v>
      </x:c>
      <x:c r="K251" s="901" t="n">
        <x:v>449643100</x:v>
      </x:c>
      <x:c r="L251" s="907" t="str">
        <x:v>SRC-P404</x:v>
      </x:c>
      <x:c r="M251" s="907" t="str">
        <x:v>VNStock API actual</x:v>
      </x:c>
      <x:c r="N251" s="1032" t="n">
        <x:v>46229.241747685184</x:v>
      </x:c>
    </x:row>
    <x:row r="252">
      <x:c r="A252" s="895" t="n">
        <x:v>44761</x:v>
      </x:c>
      <x:c r="B252" s="898" t="n">
        <x:v>35.79</x:v>
      </x:c>
      <x:c r="C252" s="898" t="n">
        <x:v>36.3</x:v>
      </x:c>
      <x:c r="D252" s="898" t="n">
        <x:v>35.79</x:v>
      </x:c>
      <x:c r="E252" s="898" t="n">
        <x:v>36.16</x:v>
      </x:c>
      <x:c r="F252" s="901" t="n">
        <x:v>750600</x:v>
      </x:c>
      <x:c r="G252" s="904" t="n">
        <x:v>1176.1</x:v>
      </x:c>
      <x:c r="H252" s="904" t="n">
        <x:v>1180.46</x:v>
      </x:c>
      <x:c r="I252" s="904" t="n">
        <x:v>1168.99</x:v>
      </x:c>
      <x:c r="J252" s="904" t="n">
        <x:v>1178.33</x:v>
      </x:c>
      <x:c r="K252" s="901" t="n">
        <x:v>447446600</x:v>
      </x:c>
      <x:c r="L252" s="907" t="str">
        <x:v>SRC-P404</x:v>
      </x:c>
      <x:c r="M252" s="907" t="str">
        <x:v>VNStock API actual</x:v>
      </x:c>
      <x:c r="N252" s="1032" t="n">
        <x:v>46229.241747685184</x:v>
      </x:c>
    </x:row>
    <x:row r="253">
      <x:c r="A253" s="895" t="n">
        <x:v>44762</x:v>
      </x:c>
      <x:c r="B253" s="898" t="n">
        <x:v>36.45</x:v>
      </x:c>
      <x:c r="C253" s="898" t="n">
        <x:v>37.85</x:v>
      </x:c>
      <x:c r="D253" s="898" t="n">
        <x:v>36.3</x:v>
      </x:c>
      <x:c r="E253" s="898" t="n">
        <x:v>37.63</x:v>
      </x:c>
      <x:c r="F253" s="901" t="n">
        <x:v>1526100</x:v>
      </x:c>
      <x:c r="G253" s="904" t="n">
        <x:v>1188.12</x:v>
      </x:c>
      <x:c r="H253" s="904" t="n">
        <x:v>1198.63</x:v>
      </x:c>
      <x:c r="I253" s="904" t="n">
        <x:v>1185.82</x:v>
      </x:c>
      <x:c r="J253" s="904" t="n">
        <x:v>1194.14</x:v>
      </x:c>
      <x:c r="K253" s="901" t="n">
        <x:v>573367800</x:v>
      </x:c>
      <x:c r="L253" s="907" t="str">
        <x:v>SRC-P404</x:v>
      </x:c>
      <x:c r="M253" s="907" t="str">
        <x:v>VNStock API actual</x:v>
      </x:c>
      <x:c r="N253" s="1032" t="n">
        <x:v>46229.241747685184</x:v>
      </x:c>
    </x:row>
    <x:row r="254">
      <x:c r="A254" s="895" t="n">
        <x:v>44763</x:v>
      </x:c>
      <x:c r="B254" s="898" t="n">
        <x:v>37.63</x:v>
      </x:c>
      <x:c r="C254" s="898" t="n">
        <x:v>37.63</x:v>
      </x:c>
      <x:c r="D254" s="898" t="n">
        <x:v>36.86</x:v>
      </x:c>
      <x:c r="E254" s="898" t="n">
        <x:v>37.34</x:v>
      </x:c>
      <x:c r="F254" s="901" t="n">
        <x:v>755500</x:v>
      </x:c>
      <x:c r="G254" s="904" t="n">
        <x:v>1195.03</x:v>
      </x:c>
      <x:c r="H254" s="904" t="n">
        <x:v>1201.91</x:v>
      </x:c>
      <x:c r="I254" s="904" t="n">
        <x:v>1194.97</x:v>
      </x:c>
      <x:c r="J254" s="904" t="n">
        <x:v>1198.47</x:v>
      </x:c>
      <x:c r="K254" s="901" t="n">
        <x:v>474055300</x:v>
      </x:c>
      <x:c r="L254" s="907" t="str">
        <x:v>SRC-P404</x:v>
      </x:c>
      <x:c r="M254" s="907" t="str">
        <x:v>VNStock API actual</x:v>
      </x:c>
      <x:c r="N254" s="1032" t="n">
        <x:v>46229.241747685184</x:v>
      </x:c>
    </x:row>
    <x:row r="255">
      <x:c r="A255" s="895" t="n">
        <x:v>44764</x:v>
      </x:c>
      <x:c r="B255" s="898" t="n">
        <x:v>37.63</x:v>
      </x:c>
      <x:c r="C255" s="898" t="n">
        <x:v>38.66</x:v>
      </x:c>
      <x:c r="D255" s="898" t="n">
        <x:v>37.48</x:v>
      </x:c>
      <x:c r="E255" s="898" t="n">
        <x:v>37.48</x:v>
      </x:c>
      <x:c r="F255" s="901" t="n">
        <x:v>1180400</x:v>
      </x:c>
      <x:c r="G255" s="904" t="n">
        <x:v>1199.16</x:v>
      </x:c>
      <x:c r="H255" s="904" t="n">
        <x:v>1202.69</x:v>
      </x:c>
      <x:c r="I255" s="904" t="n">
        <x:v>1194.76</x:v>
      </x:c>
      <x:c r="J255" s="904" t="n">
        <x:v>1194.76</x:v>
      </x:c>
      <x:c r="K255" s="901" t="n">
        <x:v>418875300</x:v>
      </x:c>
      <x:c r="L255" s="907" t="str">
        <x:v>SRC-P404</x:v>
      </x:c>
      <x:c r="M255" s="907" t="str">
        <x:v>VNStock API actual</x:v>
      </x:c>
      <x:c r="N255" s="1032" t="n">
        <x:v>46229.241747685184</x:v>
      </x:c>
    </x:row>
    <x:row r="256">
      <x:c r="A256" s="895" t="n">
        <x:v>44767</x:v>
      </x:c>
      <x:c r="B256" s="898" t="n">
        <x:v>37.26</x:v>
      </x:c>
      <x:c r="C256" s="898" t="n">
        <x:v>37.56</x:v>
      </x:c>
      <x:c r="D256" s="898" t="n">
        <x:v>36.89</x:v>
      </x:c>
      <x:c r="E256" s="898" t="n">
        <x:v>36.89</x:v>
      </x:c>
      <x:c r="F256" s="901" t="n">
        <x:v>435400</x:v>
      </x:c>
      <x:c r="G256" s="904" t="n">
        <x:v>1191.43</x:v>
      </x:c>
      <x:c r="H256" s="904" t="n">
        <x:v>1198.16</x:v>
      </x:c>
      <x:c r="I256" s="904" t="n">
        <x:v>1184.32</x:v>
      </x:c>
      <x:c r="J256" s="904" t="n">
        <x:v>1188.5</x:v>
      </x:c>
      <x:c r="K256" s="901" t="n">
        <x:v>382922500</x:v>
      </x:c>
      <x:c r="L256" s="907" t="str">
        <x:v>SRC-P404</x:v>
      </x:c>
      <x:c r="M256" s="907" t="str">
        <x:v>VNStock API actual</x:v>
      </x:c>
      <x:c r="N256" s="1032" t="n">
        <x:v>46229.241747685184</x:v>
      </x:c>
    </x:row>
    <x:row r="257">
      <x:c r="A257" s="895" t="n">
        <x:v>44768</x:v>
      </x:c>
      <x:c r="B257" s="898" t="n">
        <x:v>37.12</x:v>
      </x:c>
      <x:c r="C257" s="898" t="n">
        <x:v>37.71</x:v>
      </x:c>
      <x:c r="D257" s="898" t="n">
        <x:v>36.89</x:v>
      </x:c>
      <x:c r="E257" s="898" t="n">
        <x:v>37.19</x:v>
      </x:c>
      <x:c r="F257" s="901" t="n">
        <x:v>677300</x:v>
      </x:c>
      <x:c r="G257" s="904" t="n">
        <x:v>1189.2</x:v>
      </x:c>
      <x:c r="H257" s="904" t="n">
        <x:v>1194.15</x:v>
      </x:c>
      <x:c r="I257" s="904" t="n">
        <x:v>1184.44</x:v>
      </x:c>
      <x:c r="J257" s="904" t="n">
        <x:v>1185.07</x:v>
      </x:c>
      <x:c r="K257" s="901" t="n">
        <x:v>363909800</x:v>
      </x:c>
      <x:c r="L257" s="907" t="str">
        <x:v>SRC-P404</x:v>
      </x:c>
      <x:c r="M257" s="907" t="str">
        <x:v>VNStock API actual</x:v>
      </x:c>
      <x:c r="N257" s="1032" t="n">
        <x:v>46229.241747685184</x:v>
      </x:c>
    </x:row>
    <x:row r="258">
      <x:c r="A258" s="895" t="n">
        <x:v>44769</x:v>
      </x:c>
      <x:c r="B258" s="898" t="n">
        <x:v>36.89</x:v>
      </x:c>
      <x:c r="C258" s="898" t="n">
        <x:v>37.48</x:v>
      </x:c>
      <x:c r="D258" s="898" t="n">
        <x:v>36.52</x:v>
      </x:c>
      <x:c r="E258" s="898" t="n">
        <x:v>36.89</x:v>
      </x:c>
      <x:c r="F258" s="901" t="n">
        <x:v>453900</x:v>
      </x:c>
      <x:c r="G258" s="904" t="n">
        <x:v>1180.83</x:v>
      </x:c>
      <x:c r="H258" s="904" t="n">
        <x:v>1191.04</x:v>
      </x:c>
      <x:c r="I258" s="904" t="n">
        <x:v>1178.58</x:v>
      </x:c>
      <x:c r="J258" s="904" t="n">
        <x:v>1191.04</x:v>
      </x:c>
      <x:c r="K258" s="901" t="n">
        <x:v>362473100</x:v>
      </x:c>
      <x:c r="L258" s="907" t="str">
        <x:v>SRC-P404</x:v>
      </x:c>
      <x:c r="M258" s="907" t="str">
        <x:v>VNStock API actual</x:v>
      </x:c>
      <x:c r="N258" s="1032" t="n">
        <x:v>46229.241747685184</x:v>
      </x:c>
    </x:row>
    <x:row r="259">
      <x:c r="A259" s="895" t="n">
        <x:v>44770</x:v>
      </x:c>
      <x:c r="B259" s="898" t="n">
        <x:v>37.71</x:v>
      </x:c>
      <x:c r="C259" s="898" t="n">
        <x:v>37.71</x:v>
      </x:c>
      <x:c r="D259" s="898" t="n">
        <x:v>35.05</x:v>
      </x:c>
      <x:c r="E259" s="898" t="n">
        <x:v>36.89</x:v>
      </x:c>
      <x:c r="F259" s="901" t="n">
        <x:v>927900</x:v>
      </x:c>
      <x:c r="G259" s="904" t="n">
        <x:v>1201.77</x:v>
      </x:c>
      <x:c r="H259" s="904" t="n">
        <x:v>1214.03</x:v>
      </x:c>
      <x:c r="I259" s="904" t="n">
        <x:v>1198.68</x:v>
      </x:c>
      <x:c r="J259" s="904" t="n">
        <x:v>1208.12</x:v>
      </x:c>
      <x:c r="K259" s="901" t="n">
        <x:v>586753300</x:v>
      </x:c>
      <x:c r="L259" s="907" t="str">
        <x:v>SRC-P404</x:v>
      </x:c>
      <x:c r="M259" s="907" t="str">
        <x:v>VNStock API actual</x:v>
      </x:c>
      <x:c r="N259" s="1032" t="n">
        <x:v>46229.241747685184</x:v>
      </x:c>
    </x:row>
    <x:row r="260">
      <x:c r="A260" s="895" t="n">
        <x:v>44771</x:v>
      </x:c>
      <x:c r="B260" s="898" t="n">
        <x:v>37.26</x:v>
      </x:c>
      <x:c r="C260" s="898" t="n">
        <x:v>38.15</x:v>
      </x:c>
      <x:c r="D260" s="898" t="n">
        <x:v>36.89</x:v>
      </x:c>
      <x:c r="E260" s="898" t="n">
        <x:v>36.89</x:v>
      </x:c>
      <x:c r="F260" s="901" t="n">
        <x:v>1519800</x:v>
      </x:c>
      <x:c r="G260" s="904" t="n">
        <x:v>1214.32</x:v>
      </x:c>
      <x:c r="H260" s="904" t="n">
        <x:v>1217.84</x:v>
      </x:c>
      <x:c r="I260" s="904" t="n">
        <x:v>1206.33</x:v>
      </x:c>
      <x:c r="J260" s="904" t="n">
        <x:v>1206.33</x:v>
      </x:c>
      <x:c r="K260" s="901" t="n">
        <x:v>502192400</x:v>
      </x:c>
      <x:c r="L260" s="907" t="str">
        <x:v>SRC-P404</x:v>
      </x:c>
      <x:c r="M260" s="907" t="str">
        <x:v>VNStock API actual</x:v>
      </x:c>
      <x:c r="N260" s="1032" t="n">
        <x:v>46229.241747685184</x:v>
      </x:c>
    </x:row>
    <x:row r="261">
      <x:c r="A261" s="895" t="n">
        <x:v>44774</x:v>
      </x:c>
      <x:c r="B261" s="898" t="n">
        <x:v>37.63</x:v>
      </x:c>
      <x:c r="C261" s="898" t="n">
        <x:v>38.74</x:v>
      </x:c>
      <x:c r="D261" s="898" t="n">
        <x:v>37.63</x:v>
      </x:c>
      <x:c r="E261" s="898" t="n">
        <x:v>38.74</x:v>
      </x:c>
      <x:c r="F261" s="901" t="n">
        <x:v>1816000</x:v>
      </x:c>
      <x:c r="G261" s="904" t="n">
        <x:v>1209.05</x:v>
      </x:c>
      <x:c r="H261" s="904" t="n">
        <x:v>1231.35</x:v>
      </x:c>
      <x:c r="I261" s="904" t="n">
        <x:v>1209.04</x:v>
      </x:c>
      <x:c r="J261" s="904" t="n">
        <x:v>1231.35</x:v>
      </x:c>
      <x:c r="K261" s="901" t="n">
        <x:v>643232700</x:v>
      </x:c>
      <x:c r="L261" s="907" t="str">
        <x:v>SRC-P404</x:v>
      </x:c>
      <x:c r="M261" s="907" t="str">
        <x:v>VNStock API actual</x:v>
      </x:c>
      <x:c r="N261" s="1032" t="n">
        <x:v>46229.241747685184</x:v>
      </x:c>
    </x:row>
    <x:row r="262">
      <x:c r="A262" s="895" t="n">
        <x:v>44775</x:v>
      </x:c>
      <x:c r="B262" s="898" t="n">
        <x:v>38.59</x:v>
      </x:c>
      <x:c r="C262" s="898" t="n">
        <x:v>38.96</x:v>
      </x:c>
      <x:c r="D262" s="898" t="n">
        <x:v>37.85</x:v>
      </x:c>
      <x:c r="E262" s="898" t="n">
        <x:v>38.37</x:v>
      </x:c>
      <x:c r="F262" s="901" t="n">
        <x:v>1404400</x:v>
      </x:c>
      <x:c r="G262" s="904" t="n">
        <x:v>1230.31</x:v>
      </x:c>
      <x:c r="H262" s="904" t="n">
        <x:v>1241.91</x:v>
      </x:c>
      <x:c r="I262" s="904" t="n">
        <x:v>1224.11</x:v>
      </x:c>
      <x:c r="J262" s="904" t="n">
        <x:v>1241.62</x:v>
      </x:c>
      <x:c r="K262" s="901" t="n">
        <x:v>701766800</x:v>
      </x:c>
      <x:c r="L262" s="907" t="str">
        <x:v>SRC-P404</x:v>
      </x:c>
      <x:c r="M262" s="907" t="str">
        <x:v>VNStock API actual</x:v>
      </x:c>
      <x:c r="N262" s="1032" t="n">
        <x:v>46229.241747685184</x:v>
      </x:c>
    </x:row>
    <x:row r="263">
      <x:c r="A263" s="895" t="n">
        <x:v>44776</x:v>
      </x:c>
      <x:c r="B263" s="898" t="n">
        <x:v>37.85</x:v>
      </x:c>
      <x:c r="C263" s="898" t="n">
        <x:v>39.26</x:v>
      </x:c>
      <x:c r="D263" s="898" t="n">
        <x:v>37.85</x:v>
      </x:c>
      <x:c r="E263" s="898" t="n">
        <x:v>38.96</x:v>
      </x:c>
      <x:c r="F263" s="901" t="n">
        <x:v>1487900</x:v>
      </x:c>
      <x:c r="G263" s="904" t="n">
        <x:v>1233.84</x:v>
      </x:c>
      <x:c r="H263" s="904" t="n">
        <x:v>1250.2</x:v>
      </x:c>
      <x:c r="I263" s="904" t="n">
        <x:v>1232.41</x:v>
      </x:c>
      <x:c r="J263" s="904" t="n">
        <x:v>1249.76</x:v>
      </x:c>
      <x:c r="K263" s="901" t="n">
        <x:v>668682400</x:v>
      </x:c>
      <x:c r="L263" s="907" t="str">
        <x:v>SRC-P404</x:v>
      </x:c>
      <x:c r="M263" s="907" t="str">
        <x:v>VNStock API actual</x:v>
      </x:c>
      <x:c r="N263" s="1032" t="n">
        <x:v>46229.241747685184</x:v>
      </x:c>
    </x:row>
    <x:row r="264">
      <x:c r="A264" s="895" t="n">
        <x:v>44777</x:v>
      </x:c>
      <x:c r="B264" s="898" t="n">
        <x:v>39.11</x:v>
      </x:c>
      <x:c r="C264" s="898" t="n">
        <x:v>39.11</x:v>
      </x:c>
      <x:c r="D264" s="898" t="n">
        <x:v>37.85</x:v>
      </x:c>
      <x:c r="E264" s="898" t="n">
        <x:v>38.07</x:v>
      </x:c>
      <x:c r="F264" s="901" t="n">
        <x:v>1674300</x:v>
      </x:c>
      <x:c r="G264" s="904" t="n">
        <x:v>1252.49</x:v>
      </x:c>
      <x:c r="H264" s="904" t="n">
        <x:v>1257.38</x:v>
      </x:c>
      <x:c r="I264" s="904" t="n">
        <x:v>1247.38</x:v>
      </x:c>
      <x:c r="J264" s="904" t="n">
        <x:v>1254.15</x:v>
      </x:c>
      <x:c r="K264" s="901" t="n">
        <x:v>621344900</x:v>
      </x:c>
      <x:c r="L264" s="907" t="str">
        <x:v>SRC-P404</x:v>
      </x:c>
      <x:c r="M264" s="907" t="str">
        <x:v>VNStock API actual</x:v>
      </x:c>
      <x:c r="N264" s="1032" t="n">
        <x:v>46229.241747685184</x:v>
      </x:c>
    </x:row>
    <x:row r="265">
      <x:c r="A265" s="895" t="n">
        <x:v>44778</x:v>
      </x:c>
      <x:c r="B265" s="898" t="n">
        <x:v>38.37</x:v>
      </x:c>
      <x:c r="C265" s="898" t="n">
        <x:v>38.66</x:v>
      </x:c>
      <x:c r="D265" s="898" t="n">
        <x:v>38.07</x:v>
      </x:c>
      <x:c r="E265" s="898" t="n">
        <x:v>38.3</x:v>
      </x:c>
      <x:c r="F265" s="901" t="n">
        <x:v>1128700</x:v>
      </x:c>
      <x:c r="G265" s="904" t="n">
        <x:v>1250.25</x:v>
      </x:c>
      <x:c r="H265" s="904" t="n">
        <x:v>1253.75</x:v>
      </x:c>
      <x:c r="I265" s="904" t="n">
        <x:v>1245.05</x:v>
      </x:c>
      <x:c r="J265" s="904" t="n">
        <x:v>1252.74</x:v>
      </x:c>
      <x:c r="K265" s="901" t="n">
        <x:v>579008400</x:v>
      </x:c>
      <x:c r="L265" s="907" t="str">
        <x:v>SRC-P404</x:v>
      </x:c>
      <x:c r="M265" s="907" t="str">
        <x:v>VNStock API actual</x:v>
      </x:c>
      <x:c r="N265" s="1032" t="n">
        <x:v>46229.241747685184</x:v>
      </x:c>
    </x:row>
    <x:row r="266">
      <x:c r="A266" s="895" t="n">
        <x:v>44781</x:v>
      </x:c>
      <x:c r="B266" s="898" t="n">
        <x:v>38.3</x:v>
      </x:c>
      <x:c r="C266" s="898" t="n">
        <x:v>38.59</x:v>
      </x:c>
      <x:c r="D266" s="898" t="n">
        <x:v>37.85</x:v>
      </x:c>
      <x:c r="E266" s="898" t="n">
        <x:v>38.37</x:v>
      </x:c>
      <x:c r="F266" s="901" t="n">
        <x:v>1790500</x:v>
      </x:c>
      <x:c r="G266" s="904" t="n">
        <x:v>1252.36</x:v>
      </x:c>
      <x:c r="H266" s="904" t="n">
        <x:v>1258.84</x:v>
      </x:c>
      <x:c r="I266" s="904" t="n">
        <x:v>1252.04</x:v>
      </x:c>
      <x:c r="J266" s="904" t="n">
        <x:v>1256.75</x:v>
      </x:c>
      <x:c r="K266" s="901" t="n">
        <x:v>600108300</x:v>
      </x:c>
      <x:c r="L266" s="907" t="str">
        <x:v>SRC-P404</x:v>
      </x:c>
      <x:c r="M266" s="907" t="str">
        <x:v>VNStock API actual</x:v>
      </x:c>
      <x:c r="N266" s="1032" t="n">
        <x:v>46229.241747685184</x:v>
      </x:c>
    </x:row>
    <x:row r="267">
      <x:c r="A267" s="895" t="n">
        <x:v>44782</x:v>
      </x:c>
      <x:c r="B267" s="898" t="n">
        <x:v>38.52</x:v>
      </x:c>
      <x:c r="C267" s="898" t="n">
        <x:v>39.18</x:v>
      </x:c>
      <x:c r="D267" s="898" t="n">
        <x:v>38.52</x:v>
      </x:c>
      <x:c r="E267" s="898" t="n">
        <x:v>38.66</x:v>
      </x:c>
      <x:c r="F267" s="901" t="n">
        <x:v>1394100</x:v>
      </x:c>
      <x:c r="G267" s="904" t="n">
        <x:v>1260.36</x:v>
      </x:c>
      <x:c r="H267" s="904" t="n">
        <x:v>1263.14</x:v>
      </x:c>
      <x:c r="I267" s="904" t="n">
        <x:v>1252.84</x:v>
      </x:c>
      <x:c r="J267" s="904" t="n">
        <x:v>1258.85</x:v>
      </x:c>
      <x:c r="K267" s="901" t="n">
        <x:v>622183100</x:v>
      </x:c>
      <x:c r="L267" s="907" t="str">
        <x:v>SRC-P404</x:v>
      </x:c>
      <x:c r="M267" s="907" t="str">
        <x:v>VNStock API actual</x:v>
      </x:c>
      <x:c r="N267" s="1032" t="n">
        <x:v>46229.241747685184</x:v>
      </x:c>
    </x:row>
    <x:row r="268">
      <x:c r="A268" s="895" t="n">
        <x:v>44783</x:v>
      </x:c>
      <x:c r="B268" s="898" t="n">
        <x:v>38.59</x:v>
      </x:c>
      <x:c r="C268" s="898" t="n">
        <x:v>38.96</x:v>
      </x:c>
      <x:c r="D268" s="898" t="n">
        <x:v>38.3</x:v>
      </x:c>
      <x:c r="E268" s="898" t="n">
        <x:v>38.37</x:v>
      </x:c>
      <x:c r="F268" s="901" t="n">
        <x:v>514200</x:v>
      </x:c>
      <x:c r="G268" s="904" t="n">
        <x:v>1255.69</x:v>
      </x:c>
      <x:c r="H268" s="904" t="n">
        <x:v>1260.36</x:v>
      </x:c>
      <x:c r="I268" s="904" t="n">
        <x:v>1253.89</x:v>
      </x:c>
      <x:c r="J268" s="904" t="n">
        <x:v>1256.5</x:v>
      </x:c>
      <x:c r="K268" s="901" t="n">
        <x:v>554958800</x:v>
      </x:c>
      <x:c r="L268" s="907" t="str">
        <x:v>SRC-P404</x:v>
      </x:c>
      <x:c r="M268" s="907" t="str">
        <x:v>VNStock API actual</x:v>
      </x:c>
      <x:c r="N268" s="1032" t="n">
        <x:v>46229.241747685184</x:v>
      </x:c>
    </x:row>
    <x:row r="269">
      <x:c r="A269" s="895" t="n">
        <x:v>44784</x:v>
      </x:c>
      <x:c r="B269" s="898" t="n">
        <x:v>38.74</x:v>
      </x:c>
      <x:c r="C269" s="898" t="n">
        <x:v>38.89</x:v>
      </x:c>
      <x:c r="D269" s="898" t="n">
        <x:v>37.85</x:v>
      </x:c>
      <x:c r="E269" s="898" t="n">
        <x:v>38</x:v>
      </x:c>
      <x:c r="F269" s="901" t="n">
        <x:v>1459000</x:v>
      </x:c>
      <x:c r="G269" s="904" t="n">
        <x:v>1267.37</x:v>
      </x:c>
      <x:c r="H269" s="904" t="n">
        <x:v>1268.03</x:v>
      </x:c>
      <x:c r="I269" s="904" t="n">
        <x:v>1245.85</x:v>
      </x:c>
      <x:c r="J269" s="904" t="n">
        <x:v>1252.07</x:v>
      </x:c>
      <x:c r="K269" s="901" t="n">
        <x:v>726941900</x:v>
      </x:c>
      <x:c r="L269" s="907" t="str">
        <x:v>SRC-P404</x:v>
      </x:c>
      <x:c r="M269" s="907" t="str">
        <x:v>VNStock API actual</x:v>
      </x:c>
      <x:c r="N269" s="1032" t="n">
        <x:v>46229.241747685184</x:v>
      </x:c>
    </x:row>
    <x:row r="270">
      <x:c r="A270" s="895" t="n">
        <x:v>44785</x:v>
      </x:c>
      <x:c r="B270" s="898" t="n">
        <x:v>38</x:v>
      </x:c>
      <x:c r="C270" s="898" t="n">
        <x:v>38.3</x:v>
      </x:c>
      <x:c r="D270" s="898" t="n">
        <x:v>37.71</x:v>
      </x:c>
      <x:c r="E270" s="898" t="n">
        <x:v>38.22</x:v>
      </x:c>
      <x:c r="F270" s="901" t="n">
        <x:v>904700</x:v>
      </x:c>
      <x:c r="G270" s="904" t="n">
        <x:v>1250.66</x:v>
      </x:c>
      <x:c r="H270" s="904" t="n">
        <x:v>1262.33</x:v>
      </x:c>
      <x:c r="I270" s="904" t="n">
        <x:v>1248.65</x:v>
      </x:c>
      <x:c r="J270" s="904" t="n">
        <x:v>1262.33</x:v>
      </x:c>
      <x:c r="K270" s="901" t="n">
        <x:v>478668400</x:v>
      </x:c>
      <x:c r="L270" s="907" t="str">
        <x:v>SRC-P404</x:v>
      </x:c>
      <x:c r="M270" s="907" t="str">
        <x:v>VNStock API actual</x:v>
      </x:c>
      <x:c r="N270" s="1032" t="n">
        <x:v>46229.241747685184</x:v>
      </x:c>
    </x:row>
    <x:row r="271">
      <x:c r="A271" s="895" t="n">
        <x:v>44788</x:v>
      </x:c>
      <x:c r="B271" s="898" t="n">
        <x:v>38.22</x:v>
      </x:c>
      <x:c r="C271" s="898" t="n">
        <x:v>39.11</x:v>
      </x:c>
      <x:c r="D271" s="898" t="n">
        <x:v>38.22</x:v>
      </x:c>
      <x:c r="E271" s="898" t="n">
        <x:v>38.74</x:v>
      </x:c>
      <x:c r="F271" s="901" t="n">
        <x:v>1214300</x:v>
      </x:c>
      <x:c r="G271" s="904" t="n">
        <x:v>1268.56</x:v>
      </x:c>
      <x:c r="H271" s="904" t="n">
        <x:v>1274.24</x:v>
      </x:c>
      <x:c r="I271" s="904" t="n">
        <x:v>1267.14</x:v>
      </x:c>
      <x:c r="J271" s="904" t="n">
        <x:v>1274.2</x:v>
      </x:c>
      <x:c r="K271" s="901" t="n">
        <x:v>556111500</x:v>
      </x:c>
      <x:c r="L271" s="907" t="str">
        <x:v>SRC-P404</x:v>
      </x:c>
      <x:c r="M271" s="907" t="str">
        <x:v>VNStock API actual</x:v>
      </x:c>
      <x:c r="N271" s="1032" t="n">
        <x:v>46229.241747685184</x:v>
      </x:c>
    </x:row>
    <x:row r="272">
      <x:c r="A272" s="895" t="n">
        <x:v>44789</x:v>
      </x:c>
      <x:c r="B272" s="898" t="n">
        <x:v>38.74</x:v>
      </x:c>
      <x:c r="C272" s="898" t="n">
        <x:v>39.7</x:v>
      </x:c>
      <x:c r="D272" s="898" t="n">
        <x:v>38.66</x:v>
      </x:c>
      <x:c r="E272" s="898" t="n">
        <x:v>39.26</x:v>
      </x:c>
      <x:c r="F272" s="901" t="n">
        <x:v>2285700</x:v>
      </x:c>
      <x:c r="G272" s="904" t="n">
        <x:v>1274.08</x:v>
      </x:c>
      <x:c r="H272" s="904" t="n">
        <x:v>1275.93</x:v>
      </x:c>
      <x:c r="I272" s="904" t="n">
        <x:v>1271.11</x:v>
      </x:c>
      <x:c r="J272" s="904" t="n">
        <x:v>1274.69</x:v>
      </x:c>
      <x:c r="K272" s="901" t="n">
        <x:v>541168800</x:v>
      </x:c>
      <x:c r="L272" s="907" t="str">
        <x:v>SRC-P404</x:v>
      </x:c>
      <x:c r="M272" s="907" t="str">
        <x:v>VNStock API actual</x:v>
      </x:c>
      <x:c r="N272" s="1032" t="n">
        <x:v>46229.241747685184</x:v>
      </x:c>
    </x:row>
    <x:row r="273">
      <x:c r="A273" s="895" t="n">
        <x:v>44790</x:v>
      </x:c>
      <x:c r="B273" s="898" t="n">
        <x:v>39.48</x:v>
      </x:c>
      <x:c r="C273" s="898" t="n">
        <x:v>39.62</x:v>
      </x:c>
      <x:c r="D273" s="898" t="n">
        <x:v>38.81</x:v>
      </x:c>
      <x:c r="E273" s="898" t="n">
        <x:v>38.81</x:v>
      </x:c>
      <x:c r="F273" s="901" t="n">
        <x:v>920300</x:v>
      </x:c>
      <x:c r="G273" s="904" t="n">
        <x:v>1276.78</x:v>
      </x:c>
      <x:c r="H273" s="904" t="n">
        <x:v>1280.61</x:v>
      </x:c>
      <x:c r="I273" s="904" t="n">
        <x:v>1271.97</x:v>
      </x:c>
      <x:c r="J273" s="904" t="n">
        <x:v>1275.28</x:v>
      </x:c>
      <x:c r="K273" s="901" t="n">
        <x:v>611549400</x:v>
      </x:c>
      <x:c r="L273" s="907" t="str">
        <x:v>SRC-P404</x:v>
      </x:c>
      <x:c r="M273" s="907" t="str">
        <x:v>VNStock API actual</x:v>
      </x:c>
      <x:c r="N273" s="1032" t="n">
        <x:v>46229.241747685184</x:v>
      </x:c>
    </x:row>
    <x:row r="274">
      <x:c r="A274" s="895" t="n">
        <x:v>44791</x:v>
      </x:c>
      <x:c r="B274" s="898" t="n">
        <x:v>38.81</x:v>
      </x:c>
      <x:c r="C274" s="898" t="n">
        <x:v>38.89</x:v>
      </x:c>
      <x:c r="D274" s="898" t="n">
        <x:v>38.37</x:v>
      </x:c>
      <x:c r="E274" s="898" t="n">
        <x:v>38.74</x:v>
      </x:c>
      <x:c r="F274" s="901" t="n">
        <x:v>822700</x:v>
      </x:c>
      <x:c r="G274" s="904" t="n">
        <x:v>1273.45</x:v>
      </x:c>
      <x:c r="H274" s="904" t="n">
        <x:v>1283.15</x:v>
      </x:c>
      <x:c r="I274" s="904" t="n">
        <x:v>1268.64</x:v>
      </x:c>
      <x:c r="J274" s="904" t="n">
        <x:v>1273.66</x:v>
      </x:c>
      <x:c r="K274" s="901" t="n">
        <x:v>522028300</x:v>
      </x:c>
      <x:c r="L274" s="907" t="str">
        <x:v>SRC-P404</x:v>
      </x:c>
      <x:c r="M274" s="907" t="str">
        <x:v>VNStock API actual</x:v>
      </x:c>
      <x:c r="N274" s="1032" t="n">
        <x:v>46229.241747685184</x:v>
      </x:c>
    </x:row>
    <x:row r="275">
      <x:c r="A275" s="895" t="n">
        <x:v>44792</x:v>
      </x:c>
      <x:c r="B275" s="898" t="n">
        <x:v>38.74</x:v>
      </x:c>
      <x:c r="C275" s="898" t="n">
        <x:v>39.33</x:v>
      </x:c>
      <x:c r="D275" s="898" t="n">
        <x:v>38.37</x:v>
      </x:c>
      <x:c r="E275" s="898" t="n">
        <x:v>38.37</x:v>
      </x:c>
      <x:c r="F275" s="901" t="n">
        <x:v>832100</x:v>
      </x:c>
      <x:c r="G275" s="904" t="n">
        <x:v>1272.23</x:v>
      </x:c>
      <x:c r="H275" s="904" t="n">
        <x:v>1280</x:v>
      </x:c>
      <x:c r="I275" s="904" t="n">
        <x:v>1263.45</x:v>
      </x:c>
      <x:c r="J275" s="904" t="n">
        <x:v>1269.18</x:v>
      </x:c>
      <x:c r="K275" s="901" t="n">
        <x:v>541159000</x:v>
      </x:c>
      <x:c r="L275" s="907" t="str">
        <x:v>SRC-P404</x:v>
      </x:c>
      <x:c r="M275" s="907" t="str">
        <x:v>VNStock API actual</x:v>
      </x:c>
      <x:c r="N275" s="1032" t="n">
        <x:v>46229.241747685184</x:v>
      </x:c>
    </x:row>
    <x:row r="276">
      <x:c r="A276" s="895" t="n">
        <x:v>44795</x:v>
      </x:c>
      <x:c r="B276" s="898" t="n">
        <x:v>38.15</x:v>
      </x:c>
      <x:c r="C276" s="898" t="n">
        <x:v>38.52</x:v>
      </x:c>
      <x:c r="D276" s="898" t="n">
        <x:v>37.63</x:v>
      </x:c>
      <x:c r="E276" s="898" t="n">
        <x:v>37.93</x:v>
      </x:c>
      <x:c r="F276" s="901" t="n">
        <x:v>849000</x:v>
      </x:c>
      <x:c r="G276" s="904" t="n">
        <x:v>1264.64</x:v>
      </x:c>
      <x:c r="H276" s="904" t="n">
        <x:v>1270.57</x:v>
      </x:c>
      <x:c r="I276" s="904" t="n">
        <x:v>1255.83</x:v>
      </x:c>
      <x:c r="J276" s="904" t="n">
        <x:v>1260.43</x:v>
      </x:c>
      <x:c r="K276" s="901" t="n">
        <x:v>530100300</x:v>
      </x:c>
      <x:c r="L276" s="907" t="str">
        <x:v>SRC-P404</x:v>
      </x:c>
      <x:c r="M276" s="907" t="str">
        <x:v>VNStock API actual</x:v>
      </x:c>
      <x:c r="N276" s="1032" t="n">
        <x:v>46229.241747685184</x:v>
      </x:c>
    </x:row>
    <x:row r="277">
      <x:c r="A277" s="895" t="n">
        <x:v>44796</x:v>
      </x:c>
      <x:c r="B277" s="898" t="n">
        <x:v>37.63</x:v>
      </x:c>
      <x:c r="C277" s="898" t="n">
        <x:v>38.66</x:v>
      </x:c>
      <x:c r="D277" s="898" t="n">
        <x:v>37.48</x:v>
      </x:c>
      <x:c r="E277" s="898" t="n">
        <x:v>38.66</x:v>
      </x:c>
      <x:c r="F277" s="901" t="n">
        <x:v>777700</x:v>
      </x:c>
      <x:c r="G277" s="904" t="n">
        <x:v>1253.45</x:v>
      </x:c>
      <x:c r="H277" s="904" t="n">
        <x:v>1270.81</x:v>
      </x:c>
      <x:c r="I277" s="904" t="n">
        <x:v>1253.45</x:v>
      </x:c>
      <x:c r="J277" s="904" t="n">
        <x:v>1270.81</x:v>
      </x:c>
      <x:c r="K277" s="901" t="n">
        <x:v>488438500</x:v>
      </x:c>
      <x:c r="L277" s="907" t="str">
        <x:v>SRC-P404</x:v>
      </x:c>
      <x:c r="M277" s="907" t="str">
        <x:v>VNStock API actual</x:v>
      </x:c>
      <x:c r="N277" s="1032" t="n">
        <x:v>46229.241747685184</x:v>
      </x:c>
    </x:row>
    <x:row r="278">
      <x:c r="A278" s="895" t="n">
        <x:v>44797</x:v>
      </x:c>
      <x:c r="B278" s="898" t="n">
        <x:v>38.66</x:v>
      </x:c>
      <x:c r="C278" s="898" t="n">
        <x:v>38.74</x:v>
      </x:c>
      <x:c r="D278" s="898" t="n">
        <x:v>38.3</x:v>
      </x:c>
      <x:c r="E278" s="898" t="n">
        <x:v>38.44</x:v>
      </x:c>
      <x:c r="F278" s="901" t="n">
        <x:v>766500</x:v>
      </x:c>
      <x:c r="G278" s="904" t="n">
        <x:v>1275.57</x:v>
      </x:c>
      <x:c r="H278" s="904" t="n">
        <x:v>1280.36</x:v>
      </x:c>
      <x:c r="I278" s="904" t="n">
        <x:v>1272.33</x:v>
      </x:c>
      <x:c r="J278" s="904" t="n">
        <x:v>1277.16</x:v>
      </x:c>
      <x:c r="K278" s="901" t="n">
        <x:v>495010400</x:v>
      </x:c>
      <x:c r="L278" s="907" t="str">
        <x:v>SRC-P404</x:v>
      </x:c>
      <x:c r="M278" s="907" t="str">
        <x:v>VNStock API actual</x:v>
      </x:c>
      <x:c r="N278" s="1032" t="n">
        <x:v>46229.241747685184</x:v>
      </x:c>
    </x:row>
    <x:row r="279">
      <x:c r="A279" s="895" t="n">
        <x:v>44798</x:v>
      </x:c>
      <x:c r="B279" s="898" t="n">
        <x:v>38.59</x:v>
      </x:c>
      <x:c r="C279" s="898" t="n">
        <x:v>39.03</x:v>
      </x:c>
      <x:c r="D279" s="898" t="n">
        <x:v>38.22</x:v>
      </x:c>
      <x:c r="E279" s="898" t="n">
        <x:v>38.89</x:v>
      </x:c>
      <x:c r="F279" s="901" t="n">
        <x:v>1257600</x:v>
      </x:c>
      <x:c r="G279" s="904" t="n">
        <x:v>1280.39</x:v>
      </x:c>
      <x:c r="H279" s="904" t="n">
        <x:v>1289.18</x:v>
      </x:c>
      <x:c r="I279" s="904" t="n">
        <x:v>1280.28</x:v>
      </x:c>
      <x:c r="J279" s="904" t="n">
        <x:v>1288.88</x:v>
      </x:c>
      <x:c r="K279" s="901" t="n">
        <x:v>531338200</x:v>
      </x:c>
      <x:c r="L279" s="907" t="str">
        <x:v>SRC-P404</x:v>
      </x:c>
      <x:c r="M279" s="907" t="str">
        <x:v>VNStock API actual</x:v>
      </x:c>
      <x:c r="N279" s="1032" t="n">
        <x:v>46229.241747685184</x:v>
      </x:c>
    </x:row>
    <x:row r="280">
      <x:c r="A280" s="895" t="n">
        <x:v>44799</x:v>
      </x:c>
      <x:c r="B280" s="898" t="n">
        <x:v>39.03</x:v>
      </x:c>
      <x:c r="C280" s="898" t="n">
        <x:v>39.11</x:v>
      </x:c>
      <x:c r="D280" s="898" t="n">
        <x:v>38.22</x:v>
      </x:c>
      <x:c r="E280" s="898" t="n">
        <x:v>38.37</x:v>
      </x:c>
      <x:c r="F280" s="901" t="n">
        <x:v>798300</x:v>
      </x:c>
      <x:c r="G280" s="904" t="n">
        <x:v>1291.29</x:v>
      </x:c>
      <x:c r="H280" s="904" t="n">
        <x:v>1295.12</x:v>
      </x:c>
      <x:c r="I280" s="904" t="n">
        <x:v>1280.05</x:v>
      </x:c>
      <x:c r="J280" s="904" t="n">
        <x:v>1282.57</x:v>
      </x:c>
      <x:c r="K280" s="901" t="n">
        <x:v>579737000</x:v>
      </x:c>
      <x:c r="L280" s="907" t="str">
        <x:v>SRC-P404</x:v>
      </x:c>
      <x:c r="M280" s="907" t="str">
        <x:v>VNStock API actual</x:v>
      </x:c>
      <x:c r="N280" s="1032" t="n">
        <x:v>46229.241747685184</x:v>
      </x:c>
    </x:row>
    <x:row r="281">
      <x:c r="A281" s="895" t="n">
        <x:v>44802</x:v>
      </x:c>
      <x:c r="B281" s="898" t="n">
        <x:v>38.22</x:v>
      </x:c>
      <x:c r="C281" s="898" t="n">
        <x:v>38.22</x:v>
      </x:c>
      <x:c r="D281" s="898" t="n">
        <x:v>37.12</x:v>
      </x:c>
      <x:c r="E281" s="898" t="n">
        <x:v>37.71</x:v>
      </x:c>
      <x:c r="F281" s="901" t="n">
        <x:v>1294700</x:v>
      </x:c>
      <x:c r="G281" s="904" t="n">
        <x:v>1263.43</x:v>
      </x:c>
      <x:c r="H281" s="904" t="n">
        <x:v>1270.8</x:v>
      </x:c>
      <x:c r="I281" s="904" t="n">
        <x:v>1249.17</x:v>
      </x:c>
      <x:c r="J281" s="904" t="n">
        <x:v>1270.8</x:v>
      </x:c>
      <x:c r="K281" s="901" t="n">
        <x:v>754982100</x:v>
      </x:c>
      <x:c r="L281" s="907" t="str">
        <x:v>SRC-P404</x:v>
      </x:c>
      <x:c r="M281" s="907" t="str">
        <x:v>VNStock API actual</x:v>
      </x:c>
      <x:c r="N281" s="1032" t="n">
        <x:v>46229.241747685184</x:v>
      </x:c>
    </x:row>
    <x:row r="282">
      <x:c r="A282" s="895" t="n">
        <x:v>44803</x:v>
      </x:c>
      <x:c r="B282" s="898" t="n">
        <x:v>37.93</x:v>
      </x:c>
      <x:c r="C282" s="898" t="n">
        <x:v>38.15</x:v>
      </x:c>
      <x:c r="D282" s="898" t="n">
        <x:v>37.04</x:v>
      </x:c>
      <x:c r="E282" s="898" t="n">
        <x:v>37.04</x:v>
      </x:c>
      <x:c r="F282" s="901" t="n">
        <x:v>1006800</x:v>
      </x:c>
      <x:c r="G282" s="904" t="n">
        <x:v>1274.97</x:v>
      </x:c>
      <x:c r="H282" s="904" t="n">
        <x:v>1287.65</x:v>
      </x:c>
      <x:c r="I282" s="904" t="n">
        <x:v>1274</x:v>
      </x:c>
      <x:c r="J282" s="904" t="n">
        <x:v>1279.39</x:v>
      </x:c>
      <x:c r="K282" s="901" t="n">
        <x:v>450860200</x:v>
      </x:c>
      <x:c r="L282" s="907" t="str">
        <x:v>SRC-P404</x:v>
      </x:c>
      <x:c r="M282" s="907" t="str">
        <x:v>VNStock API actual</x:v>
      </x:c>
      <x:c r="N282" s="1032" t="n">
        <x:v>46229.241747685184</x:v>
      </x:c>
    </x:row>
    <x:row r="283">
      <x:c r="A283" s="895" t="n">
        <x:v>44804</x:v>
      </x:c>
      <x:c r="B283" s="898" t="n">
        <x:v>37.04</x:v>
      </x:c>
      <x:c r="C283" s="898" t="n">
        <x:v>37.78</x:v>
      </x:c>
      <x:c r="D283" s="898" t="n">
        <x:v>36.89</x:v>
      </x:c>
      <x:c r="E283" s="898" t="n">
        <x:v>37.48</x:v>
      </x:c>
      <x:c r="F283" s="901" t="n">
        <x:v>633200</x:v>
      </x:c>
      <x:c r="G283" s="904" t="n">
        <x:v>1276.49</x:v>
      </x:c>
      <x:c r="H283" s="904" t="n">
        <x:v>1285.29</x:v>
      </x:c>
      <x:c r="I283" s="904" t="n">
        <x:v>1274.99</x:v>
      </x:c>
      <x:c r="J283" s="904" t="n">
        <x:v>1280.51</x:v>
      </x:c>
      <x:c r="K283" s="901" t="n">
        <x:v>434307600</x:v>
      </x:c>
      <x:c r="L283" s="907" t="str">
        <x:v>SRC-P404</x:v>
      </x:c>
      <x:c r="M283" s="907" t="str">
        <x:v>VNStock API actual</x:v>
      </x:c>
      <x:c r="N283" s="1032" t="n">
        <x:v>46229.241747685184</x:v>
      </x:c>
    </x:row>
    <x:row r="284">
      <x:c r="A284" s="895" t="n">
        <x:v>44809</x:v>
      </x:c>
      <x:c r="B284" s="898" t="n">
        <x:v>37.63</x:v>
      </x:c>
      <x:c r="C284" s="898" t="n">
        <x:v>38.15</x:v>
      </x:c>
      <x:c r="D284" s="898" t="n">
        <x:v>37.26</x:v>
      </x:c>
      <x:c r="E284" s="898" t="n">
        <x:v>37.71</x:v>
      </x:c>
      <x:c r="F284" s="901" t="n">
        <x:v>823300</x:v>
      </x:c>
      <x:c r="G284" s="904" t="n">
        <x:v>1280.26</x:v>
      </x:c>
      <x:c r="H284" s="904" t="n">
        <x:v>1285.7</x:v>
      </x:c>
      <x:c r="I284" s="904" t="n">
        <x:v>1275.35</x:v>
      </x:c>
      <x:c r="J284" s="904" t="n">
        <x:v>1277.35</x:v>
      </x:c>
      <x:c r="K284" s="901" t="n">
        <x:v>431994100</x:v>
      </x:c>
      <x:c r="L284" s="907" t="str">
        <x:v>SRC-P404</x:v>
      </x:c>
      <x:c r="M284" s="907" t="str">
        <x:v>VNStock API actual</x:v>
      </x:c>
      <x:c r="N284" s="1032" t="n">
        <x:v>46229.241747685184</x:v>
      </x:c>
    </x:row>
    <x:row r="285">
      <x:c r="A285" s="895" t="n">
        <x:v>44810</x:v>
      </x:c>
      <x:c r="B285" s="898" t="n">
        <x:v>37.71</x:v>
      </x:c>
      <x:c r="C285" s="898" t="n">
        <x:v>38</x:v>
      </x:c>
      <x:c r="D285" s="898" t="n">
        <x:v>37.48</x:v>
      </x:c>
      <x:c r="E285" s="898" t="n">
        <x:v>37.48</x:v>
      </x:c>
      <x:c r="F285" s="901" t="n">
        <x:v>611700</x:v>
      </x:c>
      <x:c r="G285" s="904" t="n">
        <x:v>1279.58</x:v>
      </x:c>
      <x:c r="H285" s="904" t="n">
        <x:v>1286.92</x:v>
      </x:c>
      <x:c r="I285" s="904" t="n">
        <x:v>1277.4</x:v>
      </x:c>
      <x:c r="J285" s="904" t="n">
        <x:v>1277.4</x:v>
      </x:c>
      <x:c r="K285" s="901" t="n">
        <x:v>515252000</x:v>
      </x:c>
      <x:c r="L285" s="907" t="str">
        <x:v>SRC-P404</x:v>
      </x:c>
      <x:c r="M285" s="907" t="str">
        <x:v>VNStock API actual</x:v>
      </x:c>
      <x:c r="N285" s="1032" t="n">
        <x:v>46229.241747685184</x:v>
      </x:c>
    </x:row>
    <x:row r="286">
      <x:c r="A286" s="895" t="n">
        <x:v>44811</x:v>
      </x:c>
      <x:c r="B286" s="898" t="n">
        <x:v>37.48</x:v>
      </x:c>
      <x:c r="C286" s="898" t="n">
        <x:v>37.48</x:v>
      </x:c>
      <x:c r="D286" s="898" t="n">
        <x:v>35.86</x:v>
      </x:c>
      <x:c r="E286" s="898" t="n">
        <x:v>35.9</x:v>
      </x:c>
      <x:c r="F286" s="901" t="n">
        <x:v>1838300</x:v>
      </x:c>
      <x:c r="G286" s="904" t="n">
        <x:v>1274.6</x:v>
      </x:c>
      <x:c r="H286" s="904" t="n">
        <x:v>1275.07</x:v>
      </x:c>
      <x:c r="I286" s="904" t="n">
        <x:v>1243.17</x:v>
      </x:c>
      <x:c r="J286" s="904" t="n">
        <x:v>1243.17</x:v>
      </x:c>
      <x:c r="K286" s="901" t="n">
        <x:v>753758800</x:v>
      </x:c>
      <x:c r="L286" s="907" t="str">
        <x:v>SRC-P404</x:v>
      </x:c>
      <x:c r="M286" s="907" t="str">
        <x:v>VNStock API actual</x:v>
      </x:c>
      <x:c r="N286" s="1032" t="n">
        <x:v>46229.241747685184</x:v>
      </x:c>
    </x:row>
    <x:row r="287">
      <x:c r="A287" s="895" t="n">
        <x:v>44812</x:v>
      </x:c>
      <x:c r="B287" s="898" t="n">
        <x:v>36.16</x:v>
      </x:c>
      <x:c r="C287" s="898" t="n">
        <x:v>36.27</x:v>
      </x:c>
      <x:c r="D287" s="898" t="n">
        <x:v>35.2</x:v>
      </x:c>
      <x:c r="E287" s="898" t="n">
        <x:v>35.42</x:v>
      </x:c>
      <x:c r="F287" s="901" t="n">
        <x:v>983800</x:v>
      </x:c>
      <x:c r="G287" s="904" t="n">
        <x:v>1251.06</x:v>
      </x:c>
      <x:c r="H287" s="904" t="n">
        <x:v>1251.36</x:v>
      </x:c>
      <x:c r="I287" s="904" t="n">
        <x:v>1234.6</x:v>
      </x:c>
      <x:c r="J287" s="904" t="n">
        <x:v>1234.6</x:v>
      </x:c>
      <x:c r="K287" s="901" t="n">
        <x:v>524895800</x:v>
      </x:c>
      <x:c r="L287" s="907" t="str">
        <x:v>SRC-P404</x:v>
      </x:c>
      <x:c r="M287" s="907" t="str">
        <x:v>VNStock API actual</x:v>
      </x:c>
      <x:c r="N287" s="1032" t="n">
        <x:v>46229.241747685184</x:v>
      </x:c>
    </x:row>
    <x:row r="288">
      <x:c r="A288" s="895" t="n">
        <x:v>44813</x:v>
      </x:c>
      <x:c r="B288" s="898" t="n">
        <x:v>35.9</x:v>
      </x:c>
      <x:c r="C288" s="898" t="n">
        <x:v>36.52</x:v>
      </x:c>
      <x:c r="D288" s="898" t="n">
        <x:v>35.45</x:v>
      </x:c>
      <x:c r="E288" s="898" t="n">
        <x:v>36.52</x:v>
      </x:c>
      <x:c r="F288" s="901" t="n">
        <x:v>726600</x:v>
      </x:c>
      <x:c r="G288" s="904" t="n">
        <x:v>1241.26</x:v>
      </x:c>
      <x:c r="H288" s="904" t="n">
        <x:v>1248.78</x:v>
      </x:c>
      <x:c r="I288" s="904" t="n">
        <x:v>1228.54</x:v>
      </x:c>
      <x:c r="J288" s="904" t="n">
        <x:v>1248.78</x:v>
      </x:c>
      <x:c r="K288" s="901" t="n">
        <x:v>513432800</x:v>
      </x:c>
      <x:c r="L288" s="907" t="str">
        <x:v>SRC-P404</x:v>
      </x:c>
      <x:c r="M288" s="907" t="str">
        <x:v>VNStock API actual</x:v>
      </x:c>
      <x:c r="N288" s="1032" t="n">
        <x:v>46229.241747685184</x:v>
      </x:c>
    </x:row>
    <x:row r="289">
      <x:c r="A289" s="895" t="n">
        <x:v>44816</x:v>
      </x:c>
      <x:c r="B289" s="898" t="n">
        <x:v>36.3</x:v>
      </x:c>
      <x:c r="C289" s="898" t="n">
        <x:v>36.52</x:v>
      </x:c>
      <x:c r="D289" s="898" t="n">
        <x:v>36.08</x:v>
      </x:c>
      <x:c r="E289" s="898" t="n">
        <x:v>36.27</x:v>
      </x:c>
      <x:c r="F289" s="901" t="n">
        <x:v>922869</x:v>
      </x:c>
      <x:c r="G289" s="904" t="n">
        <x:v>1255</x:v>
      </x:c>
      <x:c r="H289" s="904" t="n">
        <x:v>1257.8</x:v>
      </x:c>
      <x:c r="I289" s="904" t="n">
        <x:v>1248.97</x:v>
      </x:c>
      <x:c r="J289" s="904" t="n">
        <x:v>1249.62</x:v>
      </x:c>
      <x:c r="K289" s="901" t="n">
        <x:v>359054745</x:v>
      </x:c>
      <x:c r="L289" s="907" t="str">
        <x:v>SRC-P404</x:v>
      </x:c>
      <x:c r="M289" s="907" t="str">
        <x:v>VNStock API actual</x:v>
      </x:c>
      <x:c r="N289" s="1032" t="n">
        <x:v>46229.241747685184</x:v>
      </x:c>
    </x:row>
    <x:row r="290">
      <x:c r="A290" s="895" t="n">
        <x:v>44817</x:v>
      </x:c>
      <x:c r="B290" s="898" t="n">
        <x:v>36.16</x:v>
      </x:c>
      <x:c r="C290" s="898" t="n">
        <x:v>36.49</x:v>
      </x:c>
      <x:c r="D290" s="898" t="n">
        <x:v>36.16</x:v>
      </x:c>
      <x:c r="E290" s="898" t="n">
        <x:v>36.19</x:v>
      </x:c>
      <x:c r="F290" s="901" t="n">
        <x:v>409995</x:v>
      </x:c>
      <x:c r="G290" s="904" t="n">
        <x:v>1251.1</x:v>
      </x:c>
      <x:c r="H290" s="904" t="n">
        <x:v>1252.35</x:v>
      </x:c>
      <x:c r="I290" s="904" t="n">
        <x:v>1243.87</x:v>
      </x:c>
      <x:c r="J290" s="904" t="n">
        <x:v>1248.4</x:v>
      </x:c>
      <x:c r="K290" s="901" t="n">
        <x:v>379401200</x:v>
      </x:c>
      <x:c r="L290" s="907" t="str">
        <x:v>SRC-P404</x:v>
      </x:c>
      <x:c r="M290" s="907" t="str">
        <x:v>VNStock API actual</x:v>
      </x:c>
      <x:c r="N290" s="1032" t="n">
        <x:v>46229.241747685184</x:v>
      </x:c>
    </x:row>
    <x:row r="291">
      <x:c r="A291" s="895" t="n">
        <x:v>44818</x:v>
      </x:c>
      <x:c r="B291" s="898" t="n">
        <x:v>35.71</x:v>
      </x:c>
      <x:c r="C291" s="898" t="n">
        <x:v>36.75</x:v>
      </x:c>
      <x:c r="D291" s="898" t="n">
        <x:v>35.64</x:v>
      </x:c>
      <x:c r="E291" s="898" t="n">
        <x:v>36.67</x:v>
      </x:c>
      <x:c r="F291" s="901" t="n">
        <x:v>708365</x:v>
      </x:c>
      <x:c r="G291" s="904" t="n">
        <x:v>1229.76</x:v>
      </x:c>
      <x:c r="H291" s="904" t="n">
        <x:v>1242.17</x:v>
      </x:c>
      <x:c r="I291" s="904" t="n">
        <x:v>1228.51</x:v>
      </x:c>
      <x:c r="J291" s="904" t="n">
        <x:v>1240.77</x:v>
      </x:c>
      <x:c r="K291" s="901" t="n">
        <x:v>547541600</x:v>
      </x:c>
      <x:c r="L291" s="907" t="str">
        <x:v>SRC-P404</x:v>
      </x:c>
      <x:c r="M291" s="907" t="str">
        <x:v>VNStock API actual</x:v>
      </x:c>
      <x:c r="N291" s="1032" t="n">
        <x:v>46229.241747685184</x:v>
      </x:c>
    </x:row>
    <x:row r="292">
      <x:c r="A292" s="895" t="n">
        <x:v>44819</x:v>
      </x:c>
      <x:c r="B292" s="898" t="n">
        <x:v>36.89</x:v>
      </x:c>
      <x:c r="C292" s="898" t="n">
        <x:v>36.89</x:v>
      </x:c>
      <x:c r="D292" s="898" t="n">
        <x:v>36.56</x:v>
      </x:c>
      <x:c r="E292" s="898" t="n">
        <x:v>36.67</x:v>
      </x:c>
      <x:c r="F292" s="901" t="n">
        <x:v>624981</x:v>
      </x:c>
      <x:c r="G292" s="904" t="n">
        <x:v>1247.34</x:v>
      </x:c>
      <x:c r="H292" s="904" t="n">
        <x:v>1250.93</x:v>
      </x:c>
      <x:c r="I292" s="904" t="n">
        <x:v>1243.45</x:v>
      </x:c>
      <x:c r="J292" s="904" t="n">
        <x:v>1245.66</x:v>
      </x:c>
      <x:c r="K292" s="901" t="n">
        <x:v>364378200</x:v>
      </x:c>
      <x:c r="L292" s="907" t="str">
        <x:v>SRC-P404</x:v>
      </x:c>
      <x:c r="M292" s="907" t="str">
        <x:v>VNStock API actual</x:v>
      </x:c>
      <x:c r="N292" s="1032" t="n">
        <x:v>46229.241747685184</x:v>
      </x:c>
    </x:row>
    <x:row r="293">
      <x:c r="A293" s="895" t="n">
        <x:v>44820</x:v>
      </x:c>
      <x:c r="B293" s="898" t="n">
        <x:v>36.52</x:v>
      </x:c>
      <x:c r="C293" s="898" t="n">
        <x:v>36.52</x:v>
      </x:c>
      <x:c r="D293" s="898" t="n">
        <x:v>36.08</x:v>
      </x:c>
      <x:c r="E293" s="898" t="n">
        <x:v>36.16</x:v>
      </x:c>
      <x:c r="F293" s="901" t="n">
        <x:v>701360</x:v>
      </x:c>
      <x:c r="G293" s="904" t="n">
        <x:v>1243.38</x:v>
      </x:c>
      <x:c r="H293" s="904" t="n">
        <x:v>1246.17</x:v>
      </x:c>
      <x:c r="I293" s="904" t="n">
        <x:v>1230.37</x:v>
      </x:c>
      <x:c r="J293" s="904" t="n">
        <x:v>1234.03</x:v>
      </x:c>
      <x:c r="K293" s="901" t="n">
        <x:v>556878300</x:v>
      </x:c>
      <x:c r="L293" s="907" t="str">
        <x:v>SRC-P404</x:v>
      </x:c>
      <x:c r="M293" s="907" t="str">
        <x:v>VNStock API actual</x:v>
      </x:c>
      <x:c r="N293" s="1032" t="n">
        <x:v>46229.241747685184</x:v>
      </x:c>
    </x:row>
    <x:row r="294">
      <x:c r="A294" s="895" t="n">
        <x:v>44823</x:v>
      </x:c>
      <x:c r="B294" s="898" t="n">
        <x:v>36.05</x:v>
      </x:c>
      <x:c r="C294" s="898" t="n">
        <x:v>36.16</x:v>
      </x:c>
      <x:c r="D294" s="898" t="n">
        <x:v>34.53</x:v>
      </x:c>
      <x:c r="E294" s="898" t="n">
        <x:v>34.68</x:v>
      </x:c>
      <x:c r="F294" s="901" t="n">
        <x:v>1317485</x:v>
      </x:c>
      <x:c r="G294" s="904" t="n">
        <x:v>1231.45</x:v>
      </x:c>
      <x:c r="H294" s="904" t="n">
        <x:v>1233.46</x:v>
      </x:c>
      <x:c r="I294" s="904" t="n">
        <x:v>1202.07</x:v>
      </x:c>
      <x:c r="J294" s="904" t="n">
        <x:v>1205.43</x:v>
      </x:c>
      <x:c r="K294" s="901" t="n">
        <x:v>607678700</x:v>
      </x:c>
      <x:c r="L294" s="907" t="str">
        <x:v>SRC-P404</x:v>
      </x:c>
      <x:c r="M294" s="907" t="str">
        <x:v>VNStock API actual</x:v>
      </x:c>
      <x:c r="N294" s="1032" t="n">
        <x:v>46229.241747685184</x:v>
      </x:c>
    </x:row>
    <x:row r="295">
      <x:c r="A295" s="895" t="n">
        <x:v>44824</x:v>
      </x:c>
      <x:c r="B295" s="898" t="n">
        <x:v>35.23</x:v>
      </x:c>
      <x:c r="C295" s="898" t="n">
        <x:v>35.42</x:v>
      </x:c>
      <x:c r="D295" s="898" t="n">
        <x:v>34.72</x:v>
      </x:c>
      <x:c r="E295" s="898" t="n">
        <x:v>35.42</x:v>
      </x:c>
      <x:c r="F295" s="901" t="n">
        <x:v>697526</x:v>
      </x:c>
      <x:c r="G295" s="904" t="n">
        <x:v>1212.08</x:v>
      </x:c>
      <x:c r="H295" s="904" t="n">
        <x:v>1218.93</x:v>
      </x:c>
      <x:c r="I295" s="904" t="n">
        <x:v>1199.71</x:v>
      </x:c>
      <x:c r="J295" s="904" t="n">
        <x:v>1218.93</x:v>
      </x:c>
      <x:c r="K295" s="901" t="n">
        <x:v>392624700</x:v>
      </x:c>
      <x:c r="L295" s="907" t="str">
        <x:v>SRC-P404</x:v>
      </x:c>
      <x:c r="M295" s="907" t="str">
        <x:v>VNStock API actual</x:v>
      </x:c>
      <x:c r="N295" s="1032" t="n">
        <x:v>46229.241747685184</x:v>
      </x:c>
    </x:row>
    <x:row r="296">
      <x:c r="A296" s="895" t="n">
        <x:v>44825</x:v>
      </x:c>
      <x:c r="B296" s="898" t="n">
        <x:v>34.9</x:v>
      </x:c>
      <x:c r="C296" s="898" t="n">
        <x:v>35.57</x:v>
      </x:c>
      <x:c r="D296" s="898" t="n">
        <x:v>34.9</x:v>
      </x:c>
      <x:c r="E296" s="898" t="n">
        <x:v>35.38</x:v>
      </x:c>
      <x:c r="F296" s="901" t="n">
        <x:v>669915</x:v>
      </x:c>
      <x:c r="G296" s="904" t="n">
        <x:v>1213.47</x:v>
      </x:c>
      <x:c r="H296" s="904" t="n">
        <x:v>1217.28</x:v>
      </x:c>
      <x:c r="I296" s="904" t="n">
        <x:v>1204.68</x:v>
      </x:c>
      <x:c r="J296" s="904" t="n">
        <x:v>1210.55</x:v>
      </x:c>
      <x:c r="K296" s="901" t="n">
        <x:v>306355000</x:v>
      </x:c>
      <x:c r="L296" s="907" t="str">
        <x:v>SRC-P404</x:v>
      </x:c>
      <x:c r="M296" s="907" t="str">
        <x:v>VNStock API actual</x:v>
      </x:c>
      <x:c r="N296" s="1032" t="n">
        <x:v>46229.241747685184</x:v>
      </x:c>
    </x:row>
    <x:row r="297">
      <x:c r="A297" s="895" t="n">
        <x:v>44826</x:v>
      </x:c>
      <x:c r="B297" s="898" t="n">
        <x:v>35.05</x:v>
      </x:c>
      <x:c r="C297" s="898" t="n">
        <x:v>36.27</x:v>
      </x:c>
      <x:c r="D297" s="898" t="n">
        <x:v>35.05</x:v>
      </x:c>
      <x:c r="E297" s="898" t="n">
        <x:v>36.16</x:v>
      </x:c>
      <x:c r="F297" s="901" t="n">
        <x:v>513005</x:v>
      </x:c>
      <x:c r="G297" s="904" t="n">
        <x:v>1200.34</x:v>
      </x:c>
      <x:c r="H297" s="904" t="n">
        <x:v>1214.7</x:v>
      </x:c>
      <x:c r="I297" s="904" t="n">
        <x:v>1196.64</x:v>
      </x:c>
      <x:c r="J297" s="904" t="n">
        <x:v>1214.7</x:v>
      </x:c>
      <x:c r="K297" s="901" t="n">
        <x:v>413670100</x:v>
      </x:c>
      <x:c r="L297" s="907" t="str">
        <x:v>SRC-P404</x:v>
      </x:c>
      <x:c r="M297" s="907" t="str">
        <x:v>VNStock API actual</x:v>
      </x:c>
      <x:c r="N297" s="1032" t="n">
        <x:v>46229.241747685184</x:v>
      </x:c>
    </x:row>
    <x:row r="298">
      <x:c r="A298" s="895" t="n">
        <x:v>44827</x:v>
      </x:c>
      <x:c r="B298" s="898" t="n">
        <x:v>36.3</x:v>
      </x:c>
      <x:c r="C298" s="898" t="n">
        <x:v>36.52</x:v>
      </x:c>
      <x:c r="D298" s="898" t="n">
        <x:v>35.86</x:v>
      </x:c>
      <x:c r="E298" s="898" t="n">
        <x:v>35.93</x:v>
      </x:c>
      <x:c r="F298" s="901" t="n">
        <x:v>507282</x:v>
      </x:c>
      <x:c r="G298" s="904" t="n">
        <x:v>1212.61</x:v>
      </x:c>
      <x:c r="H298" s="904" t="n">
        <x:v>1216.59</x:v>
      </x:c>
      <x:c r="I298" s="904" t="n">
        <x:v>1201.45</x:v>
      </x:c>
      <x:c r="J298" s="904" t="n">
        <x:v>1203.28</x:v>
      </x:c>
      <x:c r="K298" s="901" t="n">
        <x:v>418744600</x:v>
      </x:c>
      <x:c r="L298" s="907" t="str">
        <x:v>SRC-P404</x:v>
      </x:c>
      <x:c r="M298" s="907" t="str">
        <x:v>VNStock API actual</x:v>
      </x:c>
      <x:c r="N298" s="1032" t="n">
        <x:v>46229.241747685184</x:v>
      </x:c>
    </x:row>
    <x:row r="299">
      <x:c r="A299" s="895" t="n">
        <x:v>44830</x:v>
      </x:c>
      <x:c r="B299" s="898" t="n">
        <x:v>35.45</x:v>
      </x:c>
      <x:c r="C299" s="898" t="n">
        <x:v>35.64</x:v>
      </x:c>
      <x:c r="D299" s="898" t="n">
        <x:v>34.53</x:v>
      </x:c>
      <x:c r="E299" s="898" t="n">
        <x:v>34.98</x:v>
      </x:c>
      <x:c r="F299" s="901" t="n">
        <x:v>753323</x:v>
      </x:c>
      <x:c r="G299" s="904" t="n">
        <x:v>1186.41</x:v>
      </x:c>
      <x:c r="H299" s="904" t="n">
        <x:v>1190.27</x:v>
      </x:c>
      <x:c r="I299" s="904" t="n">
        <x:v>1159.12</x:v>
      </x:c>
      <x:c r="J299" s="904" t="n">
        <x:v>1174.35</x:v>
      </x:c>
      <x:c r="K299" s="901" t="n">
        <x:v>671202400</x:v>
      </x:c>
      <x:c r="L299" s="907" t="str">
        <x:v>SRC-P404</x:v>
      </x:c>
      <x:c r="M299" s="907" t="str">
        <x:v>VNStock API actual</x:v>
      </x:c>
      <x:c r="N299" s="1032" t="n">
        <x:v>46229.241747685184</x:v>
      </x:c>
    </x:row>
    <x:row r="300">
      <x:c r="A300" s="895" t="n">
        <x:v>44831</x:v>
      </x:c>
      <x:c r="B300" s="898" t="n">
        <x:v>34.98</x:v>
      </x:c>
      <x:c r="C300" s="898" t="n">
        <x:v>35.27</x:v>
      </x:c>
      <x:c r="D300" s="898" t="n">
        <x:v>34.68</x:v>
      </x:c>
      <x:c r="E300" s="898" t="n">
        <x:v>34.98</x:v>
      </x:c>
      <x:c r="F300" s="901" t="n">
        <x:v>458491</x:v>
      </x:c>
      <x:c r="G300" s="904" t="n">
        <x:v>1177.51</x:v>
      </x:c>
      <x:c r="H300" s="904" t="n">
        <x:v>1180.75</x:v>
      </x:c>
      <x:c r="I300" s="904" t="n">
        <x:v>1166.44</x:v>
      </x:c>
      <x:c r="J300" s="904" t="n">
        <x:v>1166.54</x:v>
      </x:c>
      <x:c r="K300" s="901" t="n">
        <x:v>390888400</x:v>
      </x:c>
      <x:c r="L300" s="907" t="str">
        <x:v>SRC-P404</x:v>
      </x:c>
      <x:c r="M300" s="907" t="str">
        <x:v>VNStock API actual</x:v>
      </x:c>
      <x:c r="N300" s="1032" t="n">
        <x:v>46229.241747685184</x:v>
      </x:c>
    </x:row>
    <x:row r="301">
      <x:c r="A301" s="895" t="n">
        <x:v>44832</x:v>
      </x:c>
      <x:c r="B301" s="898" t="n">
        <x:v>34.98</x:v>
      </x:c>
      <x:c r="C301" s="898" t="n">
        <x:v>35.23</x:v>
      </x:c>
      <x:c r="D301" s="898" t="n">
        <x:v>34.09</x:v>
      </x:c>
      <x:c r="E301" s="898" t="n">
        <x:v>34.31</x:v>
      </x:c>
      <x:c r="F301" s="901" t="n">
        <x:v>695658</x:v>
      </x:c>
      <x:c r="G301" s="904" t="n">
        <x:v>1158.53</x:v>
      </x:c>
      <x:c r="H301" s="904" t="n">
        <x:v>1162.6</x:v>
      </x:c>
      <x:c r="I301" s="904" t="n">
        <x:v>1142.79</x:v>
      </x:c>
      <x:c r="J301" s="904" t="n">
        <x:v>1143.62</x:v>
      </x:c>
      <x:c r="K301" s="901" t="n">
        <x:v>475130574</x:v>
      </x:c>
      <x:c r="L301" s="907" t="str">
        <x:v>SRC-P404</x:v>
      </x:c>
      <x:c r="M301" s="907" t="str">
        <x:v>VNStock API actual</x:v>
      </x:c>
      <x:c r="N301" s="1032" t="n">
        <x:v>46229.241747685184</x:v>
      </x:c>
    </x:row>
    <x:row r="302">
      <x:c r="A302" s="895" t="n">
        <x:v>44833</x:v>
      </x:c>
      <x:c r="B302" s="898" t="n">
        <x:v>34.53</x:v>
      </x:c>
      <x:c r="C302" s="898" t="n">
        <x:v>35.23</x:v>
      </x:c>
      <x:c r="D302" s="898" t="n">
        <x:v>34.53</x:v>
      </x:c>
      <x:c r="E302" s="898" t="n">
        <x:v>34.94</x:v>
      </x:c>
      <x:c r="F302" s="901" t="n">
        <x:v>962192</x:v>
      </x:c>
      <x:c r="G302" s="904" t="n">
        <x:v>1157.09</x:v>
      </x:c>
      <x:c r="H302" s="904" t="n">
        <x:v>1159.49</x:v>
      </x:c>
      <x:c r="I302" s="904" t="n">
        <x:v>1126.07</x:v>
      </x:c>
      <x:c r="J302" s="904" t="n">
        <x:v>1126.07</x:v>
      </x:c>
      <x:c r="K302" s="901" t="n">
        <x:v>392743158</x:v>
      </x:c>
      <x:c r="L302" s="907" t="str">
        <x:v>SRC-P404</x:v>
      </x:c>
      <x:c r="M302" s="907" t="str">
        <x:v>VNStock API actual</x:v>
      </x:c>
      <x:c r="N302" s="1032" t="n">
        <x:v>46229.241747685184</x:v>
      </x:c>
    </x:row>
    <x:row r="303">
      <x:c r="A303" s="895" t="n">
        <x:v>44834</x:v>
      </x:c>
      <x:c r="B303" s="898" t="n">
        <x:v>34.79</x:v>
      </x:c>
      <x:c r="C303" s="898" t="n">
        <x:v>35.49</x:v>
      </x:c>
      <x:c r="D303" s="898" t="n">
        <x:v>34.75</x:v>
      </x:c>
      <x:c r="E303" s="898" t="n">
        <x:v>35.42</x:v>
      </x:c>
      <x:c r="F303" s="901" t="n">
        <x:v>1358221</x:v>
      </x:c>
      <x:c r="G303" s="904" t="n">
        <x:v>1115.2</x:v>
      </x:c>
      <x:c r="H303" s="904" t="n">
        <x:v>1135.47</x:v>
      </x:c>
      <x:c r="I303" s="904" t="n">
        <x:v>1099.44</x:v>
      </x:c>
      <x:c r="J303" s="904" t="n">
        <x:v>1132.11</x:v>
      </x:c>
      <x:c r="K303" s="901" t="n">
        <x:v>580988602</x:v>
      </x:c>
      <x:c r="L303" s="907" t="str">
        <x:v>SRC-P404</x:v>
      </x:c>
      <x:c r="M303" s="907" t="str">
        <x:v>VNStock API actual</x:v>
      </x:c>
      <x:c r="N303" s="1032" t="n">
        <x:v>46229.241747685184</x:v>
      </x:c>
    </x:row>
    <x:row r="304">
      <x:c r="A304" s="895" t="n">
        <x:v>44837</x:v>
      </x:c>
      <x:c r="B304" s="898" t="n">
        <x:v>35.42</x:v>
      </x:c>
      <x:c r="C304" s="898" t="n">
        <x:v>36.64</x:v>
      </x:c>
      <x:c r="D304" s="898" t="n">
        <x:v>34.61</x:v>
      </x:c>
      <x:c r="E304" s="898" t="n">
        <x:v>35.01</x:v>
      </x:c>
      <x:c r="F304" s="901" t="n">
        <x:v>1546259</x:v>
      </x:c>
      <x:c r="G304" s="904" t="n">
        <x:v>1124.46</x:v>
      </x:c>
      <x:c r="H304" s="904" t="n">
        <x:v>1126.46</x:v>
      </x:c>
      <x:c r="I304" s="904" t="n">
        <x:v>1079.86</x:v>
      </x:c>
      <x:c r="J304" s="904" t="n">
        <x:v>1086.44</x:v>
      </x:c>
      <x:c r="K304" s="901" t="n">
        <x:v>467842505</x:v>
      </x:c>
      <x:c r="L304" s="907" t="str">
        <x:v>SRC-P404</x:v>
      </x:c>
      <x:c r="M304" s="907" t="str">
        <x:v>VNStock API actual</x:v>
      </x:c>
      <x:c r="N304" s="1032" t="n">
        <x:v>46229.241747685184</x:v>
      </x:c>
    </x:row>
    <x:row r="305">
      <x:c r="A305" s="895" t="n">
        <x:v>44838</x:v>
      </x:c>
      <x:c r="B305" s="898" t="n">
        <x:v>35.79</x:v>
      </x:c>
      <x:c r="C305" s="898" t="n">
        <x:v>36.38</x:v>
      </x:c>
      <x:c r="D305" s="898" t="n">
        <x:v>34.83</x:v>
      </x:c>
      <x:c r="E305" s="898" t="n">
        <x:v>35.86</x:v>
      </x:c>
      <x:c r="F305" s="901" t="n">
        <x:v>1718596</x:v>
      </x:c>
      <x:c r="G305" s="904" t="n">
        <x:v>1095.73</x:v>
      </x:c>
      <x:c r="H305" s="904" t="n">
        <x:v>1100.42</x:v>
      </x:c>
      <x:c r="I305" s="904" t="n">
        <x:v>1069.74</x:v>
      </x:c>
      <x:c r="J305" s="904" t="n">
        <x:v>1078.14</x:v>
      </x:c>
      <x:c r="K305" s="901" t="n">
        <x:v>484847543</x:v>
      </x:c>
      <x:c r="L305" s="907" t="str">
        <x:v>SRC-P404</x:v>
      </x:c>
      <x:c r="M305" s="907" t="str">
        <x:v>VNStock API actual</x:v>
      </x:c>
      <x:c r="N305" s="1032" t="n">
        <x:v>46229.241747685184</x:v>
      </x:c>
    </x:row>
    <x:row r="306">
      <x:c r="A306" s="895" t="n">
        <x:v>44839</x:v>
      </x:c>
      <x:c r="B306" s="898" t="n">
        <x:v>36.56</x:v>
      </x:c>
      <x:c r="C306" s="898" t="n">
        <x:v>36.86</x:v>
      </x:c>
      <x:c r="D306" s="898" t="n">
        <x:v>36.12</x:v>
      </x:c>
      <x:c r="E306" s="898" t="n">
        <x:v>36.86</x:v>
      </x:c>
      <x:c r="F306" s="901" t="n">
        <x:v>1170609</x:v>
      </x:c>
      <x:c r="G306" s="904" t="n">
        <x:v>1092.08</x:v>
      </x:c>
      <x:c r="H306" s="904" t="n">
        <x:v>1110.21</x:v>
      </x:c>
      <x:c r="I306" s="904" t="n">
        <x:v>1092.08</x:v>
      </x:c>
      <x:c r="J306" s="904" t="n">
        <x:v>1104.26</x:v>
      </x:c>
      <x:c r="K306" s="901" t="n">
        <x:v>366497390</x:v>
      </x:c>
      <x:c r="L306" s="907" t="str">
        <x:v>SRC-P404</x:v>
      </x:c>
      <x:c r="M306" s="907" t="str">
        <x:v>VNStock API actual</x:v>
      </x:c>
      <x:c r="N306" s="1032" t="n">
        <x:v>46229.241747685184</x:v>
      </x:c>
    </x:row>
    <x:row r="307">
      <x:c r="A307" s="895" t="n">
        <x:v>44840</x:v>
      </x:c>
      <x:c r="B307" s="898" t="n">
        <x:v>37.04</x:v>
      </x:c>
      <x:c r="C307" s="898" t="n">
        <x:v>37.04</x:v>
      </x:c>
      <x:c r="D307" s="898" t="n">
        <x:v>34.68</x:v>
      </x:c>
      <x:c r="E307" s="898" t="n">
        <x:v>36.16</x:v>
      </x:c>
      <x:c r="F307" s="901" t="n">
        <x:v>1167169</x:v>
      </x:c>
      <x:c r="G307" s="904" t="n">
        <x:v>1105.31</x:v>
      </x:c>
      <x:c r="H307" s="904" t="n">
        <x:v>1106.97</x:v>
      </x:c>
      <x:c r="I307" s="904" t="n">
        <x:v>1072.57</x:v>
      </x:c>
      <x:c r="J307" s="904" t="n">
        <x:v>1074.52</x:v>
      </x:c>
      <x:c r="K307" s="901" t="n">
        <x:v>465644550</x:v>
      </x:c>
      <x:c r="L307" s="907" t="str">
        <x:v>SRC-P404</x:v>
      </x:c>
      <x:c r="M307" s="907" t="str">
        <x:v>VNStock API actual</x:v>
      </x:c>
      <x:c r="N307" s="1032" t="n">
        <x:v>46229.241747685184</x:v>
      </x:c>
    </x:row>
    <x:row r="308">
      <x:c r="A308" s="895" t="n">
        <x:v>44841</x:v>
      </x:c>
      <x:c r="B308" s="898" t="n">
        <x:v>35.55</x:v>
      </x:c>
      <x:c r="C308" s="898" t="n">
        <x:v>36.53</x:v>
      </x:c>
      <x:c r="D308" s="898" t="n">
        <x:v>34.64</x:v>
      </x:c>
      <x:c r="E308" s="898" t="n">
        <x:v>35.89</x:v>
      </x:c>
      <x:c r="F308" s="901" t="n">
        <x:v>1246260</x:v>
      </x:c>
      <x:c r="G308" s="904" t="n">
        <x:v>1061.93</x:v>
      </x:c>
      <x:c r="H308" s="904" t="n">
        <x:v>1062.23</x:v>
      </x:c>
      <x:c r="I308" s="904" t="n">
        <x:v>1022.38</x:v>
      </x:c>
      <x:c r="J308" s="904" t="n">
        <x:v>1035.91</x:v>
      </x:c>
      <x:c r="K308" s="901" t="n">
        <x:v>724043484</x:v>
      </x:c>
      <x:c r="L308" s="907" t="str">
        <x:v>SRC-P404</x:v>
      </x:c>
      <x:c r="M308" s="907" t="str">
        <x:v>VNStock API actual</x:v>
      </x:c>
      <x:c r="N308" s="1032" t="n">
        <x:v>46229.241747685184</x:v>
      </x:c>
    </x:row>
    <x:row r="309">
      <x:c r="A309" s="895" t="n">
        <x:v>44844</x:v>
      </x:c>
      <x:c r="B309" s="898" t="n">
        <x:v>35.48</x:v>
      </x:c>
      <x:c r="C309" s="898" t="n">
        <x:v>37.48</x:v>
      </x:c>
      <x:c r="D309" s="898" t="n">
        <x:v>35.02</x:v>
      </x:c>
      <x:c r="E309" s="898" t="n">
        <x:v>36.69</x:v>
      </x:c>
      <x:c r="F309" s="901" t="n">
        <x:v>1079398</x:v>
      </x:c>
      <x:c r="G309" s="904" t="n">
        <x:v>1019.67</x:v>
      </x:c>
      <x:c r="H309" s="904" t="n">
        <x:v>1051.02</x:v>
      </x:c>
      <x:c r="I309" s="904" t="n">
        <x:v>1012.94</x:v>
      </x:c>
      <x:c r="J309" s="904" t="n">
        <x:v>1042.48</x:v>
      </x:c>
      <x:c r="K309" s="901" t="n">
        <x:v>509726370</x:v>
      </x:c>
      <x:c r="L309" s="907" t="str">
        <x:v>SRC-P404</x:v>
      </x:c>
      <x:c r="M309" s="907" t="str">
        <x:v>VNStock API actual</x:v>
      </x:c>
      <x:c r="N309" s="1032" t="n">
        <x:v>46229.241747685184</x:v>
      </x:c>
    </x:row>
    <x:row r="310">
      <x:c r="A310" s="895" t="n">
        <x:v>44845</x:v>
      </x:c>
      <x:c r="B310" s="898" t="n">
        <x:v>36.69</x:v>
      </x:c>
      <x:c r="C310" s="898" t="n">
        <x:v>36.95</x:v>
      </x:c>
      <x:c r="D310" s="898" t="n">
        <x:v>35.55</x:v>
      </x:c>
      <x:c r="E310" s="898" t="n">
        <x:v>35.66</x:v>
      </x:c>
      <x:c r="F310" s="901" t="n">
        <x:v>777175</x:v>
      </x:c>
      <x:c r="G310" s="904" t="n">
        <x:v>1036.39</x:v>
      </x:c>
      <x:c r="H310" s="904" t="n">
        <x:v>1036.42</x:v>
      </x:c>
      <x:c r="I310" s="904" t="n">
        <x:v>998.64</x:v>
      </x:c>
      <x:c r="J310" s="904" t="n">
        <x:v>1006.2</x:v>
      </x:c>
      <x:c r="K310" s="901" t="n">
        <x:v>532383498</x:v>
      </x:c>
      <x:c r="L310" s="907" t="str">
        <x:v>SRC-P404</x:v>
      </x:c>
      <x:c r="M310" s="907" t="str">
        <x:v>VNStock API actual</x:v>
      </x:c>
      <x:c r="N310" s="1032" t="n">
        <x:v>46229.241747685184</x:v>
      </x:c>
    </x:row>
    <x:row r="311">
      <x:c r="A311" s="895" t="n">
        <x:v>44846</x:v>
      </x:c>
      <x:c r="B311" s="898" t="n">
        <x:v>35.66</x:v>
      </x:c>
      <x:c r="C311" s="898" t="n">
        <x:v>36.84</x:v>
      </x:c>
      <x:c r="D311" s="898" t="n">
        <x:v>35.66</x:v>
      </x:c>
      <x:c r="E311" s="898" t="n">
        <x:v>36.31</x:v>
      </x:c>
      <x:c r="F311" s="901" t="n">
        <x:v>564281</x:v>
      </x:c>
      <x:c r="G311" s="904" t="n">
        <x:v>1006.1</x:v>
      </x:c>
      <x:c r="H311" s="904" t="n">
        <x:v>1039.44</x:v>
      </x:c>
      <x:c r="I311" s="904" t="n">
        <x:v>1002.89</x:v>
      </x:c>
      <x:c r="J311" s="904" t="n">
        <x:v>1034.81</x:v>
      </x:c>
      <x:c r="K311" s="901" t="n">
        <x:v>503602751</x:v>
      </x:c>
      <x:c r="L311" s="907" t="str">
        <x:v>SRC-P404</x:v>
      </x:c>
      <x:c r="M311" s="907" t="str">
        <x:v>VNStock API actual</x:v>
      </x:c>
      <x:c r="N311" s="1032" t="n">
        <x:v>46229.241747685184</x:v>
      </x:c>
    </x:row>
    <x:row r="312">
      <x:c r="A312" s="895" t="n">
        <x:v>44847</x:v>
      </x:c>
      <x:c r="B312" s="898" t="n">
        <x:v>36.65</x:v>
      </x:c>
      <x:c r="C312" s="898" t="n">
        <x:v>36.69</x:v>
      </x:c>
      <x:c r="D312" s="898" t="n">
        <x:v>35.74</x:v>
      </x:c>
      <x:c r="E312" s="898" t="n">
        <x:v>36.61</x:v>
      </x:c>
      <x:c r="F312" s="901" t="n">
        <x:v>608322</x:v>
      </x:c>
      <x:c r="G312" s="904" t="n">
        <x:v>1035.33</x:v>
      </x:c>
      <x:c r="H312" s="904" t="n">
        <x:v>1050.99</x:v>
      </x:c>
      <x:c r="I312" s="904" t="n">
        <x:v>1025.04</x:v>
      </x:c>
      <x:c r="J312" s="904" t="n">
        <x:v>1050.99</x:v>
      </x:c>
      <x:c r="K312" s="901" t="n">
        <x:v>362426909</x:v>
      </x:c>
      <x:c r="L312" s="907" t="str">
        <x:v>SRC-P404</x:v>
      </x:c>
      <x:c r="M312" s="907" t="str">
        <x:v>VNStock API actual</x:v>
      </x:c>
      <x:c r="N312" s="1032" t="n">
        <x:v>46229.241747685184</x:v>
      </x:c>
    </x:row>
    <x:row r="313">
      <x:c r="A313" s="895" t="n">
        <x:v>44848</x:v>
      </x:c>
      <x:c r="B313" s="898" t="n">
        <x:v>36.69</x:v>
      </x:c>
      <x:c r="C313" s="898" t="n">
        <x:v>36.76</x:v>
      </x:c>
      <x:c r="D313" s="898" t="n">
        <x:v>35.93</x:v>
      </x:c>
      <x:c r="E313" s="898" t="n">
        <x:v>36.08</x:v>
      </x:c>
      <x:c r="F313" s="901" t="n">
        <x:v>691757</x:v>
      </x:c>
      <x:c r="G313" s="904" t="n">
        <x:v>1063.07</x:v>
      </x:c>
      <x:c r="H313" s="904" t="n">
        <x:v>1068.12</x:v>
      </x:c>
      <x:c r="I313" s="904" t="n">
        <x:v>1055.29</x:v>
      </x:c>
      <x:c r="J313" s="904" t="n">
        <x:v>1061.85</x:v>
      </x:c>
      <x:c r="K313" s="901" t="n">
        <x:v>466714307</x:v>
      </x:c>
      <x:c r="L313" s="907" t="str">
        <x:v>SRC-P404</x:v>
      </x:c>
      <x:c r="M313" s="907" t="str">
        <x:v>VNStock API actual</x:v>
      </x:c>
      <x:c r="N313" s="1032" t="n">
        <x:v>46229.241747685184</x:v>
      </x:c>
    </x:row>
    <x:row r="314">
      <x:c r="A314" s="895" t="n">
        <x:v>44851</x:v>
      </x:c>
      <x:c r="B314" s="898" t="n">
        <x:v>36.31</x:v>
      </x:c>
      <x:c r="C314" s="898" t="n">
        <x:v>36.31</x:v>
      </x:c>
      <x:c r="D314" s="898" t="n">
        <x:v>35.55</x:v>
      </x:c>
      <x:c r="E314" s="898" t="n">
        <x:v>36.16</x:v>
      </x:c>
      <x:c r="F314" s="901" t="n">
        <x:v>460678</x:v>
      </x:c>
      <x:c r="G314" s="904" t="n">
        <x:v>1053.46</x:v>
      </x:c>
      <x:c r="H314" s="904" t="n">
        <x:v>1054.05</x:v>
      </x:c>
      <x:c r="I314" s="904" t="n">
        <x:v>1033.59</x:v>
      </x:c>
      <x:c r="J314" s="904" t="n">
        <x:v>1051.58</x:v>
      </x:c>
      <x:c r="K314" s="901" t="n">
        <x:v>391417511</x:v>
      </x:c>
      <x:c r="L314" s="907" t="str">
        <x:v>SRC-P404</x:v>
      </x:c>
      <x:c r="M314" s="907" t="str">
        <x:v>VNStock API actual</x:v>
      </x:c>
      <x:c r="N314" s="1032" t="n">
        <x:v>46229.241747685184</x:v>
      </x:c>
    </x:row>
    <x:row r="315">
      <x:c r="A315" s="895" t="n">
        <x:v>44852</x:v>
      </x:c>
      <x:c r="B315" s="898" t="n">
        <x:v>36.35</x:v>
      </x:c>
      <x:c r="C315" s="898" t="n">
        <x:v>36.65</x:v>
      </x:c>
      <x:c r="D315" s="898" t="n">
        <x:v>36.08</x:v>
      </x:c>
      <x:c r="E315" s="898" t="n">
        <x:v>36.08</x:v>
      </x:c>
      <x:c r="F315" s="901" t="n">
        <x:v>758455</x:v>
      </x:c>
      <x:c r="G315" s="904" t="n">
        <x:v>1065.6</x:v>
      </x:c>
      <x:c r="H315" s="904" t="n">
        <x:v>1071.74</x:v>
      </x:c>
      <x:c r="I315" s="904" t="n">
        <x:v>1057.71</x:v>
      </x:c>
      <x:c r="J315" s="904" t="n">
        <x:v>1063.66</x:v>
      </x:c>
      <x:c r="K315" s="901" t="n">
        <x:v>435818990</x:v>
      </x:c>
      <x:c r="L315" s="907" t="str">
        <x:v>SRC-P404</x:v>
      </x:c>
      <x:c r="M315" s="907" t="str">
        <x:v>VNStock API actual</x:v>
      </x:c>
      <x:c r="N315" s="1032" t="n">
        <x:v>46229.241747685184</x:v>
      </x:c>
    </x:row>
    <x:row r="316">
      <x:c r="A316" s="895" t="n">
        <x:v>44853</x:v>
      </x:c>
      <x:c r="B316" s="898" t="n">
        <x:v>36.08</x:v>
      </x:c>
      <x:c r="C316" s="898" t="n">
        <x:v>36.69</x:v>
      </x:c>
      <x:c r="D316" s="898" t="n">
        <x:v>36.08</x:v>
      </x:c>
      <x:c r="E316" s="898" t="n">
        <x:v>36.61</x:v>
      </x:c>
      <x:c r="F316" s="901" t="n">
        <x:v>630799</x:v>
      </x:c>
      <x:c r="G316" s="904" t="n">
        <x:v>1065.08</x:v>
      </x:c>
      <x:c r="H316" s="904" t="n">
        <x:v>1065.99</x:v>
      </x:c>
      <x:c r="I316" s="904" t="n">
        <x:v>1052.29</x:v>
      </x:c>
      <x:c r="J316" s="904" t="n">
        <x:v>1060.07</x:v>
      </x:c>
      <x:c r="K316" s="901" t="n">
        <x:v>315804513</x:v>
      </x:c>
      <x:c r="L316" s="907" t="str">
        <x:v>SRC-P404</x:v>
      </x:c>
      <x:c r="M316" s="907" t="str">
        <x:v>VNStock API actual</x:v>
      </x:c>
      <x:c r="N316" s="1032" t="n">
        <x:v>46229.241747685184</x:v>
      </x:c>
    </x:row>
    <x:row r="317">
      <x:c r="A317" s="895" t="n">
        <x:v>44854</x:v>
      </x:c>
      <x:c r="B317" s="898" t="n">
        <x:v>36.61</x:v>
      </x:c>
      <x:c r="C317" s="898" t="n">
        <x:v>36.91</x:v>
      </x:c>
      <x:c r="D317" s="898" t="n">
        <x:v>36.46</x:v>
      </x:c>
      <x:c r="E317" s="898" t="n">
        <x:v>36.8</x:v>
      </x:c>
      <x:c r="F317" s="901" t="n">
        <x:v>579917</x:v>
      </x:c>
      <x:c r="G317" s="904" t="n">
        <x:v>1056.14</x:v>
      </x:c>
      <x:c r="H317" s="904" t="n">
        <x:v>1065.28</x:v>
      </x:c>
      <x:c r="I317" s="904" t="n">
        <x:v>1048.21</x:v>
      </x:c>
      <x:c r="J317" s="904" t="n">
        <x:v>1058.45</x:v>
      </x:c>
      <x:c r="K317" s="901" t="n">
        <x:v>330284750</x:v>
      </x:c>
      <x:c r="L317" s="907" t="str">
        <x:v>SRC-P404</x:v>
      </x:c>
      <x:c r="M317" s="907" t="str">
        <x:v>VNStock API actual</x:v>
      </x:c>
      <x:c r="N317" s="1032" t="n">
        <x:v>46229.241747685184</x:v>
      </x:c>
    </x:row>
    <x:row r="318">
      <x:c r="A318" s="895" t="n">
        <x:v>44855</x:v>
      </x:c>
      <x:c r="B318" s="898" t="n">
        <x:v>36.8</x:v>
      </x:c>
      <x:c r="C318" s="898" t="n">
        <x:v>36.8</x:v>
      </x:c>
      <x:c r="D318" s="898" t="n">
        <x:v>34.23</x:v>
      </x:c>
      <x:c r="E318" s="898" t="n">
        <x:v>34.79</x:v>
      </x:c>
      <x:c r="F318" s="901" t="n">
        <x:v>1373130</x:v>
      </x:c>
      <x:c r="G318" s="904" t="n">
        <x:v>1059.03</x:v>
      </x:c>
      <x:c r="H318" s="904" t="n">
        <x:v>1059.03</x:v>
      </x:c>
      <x:c r="I318" s="904" t="n">
        <x:v>1013.69</x:v>
      </x:c>
      <x:c r="J318" s="904" t="n">
        <x:v>1019.82</x:v>
      </x:c>
      <x:c r="K318" s="901" t="n">
        <x:v>593037630</x:v>
      </x:c>
      <x:c r="L318" s="907" t="str">
        <x:v>SRC-P404</x:v>
      </x:c>
      <x:c r="M318" s="907" t="str">
        <x:v>VNStock API actual</x:v>
      </x:c>
      <x:c r="N318" s="1032" t="n">
        <x:v>46229.241747685184</x:v>
      </x:c>
    </x:row>
    <x:row r="319">
      <x:c r="A319" s="895" t="n">
        <x:v>44858</x:v>
      </x:c>
      <x:c r="B319" s="898" t="n">
        <x:v>35.1</x:v>
      </x:c>
      <x:c r="C319" s="898" t="n">
        <x:v>35.1</x:v>
      </x:c>
      <x:c r="D319" s="898" t="n">
        <x:v>32.37</x:v>
      </x:c>
      <x:c r="E319" s="898" t="n">
        <x:v>32.37</x:v>
      </x:c>
      <x:c r="F319" s="901" t="n">
        <x:v>953091</x:v>
      </x:c>
      <x:c r="G319" s="904" t="n">
        <x:v>1021.25</x:v>
      </x:c>
      <x:c r="H319" s="904" t="n">
        <x:v>1023.51</x:v>
      </x:c>
      <x:c r="I319" s="904" t="n">
        <x:v>977.41</x:v>
      </x:c>
      <x:c r="J319" s="904" t="n">
        <x:v>986.15</x:v>
      </x:c>
      <x:c r="K319" s="901" t="n">
        <x:v>502992511</x:v>
      </x:c>
      <x:c r="L319" s="907" t="str">
        <x:v>SRC-P404</x:v>
      </x:c>
      <x:c r="M319" s="907" t="str">
        <x:v>VNStock API actual</x:v>
      </x:c>
      <x:c r="N319" s="1032" t="n">
        <x:v>46229.241747685184</x:v>
      </x:c>
    </x:row>
    <x:row r="320">
      <x:c r="A320" s="895" t="n">
        <x:v>44859</x:v>
      </x:c>
      <x:c r="B320" s="898" t="n">
        <x:v>32.49</x:v>
      </x:c>
      <x:c r="C320" s="898" t="n">
        <x:v>32.6</x:v>
      </x:c>
      <x:c r="D320" s="898" t="n">
        <x:v>30.14</x:v>
      </x:c>
      <x:c r="E320" s="898" t="n">
        <x:v>32.22</x:v>
      </x:c>
      <x:c r="F320" s="901" t="n">
        <x:v>1769012</x:v>
      </x:c>
      <x:c r="G320" s="904" t="n">
        <x:v>980.47</x:v>
      </x:c>
      <x:c r="H320" s="904" t="n">
        <x:v>1011.39</x:v>
      </x:c>
      <x:c r="I320" s="904" t="n">
        <x:v>962.45</x:v>
      </x:c>
      <x:c r="J320" s="904" t="n">
        <x:v>997.7</x:v>
      </x:c>
      <x:c r="K320" s="901" t="n">
        <x:v>631312849</x:v>
      </x:c>
      <x:c r="L320" s="907" t="str">
        <x:v>SRC-P404</x:v>
      </x:c>
      <x:c r="M320" s="907" t="str">
        <x:v>VNStock API actual</x:v>
      </x:c>
      <x:c r="N320" s="1032" t="n">
        <x:v>46229.241747685184</x:v>
      </x:c>
    </x:row>
    <x:row r="321">
      <x:c r="A321" s="895" t="n">
        <x:v>44860</x:v>
      </x:c>
      <x:c r="B321" s="898" t="n">
        <x:v>32.15</x:v>
      </x:c>
      <x:c r="C321" s="898" t="n">
        <x:v>32.79</x:v>
      </x:c>
      <x:c r="D321" s="898" t="n">
        <x:v>32.15</x:v>
      </x:c>
      <x:c r="E321" s="898" t="n">
        <x:v>32.53</x:v>
      </x:c>
      <x:c r="F321" s="901" t="n">
        <x:v>970784</x:v>
      </x:c>
      <x:c r="G321" s="904" t="n">
        <x:v>1000.71</x:v>
      </x:c>
      <x:c r="H321" s="904" t="n">
        <x:v>1004.55</x:v>
      </x:c>
      <x:c r="I321" s="904" t="n">
        <x:v>984.71</x:v>
      </x:c>
      <x:c r="J321" s="904" t="n">
        <x:v>993.36</x:v>
      </x:c>
      <x:c r="K321" s="901" t="n">
        <x:v>327124544</x:v>
      </x:c>
      <x:c r="L321" s="907" t="str">
        <x:v>SRC-P404</x:v>
      </x:c>
      <x:c r="M321" s="907" t="str">
        <x:v>VNStock API actual</x:v>
      </x:c>
      <x:c r="N321" s="1032" t="n">
        <x:v>46229.241747685184</x:v>
      </x:c>
    </x:row>
    <x:row r="322">
      <x:c r="A322" s="895" t="n">
        <x:v>44861</x:v>
      </x:c>
      <x:c r="B322" s="898" t="n">
        <x:v>32.34</x:v>
      </x:c>
      <x:c r="C322" s="898" t="n">
        <x:v>34.72</x:v>
      </x:c>
      <x:c r="D322" s="898" t="n">
        <x:v>32.15</x:v>
      </x:c>
      <x:c r="E322" s="898" t="n">
        <x:v>34.72</x:v>
      </x:c>
      <x:c r="F322" s="901" t="n">
        <x:v>518886</x:v>
      </x:c>
      <x:c r="G322" s="904" t="n">
        <x:v>994.82</x:v>
      </x:c>
      <x:c r="H322" s="904" t="n">
        <x:v>1028.01</x:v>
      </x:c>
      <x:c r="I322" s="904" t="n">
        <x:v>990.48</x:v>
      </x:c>
      <x:c r="J322" s="904" t="n">
        <x:v>1028.01</x:v>
      </x:c>
      <x:c r="K322" s="901" t="n">
        <x:v>525571421</x:v>
      </x:c>
      <x:c r="L322" s="907" t="str">
        <x:v>SRC-P404</x:v>
      </x:c>
      <x:c r="M322" s="907" t="str">
        <x:v>VNStock API actual</x:v>
      </x:c>
      <x:c r="N322" s="1032" t="n">
        <x:v>46229.241747685184</x:v>
      </x:c>
    </x:row>
    <x:row r="323">
      <x:c r="A323" s="895" t="n">
        <x:v>44862</x:v>
      </x:c>
      <x:c r="B323" s="898" t="n">
        <x:v>34.72</x:v>
      </x:c>
      <x:c r="C323" s="898" t="n">
        <x:v>35.17</x:v>
      </x:c>
      <x:c r="D323" s="898" t="n">
        <x:v>34.57</x:v>
      </x:c>
      <x:c r="E323" s="898" t="n">
        <x:v>35.1</x:v>
      </x:c>
      <x:c r="F323" s="901" t="n">
        <x:v>743046</x:v>
      </x:c>
      <x:c r="G323" s="904" t="n">
        <x:v>1036.27</x:v>
      </x:c>
      <x:c r="H323" s="904" t="n">
        <x:v>1044.57</x:v>
      </x:c>
      <x:c r="I323" s="904" t="n">
        <x:v>1026.53</x:v>
      </x:c>
      <x:c r="J323" s="904" t="n">
        <x:v>1027.36</x:v>
      </x:c>
      <x:c r="K323" s="901" t="n">
        <x:v>471075420</x:v>
      </x:c>
      <x:c r="L323" s="907" t="str">
        <x:v>SRC-P404</x:v>
      </x:c>
      <x:c r="M323" s="907" t="str">
        <x:v>VNStock API actual</x:v>
      </x:c>
      <x:c r="N323" s="1032" t="n">
        <x:v>46229.241747685184</x:v>
      </x:c>
    </x:row>
    <x:row r="324">
      <x:c r="A324" s="895" t="n">
        <x:v>44865</x:v>
      </x:c>
      <x:c r="B324" s="898" t="n">
        <x:v>34.27</x:v>
      </x:c>
      <x:c r="C324" s="898" t="n">
        <x:v>35.32</x:v>
      </x:c>
      <x:c r="D324" s="898" t="n">
        <x:v>34.27</x:v>
      </x:c>
      <x:c r="E324" s="898" t="n">
        <x:v>34.76</x:v>
      </x:c>
      <x:c r="F324" s="901" t="n">
        <x:v>328943</x:v>
      </x:c>
      <x:c r="G324" s="904" t="n">
        <x:v>1028.24</x:v>
      </x:c>
      <x:c r="H324" s="904" t="n">
        <x:v>1030.32</x:v>
      </x:c>
      <x:c r="I324" s="904" t="n">
        <x:v>1005</x:v>
      </x:c>
      <x:c r="J324" s="904" t="n">
        <x:v>1027.94</x:v>
      </x:c>
      <x:c r="K324" s="901" t="n">
        <x:v>540146599</x:v>
      </x:c>
      <x:c r="L324" s="907" t="str">
        <x:v>SRC-P404</x:v>
      </x:c>
      <x:c r="M324" s="907" t="str">
        <x:v>VNStock API actual</x:v>
      </x:c>
      <x:c r="N324" s="1032" t="n">
        <x:v>46229.241747685184</x:v>
      </x:c>
    </x:row>
    <x:row r="325">
      <x:c r="A325" s="895" t="n">
        <x:v>44866</x:v>
      </x:c>
      <x:c r="B325" s="898" t="n">
        <x:v>34.98</x:v>
      </x:c>
      <x:c r="C325" s="898" t="n">
        <x:v>35.17</x:v>
      </x:c>
      <x:c r="D325" s="898" t="n">
        <x:v>34.91</x:v>
      </x:c>
      <x:c r="E325" s="898" t="n">
        <x:v>34.98</x:v>
      </x:c>
      <x:c r="F325" s="901" t="n">
        <x:v>316022</x:v>
      </x:c>
      <x:c r="G325" s="904" t="n">
        <x:v>1034.77</x:v>
      </x:c>
      <x:c r="H325" s="904" t="n">
        <x:v>1043.53</x:v>
      </x:c>
      <x:c r="I325" s="904" t="n">
        <x:v>1027.39</x:v>
      </x:c>
      <x:c r="J325" s="904" t="n">
        <x:v>1033.75</x:v>
      </x:c>
      <x:c r="K325" s="901" t="n">
        <x:v>529853499</x:v>
      </x:c>
      <x:c r="L325" s="907" t="str">
        <x:v>SRC-P404</x:v>
      </x:c>
      <x:c r="M325" s="907" t="str">
        <x:v>VNStock API actual</x:v>
      </x:c>
      <x:c r="N325" s="1032" t="n">
        <x:v>46229.241747685184</x:v>
      </x:c>
    </x:row>
    <x:row r="326">
      <x:c r="A326" s="895" t="n">
        <x:v>44867</x:v>
      </x:c>
      <x:c r="B326" s="898" t="n">
        <x:v>35.02</x:v>
      </x:c>
      <x:c r="C326" s="898" t="n">
        <x:v>35.02</x:v>
      </x:c>
      <x:c r="D326" s="898" t="n">
        <x:v>34.61</x:v>
      </x:c>
      <x:c r="E326" s="898" t="n">
        <x:v>34.61</x:v>
      </x:c>
      <x:c r="F326" s="901" t="n">
        <x:v>538452</x:v>
      </x:c>
      <x:c r="G326" s="904" t="n">
        <x:v>1033.51</x:v>
      </x:c>
      <x:c r="H326" s="904" t="n">
        <x:v>1034.73</x:v>
      </x:c>
      <x:c r="I326" s="904" t="n">
        <x:v>1018.64</x:v>
      </x:c>
      <x:c r="J326" s="904" t="n">
        <x:v>1023.19</x:v>
      </x:c>
      <x:c r="K326" s="901" t="n">
        <x:v>440707791</x:v>
      </x:c>
      <x:c r="L326" s="907" t="str">
        <x:v>SRC-P404</x:v>
      </x:c>
      <x:c r="M326" s="907" t="str">
        <x:v>VNStock API actual</x:v>
      </x:c>
      <x:c r="N326" s="1032" t="n">
        <x:v>46229.241747685184</x:v>
      </x:c>
    </x:row>
    <x:row r="327">
      <x:c r="A327" s="895" t="n">
        <x:v>44868</x:v>
      </x:c>
      <x:c r="B327" s="898" t="n">
        <x:v>34.49</x:v>
      </x:c>
      <x:c r="C327" s="898" t="n">
        <x:v>35.78</x:v>
      </x:c>
      <x:c r="D327" s="898" t="n">
        <x:v>34.27</x:v>
      </x:c>
      <x:c r="E327" s="898" t="n">
        <x:v>35.78</x:v>
      </x:c>
      <x:c r="F327" s="901" t="n">
        <x:v>488729</x:v>
      </x:c>
      <x:c r="G327" s="904" t="n">
        <x:v>1011.41</x:v>
      </x:c>
      <x:c r="H327" s="904" t="n">
        <x:v>1023.95</x:v>
      </x:c>
      <x:c r="I327" s="904" t="n">
        <x:v>1010.65</x:v>
      </x:c>
      <x:c r="J327" s="904" t="n">
        <x:v>1019.81</x:v>
      </x:c>
      <x:c r="K327" s="901" t="n">
        <x:v>374895655</x:v>
      </x:c>
      <x:c r="L327" s="907" t="str">
        <x:v>SRC-P404</x:v>
      </x:c>
      <x:c r="M327" s="907" t="str">
        <x:v>VNStock API actual</x:v>
      </x:c>
      <x:c r="N327" s="1032" t="n">
        <x:v>46229.241747685184</x:v>
      </x:c>
    </x:row>
    <x:row r="328">
      <x:c r="A328" s="895" t="n">
        <x:v>44869</x:v>
      </x:c>
      <x:c r="B328" s="898" t="n">
        <x:v>34.91</x:v>
      </x:c>
      <x:c r="C328" s="898" t="n">
        <x:v>36.84</x:v>
      </x:c>
      <x:c r="D328" s="898" t="n">
        <x:v>33.66</x:v>
      </x:c>
      <x:c r="E328" s="898" t="n">
        <x:v>36.84</x:v>
      </x:c>
      <x:c r="F328" s="901" t="n">
        <x:v>2451510</x:v>
      </x:c>
      <x:c r="G328" s="904" t="n">
        <x:v>1008.23</x:v>
      </x:c>
      <x:c r="H328" s="904" t="n">
        <x:v>1009.96</x:v>
      </x:c>
      <x:c r="I328" s="904" t="n">
        <x:v>974.61</x:v>
      </x:c>
      <x:c r="J328" s="904" t="n">
        <x:v>997.15</x:v>
      </x:c>
      <x:c r="K328" s="901" t="n">
        <x:v>636169416</x:v>
      </x:c>
      <x:c r="L328" s="907" t="str">
        <x:v>SRC-P404</x:v>
      </x:c>
      <x:c r="M328" s="907" t="str">
        <x:v>VNStock API actual</x:v>
      </x:c>
      <x:c r="N328" s="1032" t="n">
        <x:v>46229.241747685184</x:v>
      </x:c>
    </x:row>
    <x:row r="329">
      <x:c r="A329" s="895" t="n">
        <x:v>44872</x:v>
      </x:c>
      <x:c r="B329" s="898" t="n">
        <x:v>36.01</x:v>
      </x:c>
      <x:c r="C329" s="898" t="n">
        <x:v>36.27</x:v>
      </x:c>
      <x:c r="D329" s="898" t="n">
        <x:v>35.7</x:v>
      </x:c>
      <x:c r="E329" s="898" t="n">
        <x:v>36.23</x:v>
      </x:c>
      <x:c r="F329" s="901" t="n">
        <x:v>894046</x:v>
      </x:c>
      <x:c r="G329" s="904" t="n">
        <x:v>989.74</x:v>
      </x:c>
      <x:c r="H329" s="904" t="n">
        <x:v>996.18</x:v>
      </x:c>
      <x:c r="I329" s="904" t="n">
        <x:v>969.61</x:v>
      </x:c>
      <x:c r="J329" s="904" t="n">
        <x:v>975.19</x:v>
      </x:c>
      <x:c r="K329" s="901" t="n">
        <x:v>490290336</x:v>
      </x:c>
      <x:c r="L329" s="907" t="str">
        <x:v>SRC-P404</x:v>
      </x:c>
      <x:c r="M329" s="907" t="str">
        <x:v>VNStock API actual</x:v>
      </x:c>
      <x:c r="N329" s="1032" t="n">
        <x:v>46229.241747685184</x:v>
      </x:c>
    </x:row>
    <x:row r="330">
      <x:c r="A330" s="895" t="n">
        <x:v>44873</x:v>
      </x:c>
      <x:c r="B330" s="898" t="n">
        <x:v>35.93</x:v>
      </x:c>
      <x:c r="C330" s="898" t="n">
        <x:v>36.46</x:v>
      </x:c>
      <x:c r="D330" s="898" t="n">
        <x:v>35.25</x:v>
      </x:c>
      <x:c r="E330" s="898" t="n">
        <x:v>35.25</x:v>
      </x:c>
      <x:c r="F330" s="901" t="n">
        <x:v>595268</x:v>
      </x:c>
      <x:c r="G330" s="904" t="n">
        <x:v>960.93</x:v>
      </x:c>
      <x:c r="H330" s="904" t="n">
        <x:v>981.86</x:v>
      </x:c>
      <x:c r="I330" s="904" t="n">
        <x:v>956.97</x:v>
      </x:c>
      <x:c r="J330" s="904" t="n">
        <x:v>981.65</x:v>
      </x:c>
      <x:c r="K330" s="901" t="n">
        <x:v>491662593</x:v>
      </x:c>
      <x:c r="L330" s="907" t="str">
        <x:v>SRC-P404</x:v>
      </x:c>
      <x:c r="M330" s="907" t="str">
        <x:v>VNStock API actual</x:v>
      </x:c>
      <x:c r="N330" s="1032" t="n">
        <x:v>46229.241747685184</x:v>
      </x:c>
    </x:row>
    <x:row r="331">
      <x:c r="A331" s="895" t="n">
        <x:v>44874</x:v>
      </x:c>
      <x:c r="B331" s="898" t="n">
        <x:v>34.95</x:v>
      </x:c>
      <x:c r="C331" s="898" t="n">
        <x:v>36.23</x:v>
      </x:c>
      <x:c r="D331" s="898" t="n">
        <x:v>34.27</x:v>
      </x:c>
      <x:c r="E331" s="898" t="n">
        <x:v>34.42</x:v>
      </x:c>
      <x:c r="F331" s="901" t="n">
        <x:v>320531</x:v>
      </x:c>
      <x:c r="G331" s="904" t="n">
        <x:v>983.62</x:v>
      </x:c>
      <x:c r="H331" s="904" t="n">
        <x:v>994.79</x:v>
      </x:c>
      <x:c r="I331" s="904" t="n">
        <x:v>977.93</x:v>
      </x:c>
      <x:c r="J331" s="904" t="n">
        <x:v>985.59</x:v>
      </x:c>
      <x:c r="K331" s="901" t="n">
        <x:v>442045429</x:v>
      </x:c>
      <x:c r="L331" s="907" t="str">
        <x:v>SRC-P404</x:v>
      </x:c>
      <x:c r="M331" s="907" t="str">
        <x:v>VNStock API actual</x:v>
      </x:c>
      <x:c r="N331" s="1032" t="n">
        <x:v>46229.241747685184</x:v>
      </x:c>
    </x:row>
    <x:row r="332">
      <x:c r="A332" s="895" t="n">
        <x:v>44875</x:v>
      </x:c>
      <x:c r="B332" s="898" t="n">
        <x:v>34.42</x:v>
      </x:c>
      <x:c r="C332" s="898" t="n">
        <x:v>34.49</x:v>
      </x:c>
      <x:c r="D332" s="898" t="n">
        <x:v>32.15</x:v>
      </x:c>
      <x:c r="E332" s="898" t="n">
        <x:v>33.17</x:v>
      </x:c>
      <x:c r="F332" s="901" t="n">
        <x:v>712807</x:v>
      </x:c>
      <x:c r="G332" s="904" t="n">
        <x:v>974.76</x:v>
      </x:c>
      <x:c r="H332" s="904" t="n">
        <x:v>976.31</x:v>
      </x:c>
      <x:c r="I332" s="904" t="n">
        <x:v>935.78</x:v>
      </x:c>
      <x:c r="J332" s="904" t="n">
        <x:v>947.24</x:v>
      </x:c>
      <x:c r="K332" s="901" t="n">
        <x:v>589632905</x:v>
      </x:c>
      <x:c r="L332" s="907" t="str">
        <x:v>SRC-P404</x:v>
      </x:c>
      <x:c r="M332" s="907" t="str">
        <x:v>VNStock API actual</x:v>
      </x:c>
      <x:c r="N332" s="1032" t="n">
        <x:v>46229.241747685184</x:v>
      </x:c>
    </x:row>
    <x:row r="333">
      <x:c r="A333" s="895" t="n">
        <x:v>44876</x:v>
      </x:c>
      <x:c r="B333" s="898" t="n">
        <x:v>33.24</x:v>
      </x:c>
      <x:c r="C333" s="898" t="n">
        <x:v>34.27</x:v>
      </x:c>
      <x:c r="D333" s="898" t="n">
        <x:v>33.17</x:v>
      </x:c>
      <x:c r="E333" s="898" t="n">
        <x:v>33.51</x:v>
      </x:c>
      <x:c r="F333" s="901" t="n">
        <x:v>1102561</x:v>
      </x:c>
      <x:c r="G333" s="904" t="n">
        <x:v>954.95</x:v>
      </x:c>
      <x:c r="H333" s="904" t="n">
        <x:v>966.7</x:v>
      </x:c>
      <x:c r="I333" s="904" t="n">
        <x:v>949.49</x:v>
      </x:c>
      <x:c r="J333" s="904" t="n">
        <x:v>954.53</x:v>
      </x:c>
      <x:c r="K333" s="901" t="n">
        <x:v>610519072</x:v>
      </x:c>
      <x:c r="L333" s="907" t="str">
        <x:v>SRC-P404</x:v>
      </x:c>
      <x:c r="M333" s="907" t="str">
        <x:v>VNStock API actual</x:v>
      </x:c>
      <x:c r="N333" s="1032" t="n">
        <x:v>46229.241747685184</x:v>
      </x:c>
    </x:row>
    <x:row r="334">
      <x:c r="A334" s="895" t="n">
        <x:v>44879</x:v>
      </x:c>
      <x:c r="B334" s="898" t="n">
        <x:v>33.77</x:v>
      </x:c>
      <x:c r="C334" s="898" t="n">
        <x:v>33.81</x:v>
      </x:c>
      <x:c r="D334" s="898" t="n">
        <x:v>31.77</x:v>
      </x:c>
      <x:c r="E334" s="898" t="n">
        <x:v>31.77</x:v>
      </x:c>
      <x:c r="F334" s="901" t="n">
        <x:v>999201</x:v>
      </x:c>
      <x:c r="G334" s="904" t="n">
        <x:v>939.94</x:v>
      </x:c>
      <x:c r="H334" s="904" t="n">
        <x:v>945.29</x:v>
      </x:c>
      <x:c r="I334" s="904" t="n">
        <x:v>923.53</x:v>
      </x:c>
      <x:c r="J334" s="904" t="n">
        <x:v>941.04</x:v>
      </x:c>
      <x:c r="K334" s="901" t="n">
        <x:v>556442961</x:v>
      </x:c>
      <x:c r="L334" s="907" t="str">
        <x:v>SRC-P404</x:v>
      </x:c>
      <x:c r="M334" s="907" t="str">
        <x:v>VNStock API actual</x:v>
      </x:c>
      <x:c r="N334" s="1032" t="n">
        <x:v>46229.241747685184</x:v>
      </x:c>
    </x:row>
    <x:row r="335">
      <x:c r="A335" s="895" t="n">
        <x:v>44880</x:v>
      </x:c>
      <x:c r="B335" s="898" t="n">
        <x:v>29.88</x:v>
      </x:c>
      <x:c r="C335" s="898" t="n">
        <x:v>31.77</x:v>
      </x:c>
      <x:c r="D335" s="898" t="n">
        <x:v>29.58</x:v>
      </x:c>
      <x:c r="E335" s="898" t="n">
        <x:v>29.58</x:v>
      </x:c>
      <x:c r="F335" s="901" t="n">
        <x:v>874780</x:v>
      </x:c>
      <x:c r="G335" s="904" t="n">
        <x:v>926.08</x:v>
      </x:c>
      <x:c r="H335" s="904" t="n">
        <x:v>929.06</x:v>
      </x:c>
      <x:c r="I335" s="904" t="n">
        <x:v>900.17</x:v>
      </x:c>
      <x:c r="J335" s="904" t="n">
        <x:v>911.9</x:v>
      </x:c>
      <x:c r="K335" s="901" t="n">
        <x:v>534263131</x:v>
      </x:c>
      <x:c r="L335" s="907" t="str">
        <x:v>SRC-P404</x:v>
      </x:c>
      <x:c r="M335" s="907" t="str">
        <x:v>VNStock API actual</x:v>
      </x:c>
      <x:c r="N335" s="1032" t="n">
        <x:v>46229.241747685184</x:v>
      </x:c>
    </x:row>
    <x:row r="336">
      <x:c r="A336" s="895" t="n">
        <x:v>44881</x:v>
      </x:c>
      <x:c r="B336" s="898" t="n">
        <x:v>27.99</x:v>
      </x:c>
      <x:c r="C336" s="898" t="n">
        <x:v>31.39</x:v>
      </x:c>
      <x:c r="D336" s="898" t="n">
        <x:v>27.53</x:v>
      </x:c>
      <x:c r="E336" s="898" t="n">
        <x:v>31.39</x:v>
      </x:c>
      <x:c r="F336" s="901" t="n">
        <x:v>1578987</x:v>
      </x:c>
      <x:c r="G336" s="904" t="n">
        <x:v>876</x:v>
      </x:c>
      <x:c r="H336" s="904" t="n">
        <x:v>945.42</x:v>
      </x:c>
      <x:c r="I336" s="904" t="n">
        <x:v>873.78</x:v>
      </x:c>
      <x:c r="J336" s="904" t="n">
        <x:v>942.9</x:v>
      </x:c>
      <x:c r="K336" s="901" t="n">
        <x:v>881883690</x:v>
      </x:c>
      <x:c r="L336" s="907" t="str">
        <x:v>SRC-P404</x:v>
      </x:c>
      <x:c r="M336" s="907" t="str">
        <x:v>VNStock API actual</x:v>
      </x:c>
      <x:c r="N336" s="1032" t="n">
        <x:v>46229.241747685184</x:v>
      </x:c>
    </x:row>
    <x:row r="337">
      <x:c r="A337" s="895" t="n">
        <x:v>44882</x:v>
      </x:c>
      <x:c r="B337" s="898" t="n">
        <x:v>30.03</x:v>
      </x:c>
      <x:c r="C337" s="898" t="n">
        <x:v>32.75</x:v>
      </x:c>
      <x:c r="D337" s="898" t="n">
        <x:v>30.03</x:v>
      </x:c>
      <x:c r="E337" s="898" t="n">
        <x:v>31.84</x:v>
      </x:c>
      <x:c r="F337" s="901" t="n">
        <x:v>701369</x:v>
      </x:c>
      <x:c r="G337" s="904" t="n">
        <x:v>952.91</x:v>
      </x:c>
      <x:c r="H337" s="904" t="n">
        <x:v>972.88</x:v>
      </x:c>
      <x:c r="I337" s="904" t="n">
        <x:v>950.9</x:v>
      </x:c>
      <x:c r="J337" s="904" t="n">
        <x:v>969.26</x:v>
      </x:c>
      <x:c r="K337" s="901" t="n">
        <x:v>551181919</x:v>
      </x:c>
      <x:c r="L337" s="907" t="str">
        <x:v>SRC-P404</x:v>
      </x:c>
      <x:c r="M337" s="907" t="str">
        <x:v>VNStock API actual</x:v>
      </x:c>
      <x:c r="N337" s="1032" t="n">
        <x:v>46229.241747685184</x:v>
      </x:c>
    </x:row>
    <x:row r="338">
      <x:c r="A338" s="895" t="n">
        <x:v>44883</x:v>
      </x:c>
      <x:c r="B338" s="898" t="n">
        <x:v>30.63</x:v>
      </x:c>
      <x:c r="C338" s="898" t="n">
        <x:v>32.53</x:v>
      </x:c>
      <x:c r="D338" s="898" t="n">
        <x:v>30.63</x:v>
      </x:c>
      <x:c r="E338" s="898" t="n">
        <x:v>32</x:v>
      </x:c>
      <x:c r="F338" s="901" t="n">
        <x:v>456392</x:v>
      </x:c>
      <x:c r="G338" s="904" t="n">
        <x:v>967.18</x:v>
      </x:c>
      <x:c r="H338" s="904" t="n">
        <x:v>971.77</x:v>
      </x:c>
      <x:c r="I338" s="904" t="n">
        <x:v>939.73</x:v>
      </x:c>
      <x:c r="J338" s="904" t="n">
        <x:v>969.33</x:v>
      </x:c>
      <x:c r="K338" s="901" t="n">
        <x:v>788755529</x:v>
      </x:c>
      <x:c r="L338" s="907" t="str">
        <x:v>SRC-P404</x:v>
      </x:c>
      <x:c r="M338" s="907" t="str">
        <x:v>VNStock API actual</x:v>
      </x:c>
      <x:c r="N338" s="1032" t="n">
        <x:v>46229.241747685184</x:v>
      </x:c>
    </x:row>
    <x:row r="339">
      <x:c r="A339" s="895" t="n">
        <x:v>44886</x:v>
      </x:c>
      <x:c r="B339" s="898" t="n">
        <x:v>33.21</x:v>
      </x:c>
      <x:c r="C339" s="898" t="n">
        <x:v>33.21</x:v>
      </x:c>
      <x:c r="D339" s="898" t="n">
        <x:v>31.62</x:v>
      </x:c>
      <x:c r="E339" s="898" t="n">
        <x:v>31.62</x:v>
      </x:c>
      <x:c r="F339" s="901" t="n">
        <x:v>377937</x:v>
      </x:c>
      <x:c r="G339" s="904" t="n">
        <x:v>971.58</x:v>
      </x:c>
      <x:c r="H339" s="904" t="n">
        <x:v>973.19</x:v>
      </x:c>
      <x:c r="I339" s="904" t="n">
        <x:v>956.77</x:v>
      </x:c>
      <x:c r="J339" s="904" t="n">
        <x:v>960.65</x:v>
      </x:c>
      <x:c r="K339" s="901" t="n">
        <x:v>499288906</x:v>
      </x:c>
      <x:c r="L339" s="907" t="str">
        <x:v>SRC-P404</x:v>
      </x:c>
      <x:c r="M339" s="907" t="str">
        <x:v>VNStock API actual</x:v>
      </x:c>
      <x:c r="N339" s="1032" t="n">
        <x:v>46229.241747685184</x:v>
      </x:c>
    </x:row>
    <x:row r="340">
      <x:c r="A340" s="895" t="n">
        <x:v>44887</x:v>
      </x:c>
      <x:c r="B340" s="898" t="n">
        <x:v>31.62</x:v>
      </x:c>
      <x:c r="C340" s="898" t="n">
        <x:v>33.06</x:v>
      </x:c>
      <x:c r="D340" s="898" t="n">
        <x:v>31.62</x:v>
      </x:c>
      <x:c r="E340" s="898" t="n">
        <x:v>32.34</x:v>
      </x:c>
      <x:c r="F340" s="901" t="n">
        <x:v>509611</x:v>
      </x:c>
      <x:c r="G340" s="904" t="n">
        <x:v>953.78</x:v>
      </x:c>
      <x:c r="H340" s="904" t="n">
        <x:v>985.28</x:v>
      </x:c>
      <x:c r="I340" s="904" t="n">
        <x:v>948.52</x:v>
      </x:c>
      <x:c r="J340" s="904" t="n">
        <x:v>952.12</x:v>
      </x:c>
      <x:c r="K340" s="901" t="n">
        <x:v>937062402</x:v>
      </x:c>
      <x:c r="L340" s="907" t="str">
        <x:v>SRC-P404</x:v>
      </x:c>
      <x:c r="M340" s="907" t="str">
        <x:v>VNStock API actual</x:v>
      </x:c>
      <x:c r="N340" s="1032" t="n">
        <x:v>46229.241747685184</x:v>
      </x:c>
    </x:row>
    <x:row r="341">
      <x:c r="A341" s="895" t="n">
        <x:v>44888</x:v>
      </x:c>
      <x:c r="B341" s="898" t="n">
        <x:v>32.9</x:v>
      </x:c>
      <x:c r="C341" s="898" t="n">
        <x:v>33.13</x:v>
      </x:c>
      <x:c r="D341" s="898" t="n">
        <x:v>32.34</x:v>
      </x:c>
      <x:c r="E341" s="898" t="n">
        <x:v>33.13</x:v>
      </x:c>
      <x:c r="F341" s="901" t="n">
        <x:v>386970</x:v>
      </x:c>
      <x:c r="G341" s="904" t="n">
        <x:v>947.81</x:v>
      </x:c>
      <x:c r="H341" s="904" t="n">
        <x:v>958.61</x:v>
      </x:c>
      <x:c r="I341" s="904" t="n">
        <x:v>942.02</x:v>
      </x:c>
      <x:c r="J341" s="904" t="n">
        <x:v>946</x:v>
      </x:c>
      <x:c r="K341" s="901" t="n">
        <x:v>466946398</x:v>
      </x:c>
      <x:c r="L341" s="907" t="str">
        <x:v>SRC-P404</x:v>
      </x:c>
      <x:c r="M341" s="907" t="str">
        <x:v>VNStock API actual</x:v>
      </x:c>
      <x:c r="N341" s="1032" t="n">
        <x:v>46229.241747685184</x:v>
      </x:c>
    </x:row>
    <x:row r="342">
      <x:c r="A342" s="895" t="n">
        <x:v>44889</x:v>
      </x:c>
      <x:c r="B342" s="898" t="n">
        <x:v>33.13</x:v>
      </x:c>
      <x:c r="C342" s="898" t="n">
        <x:v>34.87</x:v>
      </x:c>
      <x:c r="D342" s="898" t="n">
        <x:v>31.96</x:v>
      </x:c>
      <x:c r="E342" s="898" t="n">
        <x:v>34.79</x:v>
      </x:c>
      <x:c r="F342" s="901" t="n">
        <x:v>791108</x:v>
      </x:c>
      <x:c r="G342" s="904" t="n">
        <x:v>942.86</x:v>
      </x:c>
      <x:c r="H342" s="904" t="n">
        <x:v>950.03</x:v>
      </x:c>
      <x:c r="I342" s="904" t="n">
        <x:v>934.31</x:v>
      </x:c>
      <x:c r="J342" s="904" t="n">
        <x:v>947.71</x:v>
      </x:c>
      <x:c r="K342" s="901" t="n">
        <x:v>451208470</x:v>
      </x:c>
      <x:c r="L342" s="907" t="str">
        <x:v>SRC-P404</x:v>
      </x:c>
      <x:c r="M342" s="907" t="str">
        <x:v>VNStock API actual</x:v>
      </x:c>
      <x:c r="N342" s="1032" t="n">
        <x:v>46229.241747685184</x:v>
      </x:c>
    </x:row>
    <x:row r="343">
      <x:c r="A343" s="895" t="n">
        <x:v>44890</x:v>
      </x:c>
      <x:c r="B343" s="898" t="n">
        <x:v>34.79</x:v>
      </x:c>
      <x:c r="C343" s="898" t="n">
        <x:v>36.84</x:v>
      </x:c>
      <x:c r="D343" s="898" t="n">
        <x:v>34.42</x:v>
      </x:c>
      <x:c r="E343" s="898" t="n">
        <x:v>34.79</x:v>
      </x:c>
      <x:c r="F343" s="901" t="n">
        <x:v>1458931</x:v>
      </x:c>
      <x:c r="G343" s="904" t="n">
        <x:v>956.62</x:v>
      </x:c>
      <x:c r="H343" s="904" t="n">
        <x:v>971.46</x:v>
      </x:c>
      <x:c r="I343" s="904" t="n">
        <x:v>955.53</x:v>
      </x:c>
      <x:c r="J343" s="904" t="n">
        <x:v>971.46</x:v>
      </x:c>
      <x:c r="K343" s="901" t="n">
        <x:v>525761736</x:v>
      </x:c>
      <x:c r="L343" s="907" t="str">
        <x:v>SRC-P404</x:v>
      </x:c>
      <x:c r="M343" s="907" t="str">
        <x:v>VNStock API actual</x:v>
      </x:c>
      <x:c r="N343" s="1032" t="n">
        <x:v>46229.241747685184</x:v>
      </x:c>
    </x:row>
    <x:row r="344">
      <x:c r="A344" s="895" t="n">
        <x:v>44893</x:v>
      </x:c>
      <x:c r="B344" s="898" t="n">
        <x:v>36.23</x:v>
      </x:c>
      <x:c r="C344" s="898" t="n">
        <x:v>36.23</x:v>
      </x:c>
      <x:c r="D344" s="898" t="n">
        <x:v>34.11</x:v>
      </x:c>
      <x:c r="E344" s="898" t="n">
        <x:v>34.95</x:v>
      </x:c>
      <x:c r="F344" s="901" t="n">
        <x:v>339887</x:v>
      </x:c>
      <x:c r="G344" s="904" t="n">
        <x:v>979.68</x:v>
      </x:c>
      <x:c r="H344" s="904" t="n">
        <x:v>1006.22</x:v>
      </x:c>
      <x:c r="I344" s="904" t="n">
        <x:v>979.48</x:v>
      </x:c>
      <x:c r="J344" s="904" t="n">
        <x:v>1005.69</x:v>
      </x:c>
      <x:c r="K344" s="901" t="n">
        <x:v>818144334</x:v>
      </x:c>
      <x:c r="L344" s="907" t="str">
        <x:v>SRC-P404</x:v>
      </x:c>
      <x:c r="M344" s="907" t="str">
        <x:v>VNStock API actual</x:v>
      </x:c>
      <x:c r="N344" s="1032" t="n">
        <x:v>46229.241747685184</x:v>
      </x:c>
    </x:row>
    <x:row r="345">
      <x:c r="A345" s="895" t="n">
        <x:v>44894</x:v>
      </x:c>
      <x:c r="B345" s="898" t="n">
        <x:v>35.32</x:v>
      </x:c>
      <x:c r="C345" s="898" t="n">
        <x:v>35.78</x:v>
      </x:c>
      <x:c r="D345" s="898" t="n">
        <x:v>34.95</x:v>
      </x:c>
      <x:c r="E345" s="898" t="n">
        <x:v>35.55</x:v>
      </x:c>
      <x:c r="F345" s="901" t="n">
        <x:v>329180</x:v>
      </x:c>
      <x:c r="G345" s="904" t="n">
        <x:v>1008.85</x:v>
      </x:c>
      <x:c r="H345" s="904" t="n">
        <x:v>1032.16</x:v>
      </x:c>
      <x:c r="I345" s="904" t="n">
        <x:v>998.56</x:v>
      </x:c>
      <x:c r="J345" s="904" t="n">
        <x:v>1032.16</x:v>
      </x:c>
      <x:c r="K345" s="901" t="n">
        <x:v>1050658035</x:v>
      </x:c>
      <x:c r="L345" s="907" t="str">
        <x:v>SRC-P404</x:v>
      </x:c>
      <x:c r="M345" s="907" t="str">
        <x:v>VNStock API actual</x:v>
      </x:c>
      <x:c r="N345" s="1032" t="n">
        <x:v>46229.241747685184</x:v>
      </x:c>
    </x:row>
    <x:row r="346">
      <x:c r="A346" s="895" t="n">
        <x:v>44895</x:v>
      </x:c>
      <x:c r="B346" s="898" t="n">
        <x:v>36.53</x:v>
      </x:c>
      <x:c r="C346" s="898" t="n">
        <x:v>37.06</x:v>
      </x:c>
      <x:c r="D346" s="898" t="n">
        <x:v>35.55</x:v>
      </x:c>
      <x:c r="E346" s="898" t="n">
        <x:v>35.85</x:v>
      </x:c>
      <x:c r="F346" s="901" t="n">
        <x:v>1267405</x:v>
      </x:c>
      <x:c r="G346" s="904" t="n">
        <x:v>1037.44</x:v>
      </x:c>
      <x:c r="H346" s="904" t="n">
        <x:v>1048.42</x:v>
      </x:c>
      <x:c r="I346" s="904" t="n">
        <x:v>1021.54</x:v>
      </x:c>
      <x:c r="J346" s="904" t="n">
        <x:v>1048.42</x:v>
      </x:c>
      <x:c r="K346" s="901" t="n">
        <x:v>917539238</x:v>
      </x:c>
      <x:c r="L346" s="907" t="str">
        <x:v>SRC-P404</x:v>
      </x:c>
      <x:c r="M346" s="907" t="str">
        <x:v>VNStock API actual</x:v>
      </x:c>
      <x:c r="N346" s="1032" t="n">
        <x:v>46229.241747685184</x:v>
      </x:c>
    </x:row>
    <x:row r="347">
      <x:c r="A347" s="895" t="n">
        <x:v>44896</x:v>
      </x:c>
      <x:c r="B347" s="898" t="n">
        <x:v>36.38</x:v>
      </x:c>
      <x:c r="C347" s="898" t="n">
        <x:v>36.38</x:v>
      </x:c>
      <x:c r="D347" s="898" t="n">
        <x:v>34.95</x:v>
      </x:c>
      <x:c r="E347" s="898" t="n">
        <x:v>35.02</x:v>
      </x:c>
      <x:c r="F347" s="901" t="n">
        <x:v>356752</x:v>
      </x:c>
      <x:c r="G347" s="904" t="n">
        <x:v>1057.97</x:v>
      </x:c>
      <x:c r="H347" s="904" t="n">
        <x:v>1066.28</x:v>
      </x:c>
      <x:c r="I347" s="904" t="n">
        <x:v>1035.62</x:v>
      </x:c>
      <x:c r="J347" s="904" t="n">
        <x:v>1036.28</x:v>
      </x:c>
      <x:c r="K347" s="901" t="n">
        <x:v>1187911811</x:v>
      </x:c>
      <x:c r="L347" s="907" t="str">
        <x:v>SRC-P404</x:v>
      </x:c>
      <x:c r="M347" s="907" t="str">
        <x:v>VNStock API actual</x:v>
      </x:c>
      <x:c r="N347" s="1032" t="n">
        <x:v>46229.241747685184</x:v>
      </x:c>
    </x:row>
    <x:row r="348">
      <x:c r="A348" s="895" t="n">
        <x:v>44897</x:v>
      </x:c>
      <x:c r="B348" s="898" t="n">
        <x:v>34.72</x:v>
      </x:c>
      <x:c r="C348" s="898" t="n">
        <x:v>35.78</x:v>
      </x:c>
      <x:c r="D348" s="898" t="n">
        <x:v>34.72</x:v>
      </x:c>
      <x:c r="E348" s="898" t="n">
        <x:v>35.55</x:v>
      </x:c>
      <x:c r="F348" s="901" t="n">
        <x:v>350252</x:v>
      </x:c>
      <x:c r="G348" s="904" t="n">
        <x:v>1032.67</x:v>
      </x:c>
      <x:c r="H348" s="904" t="n">
        <x:v>1080.01</x:v>
      </x:c>
      <x:c r="I348" s="904" t="n">
        <x:v>1030.81</x:v>
      </x:c>
      <x:c r="J348" s="904" t="n">
        <x:v>1080.01</x:v>
      </x:c>
      <x:c r="K348" s="901" t="n">
        <x:v>971782887</x:v>
      </x:c>
      <x:c r="L348" s="907" t="str">
        <x:v>SRC-P404</x:v>
      </x:c>
      <x:c r="M348" s="907" t="str">
        <x:v>VNStock API actual</x:v>
      </x:c>
      <x:c r="N348" s="1032" t="n">
        <x:v>46229.241747685184</x:v>
      </x:c>
    </x:row>
    <x:row r="349">
      <x:c r="A349" s="895" t="n">
        <x:v>44900</x:v>
      </x:c>
      <x:c r="B349" s="898" t="n">
        <x:v>37.06</x:v>
      </x:c>
      <x:c r="C349" s="898" t="n">
        <x:v>37.06</x:v>
      </x:c>
      <x:c r="D349" s="898" t="n">
        <x:v>35.97</x:v>
      </x:c>
      <x:c r="E349" s="898" t="n">
        <x:v>36.31</x:v>
      </x:c>
      <x:c r="F349" s="901" t="n">
        <x:v>731213</x:v>
      </x:c>
      <x:c r="G349" s="904" t="n">
        <x:v>1090.97</x:v>
      </x:c>
      <x:c r="H349" s="904" t="n">
        <x:v>1099.45</x:v>
      </x:c>
      <x:c r="I349" s="904" t="n">
        <x:v>1082.59</x:v>
      </x:c>
      <x:c r="J349" s="904" t="n">
        <x:v>1093.67</x:v>
      </x:c>
      <x:c r="K349" s="901" t="n">
        <x:v>1026762548</x:v>
      </x:c>
      <x:c r="L349" s="907" t="str">
        <x:v>SRC-P404</x:v>
      </x:c>
      <x:c r="M349" s="907" t="str">
        <x:v>VNStock API actual</x:v>
      </x:c>
      <x:c r="N349" s="1032" t="n">
        <x:v>46229.241747685184</x:v>
      </x:c>
    </x:row>
    <x:row r="350">
      <x:c r="A350" s="895" t="n">
        <x:v>44901</x:v>
      </x:c>
      <x:c r="B350" s="898" t="n">
        <x:v>36.31</x:v>
      </x:c>
      <x:c r="C350" s="898" t="n">
        <x:v>37.74</x:v>
      </x:c>
      <x:c r="D350" s="898" t="n">
        <x:v>36.31</x:v>
      </x:c>
      <x:c r="E350" s="898" t="n">
        <x:v>36.69</x:v>
      </x:c>
      <x:c r="F350" s="901" t="n">
        <x:v>845791</x:v>
      </x:c>
      <x:c r="G350" s="904" t="n">
        <x:v>1088.9</x:v>
      </x:c>
      <x:c r="H350" s="904" t="n">
        <x:v>1089.63</x:v>
      </x:c>
      <x:c r="I350" s="904" t="n">
        <x:v>1048.69</x:v>
      </x:c>
      <x:c r="J350" s="904" t="n">
        <x:v>1048.69</x:v>
      </x:c>
      <x:c r="K350" s="901" t="n">
        <x:v>1303644184</x:v>
      </x:c>
      <x:c r="L350" s="907" t="str">
        <x:v>SRC-P404</x:v>
      </x:c>
      <x:c r="M350" s="907" t="str">
        <x:v>VNStock API actual</x:v>
      </x:c>
      <x:c r="N350" s="1032" t="n">
        <x:v>46229.241747685184</x:v>
      </x:c>
    </x:row>
    <x:row r="351">
      <x:c r="A351" s="895" t="n">
        <x:v>44902</x:v>
      </x:c>
      <x:c r="B351" s="898" t="n">
        <x:v>36.69</x:v>
      </x:c>
      <x:c r="C351" s="898" t="n">
        <x:v>36.91</x:v>
      </x:c>
      <x:c r="D351" s="898" t="n">
        <x:v>36.38</x:v>
      </x:c>
      <x:c r="E351" s="898" t="n">
        <x:v>36.76</x:v>
      </x:c>
      <x:c r="F351" s="901" t="n">
        <x:v>243896</x:v>
      </x:c>
      <x:c r="G351" s="904" t="n">
        <x:v>1046.72</x:v>
      </x:c>
      <x:c r="H351" s="904" t="n">
        <x:v>1059.79</x:v>
      </x:c>
      <x:c r="I351" s="904" t="n">
        <x:v>1034.92</x:v>
      </x:c>
      <x:c r="J351" s="904" t="n">
        <x:v>1041.02</x:v>
      </x:c>
      <x:c r="K351" s="901" t="n">
        <x:v>767643808</x:v>
      </x:c>
      <x:c r="L351" s="907" t="str">
        <x:v>SRC-P404</x:v>
      </x:c>
      <x:c r="M351" s="907" t="str">
        <x:v>VNStock API actual</x:v>
      </x:c>
      <x:c r="N351" s="1032" t="n">
        <x:v>46229.241747685184</x:v>
      </x:c>
    </x:row>
    <x:row r="352">
      <x:c r="A352" s="895" t="n">
        <x:v>44903</x:v>
      </x:c>
      <x:c r="B352" s="898" t="n">
        <x:v>36.99</x:v>
      </x:c>
      <x:c r="C352" s="898" t="n">
        <x:v>37.29</x:v>
      </x:c>
      <x:c r="D352" s="898" t="n">
        <x:v>36.31</x:v>
      </x:c>
      <x:c r="E352" s="898" t="n">
        <x:v>36.65</x:v>
      </x:c>
      <x:c r="F352" s="901" t="n">
        <x:v>518911</x:v>
      </x:c>
      <x:c r="G352" s="904" t="n">
        <x:v>1055.21</x:v>
      </x:c>
      <x:c r="H352" s="904" t="n">
        <x:v>1078.09</x:v>
      </x:c>
      <x:c r="I352" s="904" t="n">
        <x:v>1045.98</x:v>
      </x:c>
      <x:c r="J352" s="904" t="n">
        <x:v>1050.53</x:v>
      </x:c>
      <x:c r="K352" s="901" t="n">
        <x:v>836407763</x:v>
      </x:c>
      <x:c r="L352" s="907" t="str">
        <x:v>SRC-P404</x:v>
      </x:c>
      <x:c r="M352" s="907" t="str">
        <x:v>VNStock API actual</x:v>
      </x:c>
      <x:c r="N352" s="1032" t="n">
        <x:v>46229.241747685184</x:v>
      </x:c>
    </x:row>
    <x:row r="353">
      <x:c r="A353" s="895" t="n">
        <x:v>44904</x:v>
      </x:c>
      <x:c r="B353" s="898" t="n">
        <x:v>36.5</x:v>
      </x:c>
      <x:c r="C353" s="898" t="n">
        <x:v>36.76</x:v>
      </x:c>
      <x:c r="D353" s="898" t="n">
        <x:v>36.01</x:v>
      </x:c>
      <x:c r="E353" s="898" t="n">
        <x:v>36.04</x:v>
      </x:c>
      <x:c r="F353" s="901" t="n">
        <x:v>237041</x:v>
      </x:c>
      <x:c r="G353" s="904" t="n">
        <x:v>1056.85</x:v>
      </x:c>
      <x:c r="H353" s="904" t="n">
        <x:v>1061.21</x:v>
      </x:c>
      <x:c r="I353" s="904" t="n">
        <x:v>1041.39</x:v>
      </x:c>
      <x:c r="J353" s="904" t="n">
        <x:v>1051.81</x:v>
      </x:c>
      <x:c r="K353" s="901" t="n">
        <x:v>694652833</x:v>
      </x:c>
      <x:c r="L353" s="907" t="str">
        <x:v>SRC-P404</x:v>
      </x:c>
      <x:c r="M353" s="907" t="str">
        <x:v>VNStock API actual</x:v>
      </x:c>
      <x:c r="N353" s="1032" t="n">
        <x:v>46229.241747685184</x:v>
      </x:c>
    </x:row>
    <x:row r="354">
      <x:c r="A354" s="895" t="n">
        <x:v>44907</x:v>
      </x:c>
      <x:c r="B354" s="898" t="n">
        <x:v>35.59</x:v>
      </x:c>
      <x:c r="C354" s="898" t="n">
        <x:v>36.99</x:v>
      </x:c>
      <x:c r="D354" s="898" t="n">
        <x:v>35.59</x:v>
      </x:c>
      <x:c r="E354" s="898" t="n">
        <x:v>35.97</x:v>
      </x:c>
      <x:c r="F354" s="901" t="n">
        <x:v>278058</x:v>
      </x:c>
      <x:c r="G354" s="904" t="n">
        <x:v>1059.55</x:v>
      </x:c>
      <x:c r="H354" s="904" t="n">
        <x:v>1065.16</x:v>
      </x:c>
      <x:c r="I354" s="904" t="n">
        <x:v>1032.07</x:v>
      </x:c>
      <x:c r="J354" s="904" t="n">
        <x:v>1032.07</x:v>
      </x:c>
      <x:c r="K354" s="901" t="n">
        <x:v>777174987</x:v>
      </x:c>
      <x:c r="L354" s="907" t="str">
        <x:v>SRC-P404</x:v>
      </x:c>
      <x:c r="M354" s="907" t="str">
        <x:v>VNStock API actual</x:v>
      </x:c>
      <x:c r="N354" s="1032" t="n">
        <x:v>46229.241747685184</x:v>
      </x:c>
    </x:row>
    <x:row r="355">
      <x:c r="A355" s="895" t="n">
        <x:v>44908</x:v>
      </x:c>
      <x:c r="B355" s="898" t="n">
        <x:v>36.31</x:v>
      </x:c>
      <x:c r="C355" s="898" t="n">
        <x:v>36.31</x:v>
      </x:c>
      <x:c r="D355" s="898" t="n">
        <x:v>35.85</x:v>
      </x:c>
      <x:c r="E355" s="898" t="n">
        <x:v>36.16</x:v>
      </x:c>
      <x:c r="F355" s="901" t="n">
        <x:v>155465</x:v>
      </x:c>
      <x:c r="G355" s="904" t="n">
        <x:v>1035.76</x:v>
      </x:c>
      <x:c r="H355" s="904" t="n">
        <x:v>1047.45</x:v>
      </x:c>
      <x:c r="I355" s="904" t="n">
        <x:v>1026.3</x:v>
      </x:c>
      <x:c r="J355" s="904" t="n">
        <x:v>1047.45</x:v>
      </x:c>
      <x:c r="K355" s="901" t="n">
        <x:v>706529660</x:v>
      </x:c>
      <x:c r="L355" s="907" t="str">
        <x:v>SRC-P404</x:v>
      </x:c>
      <x:c r="M355" s="907" t="str">
        <x:v>VNStock API actual</x:v>
      </x:c>
      <x:c r="N355" s="1032" t="n">
        <x:v>46229.241747685184</x:v>
      </x:c>
    </x:row>
    <x:row r="356">
      <x:c r="A356" s="895" t="n">
        <x:v>44909</x:v>
      </x:c>
      <x:c r="B356" s="898" t="n">
        <x:v>36.69</x:v>
      </x:c>
      <x:c r="C356" s="898" t="n">
        <x:v>36.69</x:v>
      </x:c>
      <x:c r="D356" s="898" t="n">
        <x:v>35.55</x:v>
      </x:c>
      <x:c r="E356" s="898" t="n">
        <x:v>36.01</x:v>
      </x:c>
      <x:c r="F356" s="901" t="n">
        <x:v>305757</x:v>
      </x:c>
      <x:c r="G356" s="904" t="n">
        <x:v>1062.18</x:v>
      </x:c>
      <x:c r="H356" s="904" t="n">
        <x:v>1062.18</x:v>
      </x:c>
      <x:c r="I356" s="904" t="n">
        <x:v>1046.43</x:v>
      </x:c>
      <x:c r="J356" s="904" t="n">
        <x:v>1050.43</x:v>
      </x:c>
      <x:c r="K356" s="901" t="n">
        <x:v>636888454</x:v>
      </x:c>
      <x:c r="L356" s="907" t="str">
        <x:v>SRC-P404</x:v>
      </x:c>
      <x:c r="M356" s="907" t="str">
        <x:v>VNStock API actual</x:v>
      </x:c>
      <x:c r="N356" s="1032" t="n">
        <x:v>46229.241747685184</x:v>
      </x:c>
    </x:row>
    <x:row r="357">
      <x:c r="A357" s="895" t="n">
        <x:v>44910</x:v>
      </x:c>
      <x:c r="B357" s="898" t="n">
        <x:v>36.23</x:v>
      </x:c>
      <x:c r="C357" s="898" t="n">
        <x:v>36.46</x:v>
      </x:c>
      <x:c r="D357" s="898" t="n">
        <x:v>35.78</x:v>
      </x:c>
      <x:c r="E357" s="898" t="n">
        <x:v>36.08</x:v>
      </x:c>
      <x:c r="F357" s="901" t="n">
        <x:v>303594</x:v>
      </x:c>
      <x:c r="G357" s="904" t="n">
        <x:v>1049.16</x:v>
      </x:c>
      <x:c r="H357" s="904" t="n">
        <x:v>1062.61</x:v>
      </x:c>
      <x:c r="I357" s="904" t="n">
        <x:v>1049.06</x:v>
      </x:c>
      <x:c r="J357" s="904" t="n">
        <x:v>1055.32</x:v>
      </x:c>
      <x:c r="K357" s="901" t="n">
        <x:v>632450383</x:v>
      </x:c>
      <x:c r="L357" s="907" t="str">
        <x:v>SRC-P404</x:v>
      </x:c>
      <x:c r="M357" s="907" t="str">
        <x:v>VNStock API actual</x:v>
      </x:c>
      <x:c r="N357" s="1032" t="n">
        <x:v>46229.241747685184</x:v>
      </x:c>
    </x:row>
    <x:row r="358">
      <x:c r="A358" s="895" t="n">
        <x:v>44911</x:v>
      </x:c>
      <x:c r="B358" s="898" t="n">
        <x:v>35.55</x:v>
      </x:c>
      <x:c r="C358" s="898" t="n">
        <x:v>36.46</x:v>
      </x:c>
      <x:c r="D358" s="898" t="n">
        <x:v>35.55</x:v>
      </x:c>
      <x:c r="E358" s="898" t="n">
        <x:v>35.55</x:v>
      </x:c>
      <x:c r="F358" s="901" t="n">
        <x:v>405720</x:v>
      </x:c>
      <x:c r="G358" s="904" t="n">
        <x:v>1048.62</x:v>
      </x:c>
      <x:c r="H358" s="904" t="n">
        <x:v>1064.79</x:v>
      </x:c>
      <x:c r="I358" s="904" t="n">
        <x:v>1047.16</x:v>
      </x:c>
      <x:c r="J358" s="904" t="n">
        <x:v>1052.48</x:v>
      </x:c>
      <x:c r="K358" s="901" t="n">
        <x:v>758882687</x:v>
      </x:c>
      <x:c r="L358" s="907" t="str">
        <x:v>SRC-P404</x:v>
      </x:c>
      <x:c r="M358" s="907" t="str">
        <x:v>VNStock API actual</x:v>
      </x:c>
      <x:c r="N358" s="1032" t="n">
        <x:v>46229.241747685184</x:v>
      </x:c>
    </x:row>
    <x:row r="359">
      <x:c r="A359" s="895" t="n">
        <x:v>44914</x:v>
      </x:c>
      <x:c r="B359" s="898" t="n">
        <x:v>36.19</x:v>
      </x:c>
      <x:c r="C359" s="898" t="n">
        <x:v>36.19</x:v>
      </x:c>
      <x:c r="D359" s="898" t="n">
        <x:v>35.17</x:v>
      </x:c>
      <x:c r="E359" s="898" t="n">
        <x:v>35.17</x:v>
      </x:c>
      <x:c r="F359" s="901" t="n">
        <x:v>274955</x:v>
      </x:c>
      <x:c r="G359" s="904" t="n">
        <x:v>1053.91</x:v>
      </x:c>
      <x:c r="H359" s="904" t="n">
        <x:v>1065.59</x:v>
      </x:c>
      <x:c r="I359" s="904" t="n">
        <x:v>1038.4</x:v>
      </x:c>
      <x:c r="J359" s="904" t="n">
        <x:v>1038.4</x:v>
      </x:c>
      <x:c r="K359" s="901" t="n">
        <x:v>815335805</x:v>
      </x:c>
      <x:c r="L359" s="907" t="str">
        <x:v>SRC-P404</x:v>
      </x:c>
      <x:c r="M359" s="907" t="str">
        <x:v>VNStock API actual</x:v>
      </x:c>
      <x:c r="N359" s="1032" t="n">
        <x:v>46229.241747685184</x:v>
      </x:c>
    </x:row>
    <x:row r="360">
      <x:c r="A360" s="895" t="n">
        <x:v>44915</x:v>
      </x:c>
      <x:c r="B360" s="898" t="n">
        <x:v>35.02</x:v>
      </x:c>
      <x:c r="C360" s="898" t="n">
        <x:v>35.17</x:v>
      </x:c>
      <x:c r="D360" s="898" t="n">
        <x:v>33.74</x:v>
      </x:c>
      <x:c r="E360" s="898" t="n">
        <x:v>33.81</x:v>
      </x:c>
      <x:c r="F360" s="901" t="n">
        <x:v>258367</x:v>
      </x:c>
      <x:c r="G360" s="904" t="n">
        <x:v>1035.82</x:v>
      </x:c>
      <x:c r="H360" s="904" t="n">
        <x:v>1038.74</x:v>
      </x:c>
      <x:c r="I360" s="904" t="n">
        <x:v>1010.08</x:v>
      </x:c>
      <x:c r="J360" s="904" t="n">
        <x:v>1023.13</x:v>
      </x:c>
      <x:c r="K360" s="901" t="n">
        <x:v>909733007</x:v>
      </x:c>
      <x:c r="L360" s="907" t="str">
        <x:v>SRC-P404</x:v>
      </x:c>
      <x:c r="M360" s="907" t="str">
        <x:v>VNStock API actual</x:v>
      </x:c>
      <x:c r="N360" s="1032" t="n">
        <x:v>46229.241747685184</x:v>
      </x:c>
    </x:row>
    <x:row r="361">
      <x:c r="A361" s="895" t="n">
        <x:v>44916</x:v>
      </x:c>
      <x:c r="B361" s="898" t="n">
        <x:v>33.81</x:v>
      </x:c>
      <x:c r="C361" s="898" t="n">
        <x:v>34.72</x:v>
      </x:c>
      <x:c r="D361" s="898" t="n">
        <x:v>33.81</x:v>
      </x:c>
      <x:c r="E361" s="898" t="n">
        <x:v>34.42</x:v>
      </x:c>
      <x:c r="F361" s="901" t="n">
        <x:v>243706</x:v>
      </x:c>
      <x:c r="G361" s="904" t="n">
        <x:v>1033.34</x:v>
      </x:c>
      <x:c r="H361" s="904" t="n">
        <x:v>1033.84</x:v>
      </x:c>
      <x:c r="I361" s="904" t="n">
        <x:v>1005.43</x:v>
      </x:c>
      <x:c r="J361" s="904" t="n">
        <x:v>1018.88</x:v>
      </x:c>
      <x:c r="K361" s="901" t="n">
        <x:v>670212562</x:v>
      </x:c>
      <x:c r="L361" s="907" t="str">
        <x:v>SRC-P404</x:v>
      </x:c>
      <x:c r="M361" s="907" t="str">
        <x:v>VNStock API actual</x:v>
      </x:c>
      <x:c r="N361" s="1032" t="n">
        <x:v>46229.241747685184</x:v>
      </x:c>
    </x:row>
    <x:row r="362">
      <x:c r="A362" s="895" t="n">
        <x:v>44917</x:v>
      </x:c>
      <x:c r="B362" s="898" t="n">
        <x:v>34.79</x:v>
      </x:c>
      <x:c r="C362" s="898" t="n">
        <x:v>35.02</x:v>
      </x:c>
      <x:c r="D362" s="898" t="n">
        <x:v>34.42</x:v>
      </x:c>
      <x:c r="E362" s="898" t="n">
        <x:v>34.95</x:v>
      </x:c>
      <x:c r="F362" s="901" t="n">
        <x:v>143922</x:v>
      </x:c>
      <x:c r="G362" s="904" t="n">
        <x:v>1026.49</x:v>
      </x:c>
      <x:c r="H362" s="904" t="n">
        <x:v>1033.18</x:v>
      </x:c>
      <x:c r="I362" s="904" t="n">
        <x:v>1016.54</x:v>
      </x:c>
      <x:c r="J362" s="904" t="n">
        <x:v>1022.61</x:v>
      </x:c>
      <x:c r="K362" s="901" t="n">
        <x:v>507307086</x:v>
      </x:c>
      <x:c r="L362" s="907" t="str">
        <x:v>SRC-P404</x:v>
      </x:c>
      <x:c r="M362" s="907" t="str">
        <x:v>VNStock API actual</x:v>
      </x:c>
      <x:c r="N362" s="1032" t="n">
        <x:v>46229.241747685184</x:v>
      </x:c>
    </x:row>
    <x:row r="363">
      <x:c r="A363" s="895" t="n">
        <x:v>44918</x:v>
      </x:c>
      <x:c r="B363" s="898" t="n">
        <x:v>35.25</x:v>
      </x:c>
      <x:c r="C363" s="898" t="n">
        <x:v>35.25</x:v>
      </x:c>
      <x:c r="D363" s="898" t="n">
        <x:v>34.72</x:v>
      </x:c>
      <x:c r="E363" s="898" t="n">
        <x:v>34.79</x:v>
      </x:c>
      <x:c r="F363" s="901" t="n">
        <x:v>38824</x:v>
      </x:c>
      <x:c r="G363" s="904" t="n">
        <x:v>1023.69</x:v>
      </x:c>
      <x:c r="H363" s="904" t="n">
        <x:v>1027.34</x:v>
      </x:c>
      <x:c r="I363" s="904" t="n">
        <x:v>1013.2</x:v>
      </x:c>
      <x:c r="J363" s="904" t="n">
        <x:v>1020.34</x:v>
      </x:c>
      <x:c r="K363" s="901" t="n">
        <x:v>394851537</x:v>
      </x:c>
      <x:c r="L363" s="907" t="str">
        <x:v>SRC-P404</x:v>
      </x:c>
      <x:c r="M363" s="907" t="str">
        <x:v>VNStock API actual</x:v>
      </x:c>
      <x:c r="N363" s="1032" t="n">
        <x:v>46229.241747685184</x:v>
      </x:c>
    </x:row>
    <x:row r="364">
      <x:c r="A364" s="895" t="n">
        <x:v>44921</x:v>
      </x:c>
      <x:c r="B364" s="898" t="n">
        <x:v>34.79</x:v>
      </x:c>
      <x:c r="C364" s="898" t="n">
        <x:v>34.79</x:v>
      </x:c>
      <x:c r="D364" s="898" t="n">
        <x:v>33.74</x:v>
      </x:c>
      <x:c r="E364" s="898" t="n">
        <x:v>33.74</x:v>
      </x:c>
      <x:c r="F364" s="901" t="n">
        <x:v>52911</x:v>
      </x:c>
      <x:c r="G364" s="904" t="n">
        <x:v>1019.66</x:v>
      </x:c>
      <x:c r="H364" s="904" t="n">
        <x:v>1021.89</x:v>
      </x:c>
      <x:c r="I364" s="904" t="n">
        <x:v>985.21</x:v>
      </x:c>
      <x:c r="J364" s="904" t="n">
        <x:v>985.21</x:v>
      </x:c>
      <x:c r="K364" s="901" t="n">
        <x:v>534206745</x:v>
      </x:c>
      <x:c r="L364" s="907" t="str">
        <x:v>SRC-P404</x:v>
      </x:c>
      <x:c r="M364" s="907" t="str">
        <x:v>VNStock API actual</x:v>
      </x:c>
      <x:c r="N364" s="1032" t="n">
        <x:v>46229.241747685184</x:v>
      </x:c>
    </x:row>
    <x:row r="365">
      <x:c r="A365" s="895" t="n">
        <x:v>44922</x:v>
      </x:c>
      <x:c r="B365" s="898" t="n">
        <x:v>34.42</x:v>
      </x:c>
      <x:c r="C365" s="898" t="n">
        <x:v>34.72</x:v>
      </x:c>
      <x:c r="D365" s="898" t="n">
        <x:v>33.43</x:v>
      </x:c>
      <x:c r="E365" s="898" t="n">
        <x:v>34.72</x:v>
      </x:c>
      <x:c r="F365" s="901" t="n">
        <x:v>135763</x:v>
      </x:c>
      <x:c r="G365" s="904" t="n">
        <x:v>986.07</x:v>
      </x:c>
      <x:c r="H365" s="904" t="n">
        <x:v>1007.88</x:v>
      </x:c>
      <x:c r="I365" s="904" t="n">
        <x:v>983.67</x:v>
      </x:c>
      <x:c r="J365" s="904" t="n">
        <x:v>1004.57</x:v>
      </x:c>
      <x:c r="K365" s="901" t="n">
        <x:v>484114138</x:v>
      </x:c>
      <x:c r="L365" s="907" t="str">
        <x:v>SRC-P404</x:v>
      </x:c>
      <x:c r="M365" s="907" t="str">
        <x:v>VNStock API actual</x:v>
      </x:c>
      <x:c r="N365" s="1032" t="n">
        <x:v>46229.241747685184</x:v>
      </x:c>
    </x:row>
    <x:row r="366">
      <x:c r="A366" s="895" t="n">
        <x:v>44923</x:v>
      </x:c>
      <x:c r="B366" s="898" t="n">
        <x:v>34.45</x:v>
      </x:c>
      <x:c r="C366" s="898" t="n">
        <x:v>35.48</x:v>
      </x:c>
      <x:c r="D366" s="898" t="n">
        <x:v>34.45</x:v>
      </x:c>
      <x:c r="E366" s="898" t="n">
        <x:v>34.45</x:v>
      </x:c>
      <x:c r="F366" s="901" t="n">
        <x:v>317521</x:v>
      </x:c>
      <x:c r="G366" s="904" t="n">
        <x:v>1008.41</x:v>
      </x:c>
      <x:c r="H366" s="904" t="n">
        <x:v>1020.52</x:v>
      </x:c>
      <x:c r="I366" s="904" t="n">
        <x:v>998.97</x:v>
      </x:c>
      <x:c r="J366" s="904" t="n">
        <x:v>1015.66</x:v>
      </x:c>
      <x:c r="K366" s="901" t="n">
        <x:v>375445830</x:v>
      </x:c>
      <x:c r="L366" s="907" t="str">
        <x:v>SRC-P404</x:v>
      </x:c>
      <x:c r="M366" s="907" t="str">
        <x:v>VNStock API actual</x:v>
      </x:c>
      <x:c r="N366" s="1032" t="n">
        <x:v>46229.241747685184</x:v>
      </x:c>
    </x:row>
    <x:row r="367">
      <x:c r="A367" s="895" t="n">
        <x:v>44924</x:v>
      </x:c>
      <x:c r="B367" s="898" t="n">
        <x:v>35.02</x:v>
      </x:c>
      <x:c r="C367" s="898" t="n">
        <x:v>35.48</x:v>
      </x:c>
      <x:c r="D367" s="898" t="n">
        <x:v>34.11</x:v>
      </x:c>
      <x:c r="E367" s="898" t="n">
        <x:v>34.34</x:v>
      </x:c>
      <x:c r="F367" s="901" t="n">
        <x:v>192764</x:v>
      </x:c>
      <x:c r="G367" s="904" t="n">
        <x:v>1016.06</x:v>
      </x:c>
      <x:c r="H367" s="904" t="n">
        <x:v>1021.96</x:v>
      </x:c>
      <x:c r="I367" s="904" t="n">
        <x:v>1009.29</x:v>
      </x:c>
      <x:c r="J367" s="904" t="n">
        <x:v>1009.29</x:v>
      </x:c>
      <x:c r="K367" s="901" t="n">
        <x:v>357699137</x:v>
      </x:c>
      <x:c r="L367" s="907" t="str">
        <x:v>SRC-P404</x:v>
      </x:c>
      <x:c r="M367" s="907" t="str">
        <x:v>VNStock API actual</x:v>
      </x:c>
      <x:c r="N367" s="1032" t="n">
        <x:v>46229.241747685184</x:v>
      </x:c>
    </x:row>
    <x:row r="368">
      <x:c r="A368" s="895" t="n">
        <x:v>44925</x:v>
      </x:c>
      <x:c r="B368" s="898" t="n">
        <x:v>34.27</x:v>
      </x:c>
      <x:c r="C368" s="898" t="n">
        <x:v>34.79</x:v>
      </x:c>
      <x:c r="D368" s="898" t="n">
        <x:v>34.04</x:v>
      </x:c>
      <x:c r="E368" s="898" t="n">
        <x:v>34.34</x:v>
      </x:c>
      <x:c r="F368" s="901" t="n">
        <x:v>178101</x:v>
      </x:c>
      <x:c r="G368" s="904" t="n">
        <x:v>1017.45</x:v>
      </x:c>
      <x:c r="H368" s="904" t="n">
        <x:v>1017.99</x:v>
      </x:c>
      <x:c r="I368" s="904" t="n">
        <x:v>1007.09</x:v>
      </x:c>
      <x:c r="J368" s="904" t="n">
        <x:v>1007.09</x:v>
      </x:c>
      <x:c r="K368" s="901" t="n">
        <x:v>327331402</x:v>
      </x:c>
      <x:c r="L368" s="907" t="str">
        <x:v>SRC-P404</x:v>
      </x:c>
      <x:c r="M368" s="907" t="str">
        <x:v>VNStock API actual</x:v>
      </x:c>
      <x:c r="N368" s="1032" t="n">
        <x:v>46229.241747685184</x:v>
      </x:c>
    </x:row>
    <x:row r="369">
      <x:c r="A369" s="895" t="n">
        <x:v>44929</x:v>
      </x:c>
      <x:c r="B369" s="898" t="n">
        <x:v>34.95</x:v>
      </x:c>
      <x:c r="C369" s="898" t="n">
        <x:v>34.95</x:v>
      </x:c>
      <x:c r="D369" s="898" t="n">
        <x:v>34.34</x:v>
      </x:c>
      <x:c r="E369" s="898" t="n">
        <x:v>34.79</x:v>
      </x:c>
      <x:c r="F369" s="901" t="n">
        <x:v>537923</x:v>
      </x:c>
      <x:c r="G369" s="904" t="n">
        <x:v>1011.39</x:v>
      </x:c>
      <x:c r="H369" s="904" t="n">
        <x:v>1043.9</x:v>
      </x:c>
      <x:c r="I369" s="904" t="n">
        <x:v>1011.38</x:v>
      </x:c>
      <x:c r="J369" s="904" t="n">
        <x:v>1043.9</x:v>
      </x:c>
      <x:c r="K369" s="901" t="n">
        <x:v>495370447</x:v>
      </x:c>
      <x:c r="L369" s="907" t="str">
        <x:v>SRC-P404</x:v>
      </x:c>
      <x:c r="M369" s="907" t="str">
        <x:v>VNStock API actual</x:v>
      </x:c>
      <x:c r="N369" s="1032" t="n">
        <x:v>46229.241747685184</x:v>
      </x:c>
    </x:row>
    <x:row r="370">
      <x:c r="A370" s="895" t="n">
        <x:v>44930</x:v>
      </x:c>
      <x:c r="B370" s="898" t="n">
        <x:v>34.79</x:v>
      </x:c>
      <x:c r="C370" s="898" t="n">
        <x:v>36.31</x:v>
      </x:c>
      <x:c r="D370" s="898" t="n">
        <x:v>34.79</x:v>
      </x:c>
      <x:c r="E370" s="898" t="n">
        <x:v>34.79</x:v>
      </x:c>
      <x:c r="F370" s="901" t="n">
        <x:v>487202</x:v>
      </x:c>
      <x:c r="G370" s="904" t="n">
        <x:v>1048.31</x:v>
      </x:c>
      <x:c r="H370" s="904" t="n">
        <x:v>1052.6</x:v>
      </x:c>
      <x:c r="I370" s="904" t="n">
        <x:v>1041.56</x:v>
      </x:c>
      <x:c r="J370" s="904" t="n">
        <x:v>1046.35</x:v>
      </x:c>
      <x:c r="K370" s="901" t="n">
        <x:v>546100135</x:v>
      </x:c>
      <x:c r="L370" s="907" t="str">
        <x:v>SRC-P404</x:v>
      </x:c>
      <x:c r="M370" s="907" t="str">
        <x:v>VNStock API actual</x:v>
      </x:c>
      <x:c r="N370" s="1032" t="n">
        <x:v>46229.241747685184</x:v>
      </x:c>
    </x:row>
    <x:row r="371">
      <x:c r="A371" s="895" t="n">
        <x:v>44931</x:v>
      </x:c>
      <x:c r="B371" s="898" t="n">
        <x:v>35.51</x:v>
      </x:c>
      <x:c r="C371" s="898" t="n">
        <x:v>35.51</x:v>
      </x:c>
      <x:c r="D371" s="898" t="n">
        <x:v>34.79</x:v>
      </x:c>
      <x:c r="E371" s="898" t="n">
        <x:v>34.83</x:v>
      </x:c>
      <x:c r="F371" s="901" t="n">
        <x:v>552071</x:v>
      </x:c>
      <x:c r="G371" s="904" t="n">
        <x:v>1048.17</x:v>
      </x:c>
      <x:c r="H371" s="904" t="n">
        <x:v>1058.14</x:v>
      </x:c>
      <x:c r="I371" s="904" t="n">
        <x:v>1046.64</x:v>
      </x:c>
      <x:c r="J371" s="904" t="n">
        <x:v>1055.82</x:v>
      </x:c>
      <x:c r="K371" s="901" t="n">
        <x:v>472906022</x:v>
      </x:c>
      <x:c r="L371" s="907" t="str">
        <x:v>SRC-P404</x:v>
      </x:c>
      <x:c r="M371" s="907" t="str">
        <x:v>VNStock API actual</x:v>
      </x:c>
      <x:c r="N371" s="1032" t="n">
        <x:v>46229.241747685184</x:v>
      </x:c>
    </x:row>
    <x:row r="372">
      <x:c r="A372" s="895" t="n">
        <x:v>44932</x:v>
      </x:c>
      <x:c r="B372" s="898" t="n">
        <x:v>35.7</x:v>
      </x:c>
      <x:c r="C372" s="898" t="n">
        <x:v>36.08</x:v>
      </x:c>
      <x:c r="D372" s="898" t="n">
        <x:v>35.21</x:v>
      </x:c>
      <x:c r="E372" s="898" t="n">
        <x:v>35.25</x:v>
      </x:c>
      <x:c r="F372" s="901" t="n">
        <x:v>362661</x:v>
      </x:c>
      <x:c r="G372" s="904" t="n">
        <x:v>1055.51</x:v>
      </x:c>
      <x:c r="H372" s="904" t="n">
        <x:v>1065.58</x:v>
      </x:c>
      <x:c r="I372" s="904" t="n">
        <x:v>1047.26</x:v>
      </x:c>
      <x:c r="J372" s="904" t="n">
        <x:v>1051.44</x:v>
      </x:c>
      <x:c r="K372" s="901" t="n">
        <x:v>586381415</x:v>
      </x:c>
      <x:c r="L372" s="907" t="str">
        <x:v>SRC-P404</x:v>
      </x:c>
      <x:c r="M372" s="907" t="str">
        <x:v>VNStock API actual</x:v>
      </x:c>
      <x:c r="N372" s="1032" t="n">
        <x:v>46229.241747685184</x:v>
      </x:c>
    </x:row>
    <x:row r="373">
      <x:c r="A373" s="895" t="n">
        <x:v>44935</x:v>
      </x:c>
      <x:c r="B373" s="898" t="n">
        <x:v>35.4</x:v>
      </x:c>
      <x:c r="C373" s="898" t="n">
        <x:v>35.85</x:v>
      </x:c>
      <x:c r="D373" s="898" t="n">
        <x:v>35.4</x:v>
      </x:c>
      <x:c r="E373" s="898" t="n">
        <x:v>35.78</x:v>
      </x:c>
      <x:c r="F373" s="901" t="n">
        <x:v>269161</x:v>
      </x:c>
      <x:c r="G373" s="904" t="n">
        <x:v>1058.28</x:v>
      </x:c>
      <x:c r="H373" s="904" t="n">
        <x:v>1062.12</x:v>
      </x:c>
      <x:c r="I373" s="904" t="n">
        <x:v>1050.95</x:v>
      </x:c>
      <x:c r="J373" s="904" t="n">
        <x:v>1054.21</x:v>
      </x:c>
      <x:c r="K373" s="901" t="n">
        <x:v>368655811</x:v>
      </x:c>
      <x:c r="L373" s="907" t="str">
        <x:v>SRC-P404</x:v>
      </x:c>
      <x:c r="M373" s="907" t="str">
        <x:v>VNStock API actual</x:v>
      </x:c>
      <x:c r="N373" s="1032" t="n">
        <x:v>46229.241747685184</x:v>
      </x:c>
    </x:row>
    <x:row r="374">
      <x:c r="A374" s="895" t="n">
        <x:v>44936</x:v>
      </x:c>
      <x:c r="B374" s="898" t="n">
        <x:v>35.85</x:v>
      </x:c>
      <x:c r="C374" s="898" t="n">
        <x:v>36.31</x:v>
      </x:c>
      <x:c r="D374" s="898" t="n">
        <x:v>35.63</x:v>
      </x:c>
      <x:c r="E374" s="898" t="n">
        <x:v>36.27</x:v>
      </x:c>
      <x:c r="F374" s="901" t="n">
        <x:v>486261</x:v>
      </x:c>
      <x:c r="G374" s="904" t="n">
        <x:v>1054.84</x:v>
      </x:c>
      <x:c r="H374" s="904" t="n">
        <x:v>1057.44</x:v>
      </x:c>
      <x:c r="I374" s="904" t="n">
        <x:v>1045.75</x:v>
      </x:c>
      <x:c r="J374" s="904" t="n">
        <x:v>1053.35</x:v>
      </x:c>
      <x:c r="K374" s="901" t="n">
        <x:v>406057518</x:v>
      </x:c>
      <x:c r="L374" s="907" t="str">
        <x:v>SRC-P404</x:v>
      </x:c>
      <x:c r="M374" s="907" t="str">
        <x:v>VNStock API actual</x:v>
      </x:c>
      <x:c r="N374" s="1032" t="n">
        <x:v>46229.241747685184</x:v>
      </x:c>
    </x:row>
    <x:row r="375">
      <x:c r="A375" s="895" t="n">
        <x:v>44937</x:v>
      </x:c>
      <x:c r="B375" s="898" t="n">
        <x:v>36.31</x:v>
      </x:c>
      <x:c r="C375" s="898" t="n">
        <x:v>36.35</x:v>
      </x:c>
      <x:c r="D375" s="898" t="n">
        <x:v>35.93</x:v>
      </x:c>
      <x:c r="E375" s="898" t="n">
        <x:v>35.93</x:v>
      </x:c>
      <x:c r="F375" s="901" t="n">
        <x:v>260228</x:v>
      </x:c>
      <x:c r="G375" s="904" t="n">
        <x:v>1058.25</x:v>
      </x:c>
      <x:c r="H375" s="904" t="n">
        <x:v>1065.69</x:v>
      </x:c>
      <x:c r="I375" s="904" t="n">
        <x:v>1054.53</x:v>
      </x:c>
      <x:c r="J375" s="904" t="n">
        <x:v>1055.76</x:v>
      </x:c>
      <x:c r="K375" s="901" t="n">
        <x:v>490275635</x:v>
      </x:c>
      <x:c r="L375" s="907" t="str">
        <x:v>SRC-P404</x:v>
      </x:c>
      <x:c r="M375" s="907" t="str">
        <x:v>VNStock API actual</x:v>
      </x:c>
      <x:c r="N375" s="1032" t="n">
        <x:v>46229.241747685184</x:v>
      </x:c>
    </x:row>
    <x:row r="376">
      <x:c r="A376" s="895" t="n">
        <x:v>44938</x:v>
      </x:c>
      <x:c r="B376" s="898" t="n">
        <x:v>36.31</x:v>
      </x:c>
      <x:c r="C376" s="898" t="n">
        <x:v>36.31</x:v>
      </x:c>
      <x:c r="D376" s="898" t="n">
        <x:v>35.78</x:v>
      </x:c>
      <x:c r="E376" s="898" t="n">
        <x:v>36.12</x:v>
      </x:c>
      <x:c r="F376" s="901" t="n">
        <x:v>94094</x:v>
      </x:c>
      <x:c r="G376" s="904" t="n">
        <x:v>1058.51</x:v>
      </x:c>
      <x:c r="H376" s="904" t="n">
        <x:v>1060.97</x:v>
      </x:c>
      <x:c r="I376" s="904" t="n">
        <x:v>1050.27</x:v>
      </x:c>
      <x:c r="J376" s="904" t="n">
        <x:v>1056.39</x:v>
      </x:c>
      <x:c r="K376" s="901" t="n">
        <x:v>370321885</x:v>
      </x:c>
      <x:c r="L376" s="907" t="str">
        <x:v>SRC-P404</x:v>
      </x:c>
      <x:c r="M376" s="907" t="str">
        <x:v>VNStock API actual</x:v>
      </x:c>
      <x:c r="N376" s="1032" t="n">
        <x:v>46229.241747685184</x:v>
      </x:c>
    </x:row>
    <x:row r="377">
      <x:c r="A377" s="895" t="n">
        <x:v>44939</x:v>
      </x:c>
      <x:c r="B377" s="898" t="n">
        <x:v>36.27</x:v>
      </x:c>
      <x:c r="C377" s="898" t="n">
        <x:v>36.27</x:v>
      </x:c>
      <x:c r="D377" s="898" t="n">
        <x:v>35.7</x:v>
      </x:c>
      <x:c r="E377" s="898" t="n">
        <x:v>36.12</x:v>
      </x:c>
      <x:c r="F377" s="901" t="n">
        <x:v>131540</x:v>
      </x:c>
      <x:c r="G377" s="904" t="n">
        <x:v>1060.71</x:v>
      </x:c>
      <x:c r="H377" s="904" t="n">
        <x:v>1066.39</x:v>
      </x:c>
      <x:c r="I377" s="904" t="n">
        <x:v>1055.23</x:v>
      </x:c>
      <x:c r="J377" s="904" t="n">
        <x:v>1060.17</x:v>
      </x:c>
      <x:c r="K377" s="901" t="n">
        <x:v>459494342</x:v>
      </x:c>
      <x:c r="L377" s="907" t="str">
        <x:v>SRC-P404</x:v>
      </x:c>
      <x:c r="M377" s="907" t="str">
        <x:v>VNStock API actual</x:v>
      </x:c>
      <x:c r="N377" s="1032" t="n">
        <x:v>46229.241747685184</x:v>
      </x:c>
    </x:row>
    <x:row r="378">
      <x:c r="A378" s="895" t="n">
        <x:v>44942</x:v>
      </x:c>
      <x:c r="B378" s="898" t="n">
        <x:v>36.16</x:v>
      </x:c>
      <x:c r="C378" s="898" t="n">
        <x:v>36.16</x:v>
      </x:c>
      <x:c r="D378" s="898" t="n">
        <x:v>35.55</x:v>
      </x:c>
      <x:c r="E378" s="898" t="n">
        <x:v>35.55</x:v>
      </x:c>
      <x:c r="F378" s="901" t="n">
        <x:v>417710</x:v>
      </x:c>
      <x:c r="G378" s="904" t="n">
        <x:v>1062.27</x:v>
      </x:c>
      <x:c r="H378" s="904" t="n">
        <x:v>1067.74</x:v>
      </x:c>
      <x:c r="I378" s="904" t="n">
        <x:v>1057.87</x:v>
      </x:c>
      <x:c r="J378" s="904" t="n">
        <x:v>1066.68</x:v>
      </x:c>
      <x:c r="K378" s="901" t="n">
        <x:v>391079501</x:v>
      </x:c>
      <x:c r="L378" s="907" t="str">
        <x:v>SRC-P404</x:v>
      </x:c>
      <x:c r="M378" s="907" t="str">
        <x:v>VNStock API actual</x:v>
      </x:c>
      <x:c r="N378" s="1032" t="n">
        <x:v>46229.241747685184</x:v>
      </x:c>
    </x:row>
    <x:row r="379">
      <x:c r="A379" s="895" t="n">
        <x:v>44943</x:v>
      </x:c>
      <x:c r="B379" s="898" t="n">
        <x:v>35.85</x:v>
      </x:c>
      <x:c r="C379" s="898" t="n">
        <x:v>36.76</x:v>
      </x:c>
      <x:c r="D379" s="898" t="n">
        <x:v>35.78</x:v>
      </x:c>
      <x:c r="E379" s="898" t="n">
        <x:v>36.31</x:v>
      </x:c>
      <x:c r="F379" s="901" t="n">
        <x:v>822304</x:v>
      </x:c>
      <x:c r="G379" s="904" t="n">
        <x:v>1071.37</x:v>
      </x:c>
      <x:c r="H379" s="904" t="n">
        <x:v>1088.29</x:v>
      </x:c>
      <x:c r="I379" s="904" t="n">
        <x:v>1069.86</x:v>
      </x:c>
      <x:c r="J379" s="904" t="n">
        <x:v>1088.29</x:v>
      </x:c>
      <x:c r="K379" s="901" t="n">
        <x:v>566247477</x:v>
      </x:c>
      <x:c r="L379" s="907" t="str">
        <x:v>SRC-P404</x:v>
      </x:c>
      <x:c r="M379" s="907" t="str">
        <x:v>VNStock API actual</x:v>
      </x:c>
      <x:c r="N379" s="1032" t="n">
        <x:v>46229.241747685184</x:v>
      </x:c>
    </x:row>
    <x:row r="380">
      <x:c r="A380" s="895" t="n">
        <x:v>44944</x:v>
      </x:c>
      <x:c r="B380" s="898" t="n">
        <x:v>36.42</x:v>
      </x:c>
      <x:c r="C380" s="898" t="n">
        <x:v>37.06</x:v>
      </x:c>
      <x:c r="D380" s="898" t="n">
        <x:v>36.27</x:v>
      </x:c>
      <x:c r="E380" s="898" t="n">
        <x:v>36.91</x:v>
      </x:c>
      <x:c r="F380" s="901" t="n">
        <x:v>714436</x:v>
      </x:c>
      <x:c r="G380" s="904" t="n">
        <x:v>1092.5</x:v>
      </x:c>
      <x:c r="H380" s="904" t="n">
        <x:v>1100.39</x:v>
      </x:c>
      <x:c r="I380" s="904" t="n">
        <x:v>1089.56</x:v>
      </x:c>
      <x:c r="J380" s="904" t="n">
        <x:v>1098.28</x:v>
      </x:c>
      <x:c r="K380" s="901" t="n">
        <x:v>531786150</x:v>
      </x:c>
      <x:c r="L380" s="907" t="str">
        <x:v>SRC-P404</x:v>
      </x:c>
      <x:c r="M380" s="907" t="str">
        <x:v>VNStock API actual</x:v>
      </x:c>
      <x:c r="N380" s="1032" t="n">
        <x:v>46229.241747685184</x:v>
      </x:c>
    </x:row>
    <x:row r="381">
      <x:c r="A381" s="895" t="n">
        <x:v>44945</x:v>
      </x:c>
      <x:c r="B381" s="898" t="n">
        <x:v>37.14</x:v>
      </x:c>
      <x:c r="C381" s="898" t="n">
        <x:v>38.73</x:v>
      </x:c>
      <x:c r="D381" s="898" t="n">
        <x:v>37.03</x:v>
      </x:c>
      <x:c r="E381" s="898" t="n">
        <x:v>38.65</x:v>
      </x:c>
      <x:c r="F381" s="901" t="n">
        <x:v>923168</x:v>
      </x:c>
      <x:c r="G381" s="904" t="n">
        <x:v>1095.53</x:v>
      </x:c>
      <x:c r="H381" s="904" t="n">
        <x:v>1111.72</x:v>
      </x:c>
      <x:c r="I381" s="904" t="n">
        <x:v>1094.46</x:v>
      </x:c>
      <x:c r="J381" s="904" t="n">
        <x:v>1108.08</x:v>
      </x:c>
      <x:c r="K381" s="901" t="n">
        <x:v>556193050</x:v>
      </x:c>
      <x:c r="L381" s="907" t="str">
        <x:v>SRC-P404</x:v>
      </x:c>
      <x:c r="M381" s="907" t="str">
        <x:v>VNStock API actual</x:v>
      </x:c>
      <x:c r="N381" s="1032" t="n">
        <x:v>46229.241747685184</x:v>
      </x:c>
    </x:row>
    <x:row r="382">
      <x:c r="A382" s="895" t="n">
        <x:v>44953</x:v>
      </x:c>
      <x:c r="B382" s="898" t="n">
        <x:v>39.03</x:v>
      </x:c>
      <x:c r="C382" s="898" t="n">
        <x:v>39.56</x:v>
      </x:c>
      <x:c r="D382" s="898" t="n">
        <x:v>38.65</x:v>
      </x:c>
      <x:c r="E382" s="898" t="n">
        <x:v>39.26</x:v>
      </x:c>
      <x:c r="F382" s="901" t="n">
        <x:v>734360</x:v>
      </x:c>
      <x:c r="G382" s="904" t="n">
        <x:v>1114.15</x:v>
      </x:c>
      <x:c r="H382" s="904" t="n">
        <x:v>1124.3</x:v>
      </x:c>
      <x:c r="I382" s="904" t="n">
        <x:v>1111.41</x:v>
      </x:c>
      <x:c r="J382" s="904" t="n">
        <x:v>1117.1</x:v>
      </x:c>
      <x:c r="K382" s="901" t="n">
        <x:v>552307747</x:v>
      </x:c>
      <x:c r="L382" s="907" t="str">
        <x:v>SRC-P404</x:v>
      </x:c>
      <x:c r="M382" s="907" t="str">
        <x:v>VNStock API actual</x:v>
      </x:c>
      <x:c r="N382" s="1032" t="n">
        <x:v>46229.241747685184</x:v>
      </x:c>
    </x:row>
    <x:row r="383">
      <x:c r="A383" s="895" t="n">
        <x:v>44956</x:v>
      </x:c>
      <x:c r="B383" s="898" t="n">
        <x:v>39.33</x:v>
      </x:c>
      <x:c r="C383" s="898" t="n">
        <x:v>39.48</x:v>
      </x:c>
      <x:c r="D383" s="898" t="n">
        <x:v>38.58</x:v>
      </x:c>
      <x:c r="E383" s="898" t="n">
        <x:v>39.03</x:v>
      </x:c>
      <x:c r="F383" s="901" t="n">
        <x:v>662361</x:v>
      </x:c>
      <x:c r="G383" s="904" t="n">
        <x:v>1117.66</x:v>
      </x:c>
      <x:c r="H383" s="904" t="n">
        <x:v>1118.46</x:v>
      </x:c>
      <x:c r="I383" s="904" t="n">
        <x:v>1102.57</x:v>
      </x:c>
      <x:c r="J383" s="904" t="n">
        <x:v>1102.57</x:v>
      </x:c>
      <x:c r="K383" s="901" t="n">
        <x:v>725060556</x:v>
      </x:c>
      <x:c r="L383" s="907" t="str">
        <x:v>SRC-P404</x:v>
      </x:c>
      <x:c r="M383" s="907" t="str">
        <x:v>VNStock API actual</x:v>
      </x:c>
      <x:c r="N383" s="1032" t="n">
        <x:v>46229.241747685184</x:v>
      </x:c>
    </x:row>
    <x:row r="384">
      <x:c r="A384" s="895" t="n">
        <x:v>44957</x:v>
      </x:c>
      <x:c r="B384" s="898" t="n">
        <x:v>39.33</x:v>
      </x:c>
      <x:c r="C384" s="898" t="n">
        <x:v>40.47</x:v>
      </x:c>
      <x:c r="D384" s="898" t="n">
        <x:v>38.88</x:v>
      </x:c>
      <x:c r="E384" s="898" t="n">
        <x:v>40.09</x:v>
      </x:c>
      <x:c r="F384" s="901" t="n">
        <x:v>1188177</x:v>
      </x:c>
      <x:c r="G384" s="904" t="n">
        <x:v>1100.4</x:v>
      </x:c>
      <x:c r="H384" s="904" t="n">
        <x:v>1111.18</x:v>
      </x:c>
      <x:c r="I384" s="904" t="n">
        <x:v>1088.25</x:v>
      </x:c>
      <x:c r="J384" s="904" t="n">
        <x:v>1111.18</x:v>
      </x:c>
      <x:c r="K384" s="901" t="n">
        <x:v>629524308</x:v>
      </x:c>
      <x:c r="L384" s="907" t="str">
        <x:v>SRC-P404</x:v>
      </x:c>
      <x:c r="M384" s="907" t="str">
        <x:v>VNStock API actual</x:v>
      </x:c>
      <x:c r="N384" s="1032" t="n">
        <x:v>46229.241747685184</x:v>
      </x:c>
    </x:row>
    <x:row r="385">
      <x:c r="A385" s="895" t="n">
        <x:v>44958</x:v>
      </x:c>
      <x:c r="B385" s="898" t="n">
        <x:v>40.77</x:v>
      </x:c>
      <x:c r="C385" s="898" t="n">
        <x:v>40.85</x:v>
      </x:c>
      <x:c r="D385" s="898" t="n">
        <x:v>38.88</x:v>
      </x:c>
      <x:c r="E385" s="898" t="n">
        <x:v>38.96</x:v>
      </x:c>
      <x:c r="F385" s="901" t="n">
        <x:v>946030</x:v>
      </x:c>
      <x:c r="G385" s="904" t="n">
        <x:v>1114.68</x:v>
      </x:c>
      <x:c r="H385" s="904" t="n">
        <x:v>1116.96</x:v>
      </x:c>
      <x:c r="I385" s="904" t="n">
        <x:v>1075.97</x:v>
      </x:c>
      <x:c r="J385" s="904" t="n">
        <x:v>1075.97</x:v>
      </x:c>
      <x:c r="K385" s="901" t="n">
        <x:v>938658935</x:v>
      </x:c>
      <x:c r="L385" s="907" t="str">
        <x:v>SRC-P404</x:v>
      </x:c>
      <x:c r="M385" s="907" t="str">
        <x:v>VNStock API actual</x:v>
      </x:c>
      <x:c r="N385" s="1032" t="n">
        <x:v>46229.241747685184</x:v>
      </x:c>
    </x:row>
    <x:row r="386">
      <x:c r="A386" s="895" t="n">
        <x:v>44959</x:v>
      </x:c>
      <x:c r="B386" s="898" t="n">
        <x:v>38.73</x:v>
      </x:c>
      <x:c r="C386" s="898" t="n">
        <x:v>40.09</x:v>
      </x:c>
      <x:c r="D386" s="898" t="n">
        <x:v>38.73</x:v>
      </x:c>
      <x:c r="E386" s="898" t="n">
        <x:v>40.09</x:v>
      </x:c>
      <x:c r="F386" s="901" t="n">
        <x:v>782192</x:v>
      </x:c>
      <x:c r="G386" s="904" t="n">
        <x:v>1079.69</x:v>
      </x:c>
      <x:c r="H386" s="904" t="n">
        <x:v>1083.36</x:v>
      </x:c>
      <x:c r="I386" s="904" t="n">
        <x:v>1070.81</x:v>
      </x:c>
      <x:c r="J386" s="904" t="n">
        <x:v>1077.59</x:v>
      </x:c>
      <x:c r="K386" s="901" t="n">
        <x:v>567704887</x:v>
      </x:c>
      <x:c r="L386" s="907" t="str">
        <x:v>SRC-P404</x:v>
      </x:c>
      <x:c r="M386" s="907" t="str">
        <x:v>VNStock API actual</x:v>
      </x:c>
      <x:c r="N386" s="1032" t="n">
        <x:v>46229.241747685184</x:v>
      </x:c>
    </x:row>
    <x:row r="387">
      <x:c r="A387" s="895" t="n">
        <x:v>44960</x:v>
      </x:c>
      <x:c r="B387" s="898" t="n">
        <x:v>40.17</x:v>
      </x:c>
      <x:c r="C387" s="898" t="n">
        <x:v>41.3</x:v>
      </x:c>
      <x:c r="D387" s="898" t="n">
        <x:v>38.96</x:v>
      </x:c>
      <x:c r="E387" s="898" t="n">
        <x:v>41.3</x:v>
      </x:c>
      <x:c r="F387" s="901" t="n">
        <x:v>3204652</x:v>
      </x:c>
      <x:c r="G387" s="904" t="n">
        <x:v>1078.8</x:v>
      </x:c>
      <x:c r="H387" s="904" t="n">
        <x:v>1081.89</x:v>
      </x:c>
      <x:c r="I387" s="904" t="n">
        <x:v>1070.46</x:v>
      </x:c>
      <x:c r="J387" s="904" t="n">
        <x:v>1077.15</x:v>
      </x:c>
      <x:c r="K387" s="901" t="n">
        <x:v>487967451</x:v>
      </x:c>
      <x:c r="L387" s="907" t="str">
        <x:v>SRC-P404</x:v>
      </x:c>
      <x:c r="M387" s="907" t="str">
        <x:v>VNStock API actual</x:v>
      </x:c>
      <x:c r="N387" s="1032" t="n">
        <x:v>46229.241747685184</x:v>
      </x:c>
    </x:row>
    <x:row r="388">
      <x:c r="A388" s="895" t="n">
        <x:v>44963</x:v>
      </x:c>
      <x:c r="B388" s="898" t="n">
        <x:v>40.24</x:v>
      </x:c>
      <x:c r="C388" s="898" t="n">
        <x:v>42.51</x:v>
      </x:c>
      <x:c r="D388" s="898" t="n">
        <x:v>39.79</x:v>
      </x:c>
      <x:c r="E388" s="898" t="n">
        <x:v>42.51</x:v>
      </x:c>
      <x:c r="F388" s="901" t="n">
        <x:v>856230</x:v>
      </x:c>
      <x:c r="G388" s="904" t="n">
        <x:v>1072.53</x:v>
      </x:c>
      <x:c r="H388" s="904" t="n">
        <x:v>1089.29</x:v>
      </x:c>
      <x:c r="I388" s="904" t="n">
        <x:v>1067.24</x:v>
      </x:c>
      <x:c r="J388" s="904" t="n">
        <x:v>1089.29</x:v>
      </x:c>
      <x:c r="K388" s="901" t="n">
        <x:v>392295500</x:v>
      </x:c>
      <x:c r="L388" s="907" t="str">
        <x:v>SRC-P404</x:v>
      </x:c>
      <x:c r="M388" s="907" t="str">
        <x:v>VNStock API actual</x:v>
      </x:c>
      <x:c r="N388" s="1032" t="n">
        <x:v>46229.241747685184</x:v>
      </x:c>
    </x:row>
    <x:row r="389">
      <x:c r="A389" s="895" t="n">
        <x:v>44964</x:v>
      </x:c>
      <x:c r="B389" s="898" t="n">
        <x:v>41.75</x:v>
      </x:c>
      <x:c r="C389" s="898" t="n">
        <x:v>42.28</x:v>
      </x:c>
      <x:c r="D389" s="898" t="n">
        <x:v>40.54</x:v>
      </x:c>
      <x:c r="E389" s="898" t="n">
        <x:v>40.54</x:v>
      </x:c>
      <x:c r="F389" s="901" t="n">
        <x:v>353968</x:v>
      </x:c>
      <x:c r="G389" s="904" t="n">
        <x:v>1088.07</x:v>
      </x:c>
      <x:c r="H389" s="904" t="n">
        <x:v>1092.12</x:v>
      </x:c>
      <x:c r="I389" s="904" t="n">
        <x:v>1065.18</x:v>
      </x:c>
      <x:c r="J389" s="904" t="n">
        <x:v>1065.84</x:v>
      </x:c>
      <x:c r="K389" s="901" t="n">
        <x:v>565279974</x:v>
      </x:c>
      <x:c r="L389" s="907" t="str">
        <x:v>SRC-P404</x:v>
      </x:c>
      <x:c r="M389" s="907" t="str">
        <x:v>VNStock API actual</x:v>
      </x:c>
      <x:c r="N389" s="1032" t="n">
        <x:v>46229.241747685184</x:v>
      </x:c>
    </x:row>
    <x:row r="390">
      <x:c r="A390" s="895" t="n">
        <x:v>44965</x:v>
      </x:c>
      <x:c r="B390" s="898" t="n">
        <x:v>40.92</x:v>
      </x:c>
      <x:c r="C390" s="898" t="n">
        <x:v>40.92</x:v>
      </x:c>
      <x:c r="D390" s="898" t="n">
        <x:v>39.41</x:v>
      </x:c>
      <x:c r="E390" s="898" t="n">
        <x:v>39.41</x:v>
      </x:c>
      <x:c r="F390" s="901" t="n">
        <x:v>482585</x:v>
      </x:c>
      <x:c r="G390" s="904" t="n">
        <x:v>1067.58</x:v>
      </x:c>
      <x:c r="H390" s="904" t="n">
        <x:v>1079.51</x:v>
      </x:c>
      <x:c r="I390" s="904" t="n">
        <x:v>1063.5</x:v>
      </x:c>
      <x:c r="J390" s="904" t="n">
        <x:v>1072.22</x:v>
      </x:c>
      <x:c r="K390" s="901" t="n">
        <x:v>452708164</x:v>
      </x:c>
      <x:c r="L390" s="907" t="str">
        <x:v>SRC-P404</x:v>
      </x:c>
      <x:c r="M390" s="907" t="str">
        <x:v>VNStock API actual</x:v>
      </x:c>
      <x:c r="N390" s="1032" t="n">
        <x:v>46229.241747685184</x:v>
      </x:c>
    </x:row>
    <x:row r="391">
      <x:c r="A391" s="895" t="n">
        <x:v>44966</x:v>
      </x:c>
      <x:c r="B391" s="898" t="n">
        <x:v>39.71</x:v>
      </x:c>
      <x:c r="C391" s="898" t="n">
        <x:v>40.92</x:v>
      </x:c>
      <x:c r="D391" s="898" t="n">
        <x:v>39.41</x:v>
      </x:c>
      <x:c r="E391" s="898" t="n">
        <x:v>40.69</x:v>
      </x:c>
      <x:c r="F391" s="901" t="n">
        <x:v>533192</x:v>
      </x:c>
      <x:c r="G391" s="904" t="n">
        <x:v>1070.07</x:v>
      </x:c>
      <x:c r="H391" s="904" t="n">
        <x:v>1075.2</x:v>
      </x:c>
      <x:c r="I391" s="904" t="n">
        <x:v>1064.03</x:v>
      </x:c>
      <x:c r="J391" s="904" t="n">
        <x:v>1064.03</x:v>
      </x:c>
      <x:c r="K391" s="901" t="n">
        <x:v>363991072</x:v>
      </x:c>
      <x:c r="L391" s="907" t="str">
        <x:v>SRC-P404</x:v>
      </x:c>
      <x:c r="M391" s="907" t="str">
        <x:v>VNStock API actual</x:v>
      </x:c>
      <x:c r="N391" s="1032" t="n">
        <x:v>46229.241747685184</x:v>
      </x:c>
    </x:row>
    <x:row r="392">
      <x:c r="A392" s="895" t="n">
        <x:v>44967</x:v>
      </x:c>
      <x:c r="B392" s="898" t="n">
        <x:v>40.69</x:v>
      </x:c>
      <x:c r="C392" s="898" t="n">
        <x:v>40.69</x:v>
      </x:c>
      <x:c r="D392" s="898" t="n">
        <x:v>39.79</x:v>
      </x:c>
      <x:c r="E392" s="898" t="n">
        <x:v>39.79</x:v>
      </x:c>
      <x:c r="F392" s="901" t="n">
        <x:v>215554</x:v>
      </x:c>
      <x:c r="G392" s="904" t="n">
        <x:v>1066.16</x:v>
      </x:c>
      <x:c r="H392" s="904" t="n">
        <x:v>1066.28</x:v>
      </x:c>
      <x:c r="I392" s="904" t="n">
        <x:v>1054.08</x:v>
      </x:c>
      <x:c r="J392" s="904" t="n">
        <x:v>1055.3</x:v>
      </x:c>
      <x:c r="K392" s="901" t="n">
        <x:v>385841692</x:v>
      </x:c>
      <x:c r="L392" s="907" t="str">
        <x:v>SRC-P404</x:v>
      </x:c>
      <x:c r="M392" s="907" t="str">
        <x:v>VNStock API actual</x:v>
      </x:c>
      <x:c r="N392" s="1032" t="n">
        <x:v>46229.241747685184</x:v>
      </x:c>
    </x:row>
    <x:row r="393">
      <x:c r="A393" s="895" t="n">
        <x:v>44970</x:v>
      </x:c>
      <x:c r="B393" s="898" t="n">
        <x:v>40.09</x:v>
      </x:c>
      <x:c r="C393" s="898" t="n">
        <x:v>40.09</x:v>
      </x:c>
      <x:c r="D393" s="898" t="n">
        <x:v>38.35</x:v>
      </x:c>
      <x:c r="E393" s="898" t="n">
        <x:v>39.33</x:v>
      </x:c>
      <x:c r="F393" s="901" t="n">
        <x:v>438608</x:v>
      </x:c>
      <x:c r="G393" s="904" t="n">
        <x:v>1050.99</x:v>
      </x:c>
      <x:c r="H393" s="904" t="n">
        <x:v>1054.05</x:v>
      </x:c>
      <x:c r="I393" s="904" t="n">
        <x:v>1031.7</x:v>
      </x:c>
      <x:c r="J393" s="904" t="n">
        <x:v>1043.7</x:v>
      </x:c>
      <x:c r="K393" s="901" t="n">
        <x:v>578047487</x:v>
      </x:c>
      <x:c r="L393" s="907" t="str">
        <x:v>SRC-P404</x:v>
      </x:c>
      <x:c r="M393" s="907" t="str">
        <x:v>VNStock API actual</x:v>
      </x:c>
      <x:c r="N393" s="1032" t="n">
        <x:v>46229.241747685184</x:v>
      </x:c>
    </x:row>
    <x:row r="394">
      <x:c r="A394" s="895" t="n">
        <x:v>44971</x:v>
      </x:c>
      <x:c r="B394" s="898" t="n">
        <x:v>39.94</x:v>
      </x:c>
      <x:c r="C394" s="898" t="n">
        <x:v>39.94</x:v>
      </x:c>
      <x:c r="D394" s="898" t="n">
        <x:v>39.11</x:v>
      </x:c>
      <x:c r="E394" s="898" t="n">
        <x:v>39.11</x:v>
      </x:c>
      <x:c r="F394" s="901" t="n">
        <x:v>215222</x:v>
      </x:c>
      <x:c r="G394" s="904" t="n">
        <x:v>1045.14</x:v>
      </x:c>
      <x:c r="H394" s="904" t="n">
        <x:v>1046.64</x:v>
      </x:c>
      <x:c r="I394" s="904" t="n">
        <x:v>1032.76</x:v>
      </x:c>
      <x:c r="J394" s="904" t="n">
        <x:v>1038.64</x:v>
      </x:c>
      <x:c r="K394" s="901" t="n">
        <x:v>325253255</x:v>
      </x:c>
      <x:c r="L394" s="907" t="str">
        <x:v>SRC-P404</x:v>
      </x:c>
      <x:c r="M394" s="907" t="str">
        <x:v>VNStock API actual</x:v>
      </x:c>
      <x:c r="N394" s="1032" t="n">
        <x:v>46229.241747685184</x:v>
      </x:c>
    </x:row>
    <x:row r="395">
      <x:c r="A395" s="895" t="n">
        <x:v>44972</x:v>
      </x:c>
      <x:c r="B395" s="898" t="n">
        <x:v>39.79</x:v>
      </x:c>
      <x:c r="C395" s="898" t="n">
        <x:v>39.79</x:v>
      </x:c>
      <x:c r="D395" s="898" t="n">
        <x:v>39.03</x:v>
      </x:c>
      <x:c r="E395" s="898" t="n">
        <x:v>39.11</x:v>
      </x:c>
      <x:c r="F395" s="901" t="n">
        <x:v>199099</x:v>
      </x:c>
      <x:c r="G395" s="904" t="n">
        <x:v>1037.17</x:v>
      </x:c>
      <x:c r="H395" s="904" t="n">
        <x:v>1051.89</x:v>
      </x:c>
      <x:c r="I395" s="904" t="n">
        <x:v>1034.39</x:v>
      </x:c>
      <x:c r="J395" s="904" t="n">
        <x:v>1048.2</x:v>
      </x:c>
      <x:c r="K395" s="901" t="n">
        <x:v>472046511</x:v>
      </x:c>
      <x:c r="L395" s="907" t="str">
        <x:v>SRC-P404</x:v>
      </x:c>
      <x:c r="M395" s="907" t="str">
        <x:v>VNStock API actual</x:v>
      </x:c>
      <x:c r="N395" s="1032" t="n">
        <x:v>46229.241747685184</x:v>
      </x:c>
    </x:row>
    <x:row r="396">
      <x:c r="A396" s="895" t="n">
        <x:v>44973</x:v>
      </x:c>
      <x:c r="B396" s="898" t="n">
        <x:v>39.11</x:v>
      </x:c>
      <x:c r="C396" s="898" t="n">
        <x:v>40.09</x:v>
      </x:c>
      <x:c r="D396" s="898" t="n">
        <x:v>39.11</x:v>
      </x:c>
      <x:c r="E396" s="898" t="n">
        <x:v>39.48</x:v>
      </x:c>
      <x:c r="F396" s="901" t="n">
        <x:v>194714</x:v>
      </x:c>
      <x:c r="G396" s="904" t="n">
        <x:v>1051.16</x:v>
      </x:c>
      <x:c r="H396" s="904" t="n">
        <x:v>1058.29</x:v>
      </x:c>
      <x:c r="I396" s="904" t="n">
        <x:v>1047.45</x:v>
      </x:c>
      <x:c r="J396" s="904" t="n">
        <x:v>1058.29</x:v>
      </x:c>
      <x:c r="K396" s="901" t="n">
        <x:v>395624947</x:v>
      </x:c>
      <x:c r="L396" s="907" t="str">
        <x:v>SRC-P404</x:v>
      </x:c>
      <x:c r="M396" s="907" t="str">
        <x:v>VNStock API actual</x:v>
      </x:c>
      <x:c r="N396" s="1032" t="n">
        <x:v>46229.241747685184</x:v>
      </x:c>
    </x:row>
    <x:row r="397">
      <x:c r="A397" s="895" t="n">
        <x:v>44974</x:v>
      </x:c>
      <x:c r="B397" s="898" t="n">
        <x:v>39.94</x:v>
      </x:c>
      <x:c r="C397" s="898" t="n">
        <x:v>40.69</x:v>
      </x:c>
      <x:c r="D397" s="898" t="n">
        <x:v>39.41</x:v>
      </x:c>
      <x:c r="E397" s="898" t="n">
        <x:v>39.41</x:v>
      </x:c>
      <x:c r="F397" s="901" t="n">
        <x:v>543079</x:v>
      </x:c>
      <x:c r="G397" s="904" t="n">
        <x:v>1058.99</x:v>
      </x:c>
      <x:c r="H397" s="904" t="n">
        <x:v>1062.25</x:v>
      </x:c>
      <x:c r="I397" s="904" t="n">
        <x:v>1053.26</x:v>
      </x:c>
      <x:c r="J397" s="904" t="n">
        <x:v>1059.31</x:v>
      </x:c>
      <x:c r="K397" s="901" t="n">
        <x:v>414090312</x:v>
      </x:c>
      <x:c r="L397" s="907" t="str">
        <x:v>SRC-P404</x:v>
      </x:c>
      <x:c r="M397" s="907" t="str">
        <x:v>VNStock API actual</x:v>
      </x:c>
      <x:c r="N397" s="1032" t="n">
        <x:v>46229.241747685184</x:v>
      </x:c>
    </x:row>
    <x:row r="398">
      <x:c r="A398" s="895" t="n">
        <x:v>44977</x:v>
      </x:c>
      <x:c r="B398" s="898" t="n">
        <x:v>39.71</x:v>
      </x:c>
      <x:c r="C398" s="898" t="n">
        <x:v>40.92</x:v>
      </x:c>
      <x:c r="D398" s="898" t="n">
        <x:v>39.41</x:v>
      </x:c>
      <x:c r="E398" s="898" t="n">
        <x:v>40.47</x:v>
      </x:c>
      <x:c r="F398" s="901" t="n">
        <x:v>955581</x:v>
      </x:c>
      <x:c r="G398" s="904" t="n">
        <x:v>1059.74</x:v>
      </x:c>
      <x:c r="H398" s="904" t="n">
        <x:v>1088.01</x:v>
      </x:c>
      <x:c r="I398" s="904" t="n">
        <x:v>1059.56</x:v>
      </x:c>
      <x:c r="J398" s="904" t="n">
        <x:v>1086.69</x:v>
      </x:c>
      <x:c r="K398" s="901" t="n">
        <x:v>603720812</x:v>
      </x:c>
      <x:c r="L398" s="907" t="str">
        <x:v>SRC-P404</x:v>
      </x:c>
      <x:c r="M398" s="907" t="str">
        <x:v>VNStock API actual</x:v>
      </x:c>
      <x:c r="N398" s="1032" t="n">
        <x:v>46229.241747685184</x:v>
      </x:c>
    </x:row>
    <x:row r="399">
      <x:c r="A399" s="895" t="n">
        <x:v>44978</x:v>
      </x:c>
      <x:c r="B399" s="898" t="n">
        <x:v>40.54</x:v>
      </x:c>
      <x:c r="C399" s="898" t="n">
        <x:v>41</x:v>
      </x:c>
      <x:c r="D399" s="898" t="n">
        <x:v>40.32</x:v>
      </x:c>
      <x:c r="E399" s="898" t="n">
        <x:v>40.47</x:v>
      </x:c>
      <x:c r="F399" s="901" t="n">
        <x:v>871646</x:v>
      </x:c>
      <x:c r="G399" s="904" t="n">
        <x:v>1089.74</x:v>
      </x:c>
      <x:c r="H399" s="904" t="n">
        <x:v>1095.1</x:v>
      </x:c>
      <x:c r="I399" s="904" t="n">
        <x:v>1081.8</x:v>
      </x:c>
      <x:c r="J399" s="904" t="n">
        <x:v>1082.23</x:v>
      </x:c>
      <x:c r="K399" s="901" t="n">
        <x:v>635036875</x:v>
      </x:c>
      <x:c r="L399" s="907" t="str">
        <x:v>SRC-P404</x:v>
      </x:c>
      <x:c r="M399" s="907" t="str">
        <x:v>VNStock API actual</x:v>
      </x:c>
      <x:c r="N399" s="1032" t="n">
        <x:v>46229.241747685184</x:v>
      </x:c>
    </x:row>
    <x:row r="400">
      <x:c r="A400" s="895" t="n">
        <x:v>44979</x:v>
      </x:c>
      <x:c r="B400" s="898" t="n">
        <x:v>40.54</x:v>
      </x:c>
      <x:c r="C400" s="898" t="n">
        <x:v>41.3</x:v>
      </x:c>
      <x:c r="D400" s="898" t="n">
        <x:v>40.39</x:v>
      </x:c>
      <x:c r="E400" s="898" t="n">
        <x:v>40.47</x:v>
      </x:c>
      <x:c r="F400" s="901" t="n">
        <x:v>1353314</x:v>
      </x:c>
      <x:c r="G400" s="904" t="n">
        <x:v>1073.62</x:v>
      </x:c>
      <x:c r="H400" s="904" t="n">
        <x:v>1073.93</x:v>
      </x:c>
      <x:c r="I400" s="904" t="n">
        <x:v>1054.28</x:v>
      </x:c>
      <x:c r="J400" s="904" t="n">
        <x:v>1054.28</x:v>
      </x:c>
      <x:c r="K400" s="901" t="n">
        <x:v>742873929</x:v>
      </x:c>
      <x:c r="L400" s="907" t="str">
        <x:v>SRC-P404</x:v>
      </x:c>
      <x:c r="M400" s="907" t="str">
        <x:v>VNStock API actual</x:v>
      </x:c>
      <x:c r="N400" s="1032" t="n">
        <x:v>46229.241747685184</x:v>
      </x:c>
    </x:row>
    <x:row r="401">
      <x:c r="A401" s="895" t="n">
        <x:v>44980</x:v>
      </x:c>
      <x:c r="B401" s="898" t="n">
        <x:v>40.24</x:v>
      </x:c>
      <x:c r="C401" s="898" t="n">
        <x:v>40.47</x:v>
      </x:c>
      <x:c r="D401" s="898" t="n">
        <x:v>38.73</x:v>
      </x:c>
      <x:c r="E401" s="898" t="n">
        <x:v>39.48</x:v>
      </x:c>
      <x:c r="F401" s="901" t="n">
        <x:v>778792</x:v>
      </x:c>
      <x:c r="G401" s="904" t="n">
        <x:v>1053.95</x:v>
      </x:c>
      <x:c r="H401" s="904" t="n">
        <x:v>1054.48</x:v>
      </x:c>
      <x:c r="I401" s="904" t="n">
        <x:v>1030.58</x:v>
      </x:c>
      <x:c r="J401" s="904" t="n">
        <x:v>1053.66</x:v>
      </x:c>
      <x:c r="K401" s="901" t="n">
        <x:v>601815220</x:v>
      </x:c>
      <x:c r="L401" s="907" t="str">
        <x:v>SRC-P404</x:v>
      </x:c>
      <x:c r="M401" s="907" t="str">
        <x:v>VNStock API actual</x:v>
      </x:c>
      <x:c r="N401" s="1032" t="n">
        <x:v>46229.241747685184</x:v>
      </x:c>
    </x:row>
    <x:row r="402">
      <x:c r="A402" s="895" t="n">
        <x:v>44981</x:v>
      </x:c>
      <x:c r="B402" s="898" t="n">
        <x:v>39.79</x:v>
      </x:c>
      <x:c r="C402" s="898" t="n">
        <x:v>40.09</x:v>
      </x:c>
      <x:c r="D402" s="898" t="n">
        <x:v>38.96</x:v>
      </x:c>
      <x:c r="E402" s="898" t="n">
        <x:v>38.96</x:v>
      </x:c>
      <x:c r="F402" s="901" t="n">
        <x:v>401008</x:v>
      </x:c>
      <x:c r="G402" s="904" t="n">
        <x:v>1051.58</x:v>
      </x:c>
      <x:c r="H402" s="904" t="n">
        <x:v>1052.49</x:v>
      </x:c>
      <x:c r="I402" s="904" t="n">
        <x:v>1034.66</x:v>
      </x:c>
      <x:c r="J402" s="904" t="n">
        <x:v>1039.56</x:v>
      </x:c>
      <x:c r="K402" s="901" t="n">
        <x:v>380927906</x:v>
      </x:c>
      <x:c r="L402" s="907" t="str">
        <x:v>SRC-P404</x:v>
      </x:c>
      <x:c r="M402" s="907" t="str">
        <x:v>VNStock API actual</x:v>
      </x:c>
      <x:c r="N402" s="1032" t="n">
        <x:v>46229.241747685184</x:v>
      </x:c>
    </x:row>
    <x:row r="403">
      <x:c r="A403" s="895" t="n">
        <x:v>44984</x:v>
      </x:c>
      <x:c r="B403" s="898" t="n">
        <x:v>38.5</x:v>
      </x:c>
      <x:c r="C403" s="898" t="n">
        <x:v>38.58</x:v>
      </x:c>
      <x:c r="D403" s="898" t="n">
        <x:v>36.84</x:v>
      </x:c>
      <x:c r="E403" s="898" t="n">
        <x:v>36.84</x:v>
      </x:c>
      <x:c r="F403" s="901" t="n">
        <x:v>583199</x:v>
      </x:c>
      <x:c r="G403" s="904" t="n">
        <x:v>1029.55</x:v>
      </x:c>
      <x:c r="H403" s="904" t="n">
        <x:v>1031.59</x:v>
      </x:c>
      <x:c r="I403" s="904" t="n">
        <x:v>1017.55</x:v>
      </x:c>
      <x:c r="J403" s="904" t="n">
        <x:v>1021.25</x:v>
      </x:c>
      <x:c r="K403" s="901" t="n">
        <x:v>488187762</x:v>
      </x:c>
      <x:c r="L403" s="907" t="str">
        <x:v>SRC-P404</x:v>
      </x:c>
      <x:c r="M403" s="907" t="str">
        <x:v>VNStock API actual</x:v>
      </x:c>
      <x:c r="N403" s="1032" t="n">
        <x:v>46229.241747685184</x:v>
      </x:c>
    </x:row>
    <x:row r="404">
      <x:c r="A404" s="895" t="n">
        <x:v>44985</x:v>
      </x:c>
      <x:c r="B404" s="898" t="n">
        <x:v>37.06</x:v>
      </x:c>
      <x:c r="C404" s="898" t="n">
        <x:v>37.59</x:v>
      </x:c>
      <x:c r="D404" s="898" t="n">
        <x:v>36.8</x:v>
      </x:c>
      <x:c r="E404" s="898" t="n">
        <x:v>36.99</x:v>
      </x:c>
      <x:c r="F404" s="901" t="n">
        <x:v>568400</x:v>
      </x:c>
      <x:c r="G404" s="904" t="n">
        <x:v>1027.74</x:v>
      </x:c>
      <x:c r="H404" s="904" t="n">
        <x:v>1034.36</x:v>
      </x:c>
      <x:c r="I404" s="904" t="n">
        <x:v>1018.72</x:v>
      </x:c>
      <x:c r="J404" s="904" t="n">
        <x:v>1024.68</x:v>
      </x:c>
      <x:c r="K404" s="901" t="n">
        <x:v>344385802</x:v>
      </x:c>
      <x:c r="L404" s="907" t="str">
        <x:v>SRC-P404</x:v>
      </x:c>
      <x:c r="M404" s="907" t="str">
        <x:v>VNStock API actual</x:v>
      </x:c>
      <x:c r="N404" s="1032" t="n">
        <x:v>46229.241747685184</x:v>
      </x:c>
    </x:row>
    <x:row r="405">
      <x:c r="A405" s="895" t="n">
        <x:v>44986</x:v>
      </x:c>
      <x:c r="B405" s="898" t="n">
        <x:v>36.99</x:v>
      </x:c>
      <x:c r="C405" s="898" t="n">
        <x:v>38.2</x:v>
      </x:c>
      <x:c r="D405" s="898" t="n">
        <x:v>36.76</x:v>
      </x:c>
      <x:c r="E405" s="898" t="n">
        <x:v>38.2</x:v>
      </x:c>
      <x:c r="F405" s="901" t="n">
        <x:v>188928</x:v>
      </x:c>
      <x:c r="G405" s="904" t="n">
        <x:v>1023.29</x:v>
      </x:c>
      <x:c r="H405" s="904" t="n">
        <x:v>1040.55</x:v>
      </x:c>
      <x:c r="I405" s="904" t="n">
        <x:v>1013.37</x:v>
      </x:c>
      <x:c r="J405" s="904" t="n">
        <x:v>1040.55</x:v>
      </x:c>
      <x:c r="K405" s="901" t="n">
        <x:v>451887043</x:v>
      </x:c>
      <x:c r="L405" s="907" t="str">
        <x:v>SRC-P404</x:v>
      </x:c>
      <x:c r="M405" s="907" t="str">
        <x:v>VNStock API actual</x:v>
      </x:c>
      <x:c r="N405" s="1032" t="n">
        <x:v>46229.241747685184</x:v>
      </x:c>
    </x:row>
    <x:row r="406">
      <x:c r="A406" s="895" t="n">
        <x:v>44987</x:v>
      </x:c>
      <x:c r="B406" s="898" t="n">
        <x:v>38.2</x:v>
      </x:c>
      <x:c r="C406" s="898" t="n">
        <x:v>38.5</x:v>
      </x:c>
      <x:c r="D406" s="898" t="n">
        <x:v>37.82</x:v>
      </x:c>
      <x:c r="E406" s="898" t="n">
        <x:v>38.05</x:v>
      </x:c>
      <x:c r="F406" s="901" t="n">
        <x:v>257959</x:v>
      </x:c>
      <x:c r="G406" s="904" t="n">
        <x:v>1039</x:v>
      </x:c>
      <x:c r="H406" s="904" t="n">
        <x:v>1043.8</x:v>
      </x:c>
      <x:c r="I406" s="904" t="n">
        <x:v>1033.07</x:v>
      </x:c>
      <x:c r="J406" s="904" t="n">
        <x:v>1037.61</x:v>
      </x:c>
      <x:c r="K406" s="901" t="n">
        <x:v>306963389</x:v>
      </x:c>
      <x:c r="L406" s="907" t="str">
        <x:v>SRC-P404</x:v>
      </x:c>
      <x:c r="M406" s="907" t="str">
        <x:v>VNStock API actual</x:v>
      </x:c>
      <x:c r="N406" s="1032" t="n">
        <x:v>46229.241747685184</x:v>
      </x:c>
    </x:row>
    <x:row r="407">
      <x:c r="A407" s="895" t="n">
        <x:v>44988</x:v>
      </x:c>
      <x:c r="B407" s="898" t="n">
        <x:v>38.05</x:v>
      </x:c>
      <x:c r="C407" s="898" t="n">
        <x:v>38.2</x:v>
      </x:c>
      <x:c r="D407" s="898" t="n">
        <x:v>37.14</x:v>
      </x:c>
      <x:c r="E407" s="898" t="n">
        <x:v>37.14</x:v>
      </x:c>
      <x:c r="F407" s="901" t="n">
        <x:v>436994</x:v>
      </x:c>
      <x:c r="G407" s="904" t="n">
        <x:v>1038.1</x:v>
      </x:c>
      <x:c r="H407" s="904" t="n">
        <x:v>1041.82</x:v>
      </x:c>
      <x:c r="I407" s="904" t="n">
        <x:v>1022.78</x:v>
      </x:c>
      <x:c r="J407" s="904" t="n">
        <x:v>1024.77</x:v>
      </x:c>
      <x:c r="K407" s="901" t="n">
        <x:v>370374610</x:v>
      </x:c>
      <x:c r="L407" s="907" t="str">
        <x:v>SRC-P404</x:v>
      </x:c>
      <x:c r="M407" s="907" t="str">
        <x:v>VNStock API actual</x:v>
      </x:c>
      <x:c r="N407" s="1032" t="n">
        <x:v>46229.241747685184</x:v>
      </x:c>
    </x:row>
    <x:row r="408">
      <x:c r="A408" s="895" t="n">
        <x:v>44991</x:v>
      </x:c>
      <x:c r="B408" s="898" t="n">
        <x:v>37.06</x:v>
      </x:c>
      <x:c r="C408" s="898" t="n">
        <x:v>37.4</x:v>
      </x:c>
      <x:c r="D408" s="898" t="n">
        <x:v>36.91</x:v>
      </x:c>
      <x:c r="E408" s="898" t="n">
        <x:v>37.03</x:v>
      </x:c>
      <x:c r="F408" s="901" t="n">
        <x:v>355820</x:v>
      </x:c>
      <x:c r="G408" s="904" t="n">
        <x:v>1032.68</x:v>
      </x:c>
      <x:c r="H408" s="904" t="n">
        <x:v>1042.43</x:v>
      </x:c>
      <x:c r="I408" s="904" t="n">
        <x:v>1026.73</x:v>
      </x:c>
      <x:c r="J408" s="904" t="n">
        <x:v>1027.18</x:v>
      </x:c>
      <x:c r="K408" s="901" t="n">
        <x:v>374784462</x:v>
      </x:c>
      <x:c r="L408" s="907" t="str">
        <x:v>SRC-P404</x:v>
      </x:c>
      <x:c r="M408" s="907" t="str">
        <x:v>VNStock API actual</x:v>
      </x:c>
      <x:c r="N408" s="1032" t="n">
        <x:v>46229.241747685184</x:v>
      </x:c>
    </x:row>
    <x:row r="409">
      <x:c r="A409" s="895" t="n">
        <x:v>44992</x:v>
      </x:c>
      <x:c r="B409" s="898" t="n">
        <x:v>37.4</x:v>
      </x:c>
      <x:c r="C409" s="898" t="n">
        <x:v>37.44</x:v>
      </x:c>
      <x:c r="D409" s="898" t="n">
        <x:v>37.03</x:v>
      </x:c>
      <x:c r="E409" s="898" t="n">
        <x:v>37.44</x:v>
      </x:c>
      <x:c r="F409" s="901" t="n">
        <x:v>98339</x:v>
      </x:c>
      <x:c r="G409" s="904" t="n">
        <x:v>1033.96</x:v>
      </x:c>
      <x:c r="H409" s="904" t="n">
        <x:v>1043.92</x:v>
      </x:c>
      <x:c r="I409" s="904" t="n">
        <x:v>1033.32</x:v>
      </x:c>
      <x:c r="J409" s="904" t="n">
        <x:v>1037.84</x:v>
      </x:c>
      <x:c r="K409" s="901" t="n">
        <x:v>410803657</x:v>
      </x:c>
      <x:c r="L409" s="907" t="str">
        <x:v>SRC-P404</x:v>
      </x:c>
      <x:c r="M409" s="907" t="str">
        <x:v>VNStock API actual</x:v>
      </x:c>
      <x:c r="N409" s="1032" t="n">
        <x:v>46229.241747685184</x:v>
      </x:c>
    </x:row>
    <x:row r="410">
      <x:c r="A410" s="895" t="n">
        <x:v>44993</x:v>
      </x:c>
      <x:c r="B410" s="898" t="n">
        <x:v>37.44</x:v>
      </x:c>
      <x:c r="C410" s="898" t="n">
        <x:v>38.8</x:v>
      </x:c>
      <x:c r="D410" s="898" t="n">
        <x:v>37.06</x:v>
      </x:c>
      <x:c r="E410" s="898" t="n">
        <x:v>38.8</x:v>
      </x:c>
      <x:c r="F410" s="901" t="n">
        <x:v>507910</x:v>
      </x:c>
      <x:c r="G410" s="904" t="n">
        <x:v>1028.77</x:v>
      </x:c>
      <x:c r="H410" s="904" t="n">
        <x:v>1049.18</x:v>
      </x:c>
      <x:c r="I410" s="904" t="n">
        <x:v>1027.8</x:v>
      </x:c>
      <x:c r="J410" s="904" t="n">
        <x:v>1049.18</x:v>
      </x:c>
      <x:c r="K410" s="901" t="n">
        <x:v>465169105</x:v>
      </x:c>
      <x:c r="L410" s="907" t="str">
        <x:v>SRC-P404</x:v>
      </x:c>
      <x:c r="M410" s="907" t="str">
        <x:v>VNStock API actual</x:v>
      </x:c>
      <x:c r="N410" s="1032" t="n">
        <x:v>46229.241747685184</x:v>
      </x:c>
    </x:row>
    <x:row r="411">
      <x:c r="A411" s="895" t="n">
        <x:v>44994</x:v>
      </x:c>
      <x:c r="B411" s="898" t="n">
        <x:v>38.58</x:v>
      </x:c>
      <x:c r="C411" s="898" t="n">
        <x:v>39.18</x:v>
      </x:c>
      <x:c r="D411" s="898" t="n">
        <x:v>38.58</x:v>
      </x:c>
      <x:c r="E411" s="898" t="n">
        <x:v>38.8</x:v>
      </x:c>
      <x:c r="F411" s="901" t="n">
        <x:v>293356</x:v>
      </x:c>
      <x:c r="G411" s="904" t="n">
        <x:v>1050.61</x:v>
      </x:c>
      <x:c r="H411" s="904" t="n">
        <x:v>1060.56</x:v>
      </x:c>
      <x:c r="I411" s="904" t="n">
        <x:v>1049.45</x:v>
      </x:c>
      <x:c r="J411" s="904" t="n">
        <x:v>1055.95</x:v>
      </x:c>
      <x:c r="K411" s="901" t="n">
        <x:v>539118977</x:v>
      </x:c>
      <x:c r="L411" s="907" t="str">
        <x:v>SRC-P404</x:v>
      </x:c>
      <x:c r="M411" s="907" t="str">
        <x:v>VNStock API actual</x:v>
      </x:c>
      <x:c r="N411" s="1032" t="n">
        <x:v>46229.241747685184</x:v>
      </x:c>
    </x:row>
    <x:row r="412">
      <x:c r="A412" s="895" t="n">
        <x:v>44995</x:v>
      </x:c>
      <x:c r="B412" s="898" t="n">
        <x:v>38.65</x:v>
      </x:c>
      <x:c r="C412" s="898" t="n">
        <x:v>38.73</x:v>
      </x:c>
      <x:c r="D412" s="898" t="n">
        <x:v>38.12</x:v>
      </x:c>
      <x:c r="E412" s="898" t="n">
        <x:v>38.58</x:v>
      </x:c>
      <x:c r="F412" s="901" t="n">
        <x:v>180632</x:v>
      </x:c>
      <x:c r="G412" s="904" t="n">
        <x:v>1050.53</x:v>
      </x:c>
      <x:c r="H412" s="904" t="n">
        <x:v>1053.86</x:v>
      </x:c>
      <x:c r="I412" s="904" t="n">
        <x:v>1046.31</x:v>
      </x:c>
      <x:c r="J412" s="904" t="n">
        <x:v>1053</x:v>
      </x:c>
      <x:c r="K412" s="901" t="n">
        <x:v>436309809</x:v>
      </x:c>
      <x:c r="L412" s="907" t="str">
        <x:v>SRC-P404</x:v>
      </x:c>
      <x:c r="M412" s="907" t="str">
        <x:v>VNStock API actual</x:v>
      </x:c>
      <x:c r="N412" s="1032" t="n">
        <x:v>46229.241747685184</x:v>
      </x:c>
    </x:row>
    <x:row r="413">
      <x:c r="A413" s="895" t="n">
        <x:v>44998</x:v>
      </x:c>
      <x:c r="B413" s="898" t="n">
        <x:v>38.58</x:v>
      </x:c>
      <x:c r="C413" s="898" t="n">
        <x:v>38.88</x:v>
      </x:c>
      <x:c r="D413" s="898" t="n">
        <x:v>37.9</x:v>
      </x:c>
      <x:c r="E413" s="898" t="n">
        <x:v>38.05</x:v>
      </x:c>
      <x:c r="F413" s="901" t="n">
        <x:v>178471</x:v>
      </x:c>
      <x:c r="G413" s="904" t="n">
        <x:v>1046.95</x:v>
      </x:c>
      <x:c r="H413" s="904" t="n">
        <x:v>1055.58</x:v>
      </x:c>
      <x:c r="I413" s="904" t="n">
        <x:v>1045.46</x:v>
      </x:c>
      <x:c r="J413" s="904" t="n">
        <x:v>1052.8</x:v>
      </x:c>
      <x:c r="K413" s="901" t="n">
        <x:v>505863805</x:v>
      </x:c>
      <x:c r="L413" s="907" t="str">
        <x:v>SRC-P404</x:v>
      </x:c>
      <x:c r="M413" s="907" t="str">
        <x:v>VNStock API actual</x:v>
      </x:c>
      <x:c r="N413" s="1032" t="n">
        <x:v>46229.241747685184</x:v>
      </x:c>
    </x:row>
    <x:row r="414">
      <x:c r="A414" s="895" t="n">
        <x:v>44999</x:v>
      </x:c>
      <x:c r="B414" s="898" t="n">
        <x:v>38.05</x:v>
      </x:c>
      <x:c r="C414" s="898" t="n">
        <x:v>38.43</x:v>
      </x:c>
      <x:c r="D414" s="898" t="n">
        <x:v>37.52</x:v>
      </x:c>
      <x:c r="E414" s="898" t="n">
        <x:v>38.2</x:v>
      </x:c>
      <x:c r="F414" s="901" t="n">
        <x:v>306008</x:v>
      </x:c>
      <x:c r="G414" s="904" t="n">
        <x:v>1049.3</x:v>
      </x:c>
      <x:c r="H414" s="904" t="n">
        <x:v>1051.56</x:v>
      </x:c>
      <x:c r="I414" s="904" t="n">
        <x:v>1034.72</x:v>
      </x:c>
      <x:c r="J414" s="904" t="n">
        <x:v>1040.13</x:v>
      </x:c>
      <x:c r="K414" s="901" t="n">
        <x:v>535172436</x:v>
      </x:c>
      <x:c r="L414" s="907" t="str">
        <x:v>SRC-P404</x:v>
      </x:c>
      <x:c r="M414" s="907" t="str">
        <x:v>VNStock API actual</x:v>
      </x:c>
      <x:c r="N414" s="1032" t="n">
        <x:v>46229.241747685184</x:v>
      </x:c>
    </x:row>
    <x:row r="415">
      <x:c r="A415" s="895" t="n">
        <x:v>45000</x:v>
      </x:c>
      <x:c r="B415" s="898" t="n">
        <x:v>38.73</x:v>
      </x:c>
      <x:c r="C415" s="898" t="n">
        <x:v>38.73</x:v>
      </x:c>
      <x:c r="D415" s="898" t="n">
        <x:v>38.12</x:v>
      </x:c>
      <x:c r="E415" s="898" t="n">
        <x:v>38.27</x:v>
      </x:c>
      <x:c r="F415" s="901" t="n">
        <x:v>476724</x:v>
      </x:c>
      <x:c r="G415" s="904" t="n">
        <x:v>1052.06</x:v>
      </x:c>
      <x:c r="H415" s="904" t="n">
        <x:v>1062.55</x:v>
      </x:c>
      <x:c r="I415" s="904" t="n">
        <x:v>1049.26</x:v>
      </x:c>
      <x:c r="J415" s="904" t="n">
        <x:v>1062.19</x:v>
      </x:c>
      <x:c r="K415" s="901" t="n">
        <x:v>534049436</x:v>
      </x:c>
      <x:c r="L415" s="907" t="str">
        <x:v>SRC-P404</x:v>
      </x:c>
      <x:c r="M415" s="907" t="str">
        <x:v>VNStock API actual</x:v>
      </x:c>
      <x:c r="N415" s="1032" t="n">
        <x:v>46229.241747685184</x:v>
      </x:c>
    </x:row>
    <x:row r="416">
      <x:c r="A416" s="895" t="n">
        <x:v>45001</x:v>
      </x:c>
      <x:c r="B416" s="898" t="n">
        <x:v>38.27</x:v>
      </x:c>
      <x:c r="C416" s="898" t="n">
        <x:v>38.73</x:v>
      </x:c>
      <x:c r="D416" s="898" t="n">
        <x:v>37.82</x:v>
      </x:c>
      <x:c r="E416" s="898" t="n">
        <x:v>38.2</x:v>
      </x:c>
      <x:c r="F416" s="901" t="n">
        <x:v>326607</x:v>
      </x:c>
      <x:c r="G416" s="904" t="n">
        <x:v>1056.15</x:v>
      </x:c>
      <x:c r="H416" s="904" t="n">
        <x:v>1058.73</x:v>
      </x:c>
      <x:c r="I416" s="904" t="n">
        <x:v>1043.65</x:v>
      </x:c>
      <x:c r="J416" s="904" t="n">
        <x:v>1047.4</x:v>
      </x:c>
      <x:c r="K416" s="901" t="n">
        <x:v>450886053</x:v>
      </x:c>
      <x:c r="L416" s="907" t="str">
        <x:v>SRC-P404</x:v>
      </x:c>
      <x:c r="M416" s="907" t="str">
        <x:v>VNStock API actual</x:v>
      </x:c>
      <x:c r="N416" s="1032" t="n">
        <x:v>46229.241747685184</x:v>
      </x:c>
    </x:row>
    <x:row r="417">
      <x:c r="A417" s="895" t="n">
        <x:v>45002</x:v>
      </x:c>
      <x:c r="B417" s="898" t="n">
        <x:v>38.43</x:v>
      </x:c>
      <x:c r="C417" s="898" t="n">
        <x:v>39.18</x:v>
      </x:c>
      <x:c r="D417" s="898" t="n">
        <x:v>37.22</x:v>
      </x:c>
      <x:c r="E417" s="898" t="n">
        <x:v>37.22</x:v>
      </x:c>
      <x:c r="F417" s="901" t="n">
        <x:v>478213</x:v>
      </x:c>
      <x:c r="G417" s="904" t="n">
        <x:v>1053.37</x:v>
      </x:c>
      <x:c r="H417" s="904" t="n">
        <x:v>1055.42</x:v>
      </x:c>
      <x:c r="I417" s="904" t="n">
        <x:v>1043.54</x:v>
      </x:c>
      <x:c r="J417" s="904" t="n">
        <x:v>1045.14</x:v>
      </x:c>
      <x:c r="K417" s="901" t="n">
        <x:v>478768177</x:v>
      </x:c>
      <x:c r="L417" s="907" t="str">
        <x:v>SRC-P404</x:v>
      </x:c>
      <x:c r="M417" s="907" t="str">
        <x:v>VNStock API actual</x:v>
      </x:c>
      <x:c r="N417" s="1032" t="n">
        <x:v>46229.241747685184</x:v>
      </x:c>
    </x:row>
    <x:row r="418">
      <x:c r="A418" s="895" t="n">
        <x:v>45005</x:v>
      </x:c>
      <x:c r="B418" s="898" t="n">
        <x:v>37.52</x:v>
      </x:c>
      <x:c r="C418" s="898" t="n">
        <x:v>37.9</x:v>
      </x:c>
      <x:c r="D418" s="898" t="n">
        <x:v>37.48</x:v>
      </x:c>
      <x:c r="E418" s="898" t="n">
        <x:v>37.74</x:v>
      </x:c>
      <x:c r="F418" s="901" t="n">
        <x:v>251023</x:v>
      </x:c>
      <x:c r="G418" s="904" t="n">
        <x:v>1041.91</x:v>
      </x:c>
      <x:c r="H418" s="904" t="n">
        <x:v>1042.6</x:v>
      </x:c>
      <x:c r="I418" s="904" t="n">
        <x:v>1022.71</x:v>
      </x:c>
      <x:c r="J418" s="904" t="n">
        <x:v>1023.1</x:v>
      </x:c>
      <x:c r="K418" s="901" t="n">
        <x:v>458008396</x:v>
      </x:c>
      <x:c r="L418" s="907" t="str">
        <x:v>SRC-P404</x:v>
      </x:c>
      <x:c r="M418" s="907" t="str">
        <x:v>VNStock API actual</x:v>
      </x:c>
      <x:c r="N418" s="1032" t="n">
        <x:v>46229.241747685184</x:v>
      </x:c>
    </x:row>
    <x:row r="419">
      <x:c r="A419" s="895" t="n">
        <x:v>45006</x:v>
      </x:c>
      <x:c r="B419" s="898" t="n">
        <x:v>38.43</x:v>
      </x:c>
      <x:c r="C419" s="898" t="n">
        <x:v>38.43</x:v>
      </x:c>
      <x:c r="D419" s="898" t="n">
        <x:v>37.74</x:v>
      </x:c>
      <x:c r="E419" s="898" t="n">
        <x:v>37.97</x:v>
      </x:c>
      <x:c r="F419" s="901" t="n">
        <x:v>208630</x:v>
      </x:c>
      <x:c r="G419" s="904" t="n">
        <x:v>1028.83</x:v>
      </x:c>
      <x:c r="H419" s="904" t="n">
        <x:v>1036.15</x:v>
      </x:c>
      <x:c r="I419" s="904" t="n">
        <x:v>1017.05</x:v>
      </x:c>
      <x:c r="J419" s="904" t="n">
        <x:v>1032.43</x:v>
      </x:c>
      <x:c r="K419" s="901" t="n">
        <x:v>369349957</x:v>
      </x:c>
      <x:c r="L419" s="907" t="str">
        <x:v>SRC-P404</x:v>
      </x:c>
      <x:c r="M419" s="907" t="str">
        <x:v>VNStock API actual</x:v>
      </x:c>
      <x:c r="N419" s="1032" t="n">
        <x:v>46229.241747685184</x:v>
      </x:c>
    </x:row>
    <x:row r="420">
      <x:c r="A420" s="895" t="n">
        <x:v>45007</x:v>
      </x:c>
      <x:c r="B420" s="898" t="n">
        <x:v>38.35</x:v>
      </x:c>
      <x:c r="C420" s="898" t="n">
        <x:v>38.35</x:v>
      </x:c>
      <x:c r="D420" s="898" t="n">
        <x:v>37.74</x:v>
      </x:c>
      <x:c r="E420" s="898" t="n">
        <x:v>37.9</x:v>
      </x:c>
      <x:c r="F420" s="901" t="n">
        <x:v>174096</x:v>
      </x:c>
      <x:c r="G420" s="904" t="n">
        <x:v>1035.84</x:v>
      </x:c>
      <x:c r="H420" s="904" t="n">
        <x:v>1042.84</x:v>
      </x:c>
      <x:c r="I420" s="904" t="n">
        <x:v>1033.73</x:v>
      </x:c>
      <x:c r="J420" s="904" t="n">
        <x:v>1040.54</x:v>
      </x:c>
      <x:c r="K420" s="901" t="n">
        <x:v>368600650</x:v>
      </x:c>
      <x:c r="L420" s="907" t="str">
        <x:v>SRC-P404</x:v>
      </x:c>
      <x:c r="M420" s="907" t="str">
        <x:v>VNStock API actual</x:v>
      </x:c>
      <x:c r="N420" s="1032" t="n">
        <x:v>46229.241747685184</x:v>
      </x:c>
    </x:row>
    <x:row r="421">
      <x:c r="A421" s="895" t="n">
        <x:v>45008</x:v>
      </x:c>
      <x:c r="B421" s="898" t="n">
        <x:v>37.82</x:v>
      </x:c>
      <x:c r="C421" s="898" t="n">
        <x:v>38.12</x:v>
      </x:c>
      <x:c r="D421" s="898" t="n">
        <x:v>37.52</x:v>
      </x:c>
      <x:c r="E421" s="898" t="n">
        <x:v>37.97</x:v>
      </x:c>
      <x:c r="F421" s="901" t="n">
        <x:v>201278</x:v>
      </x:c>
      <x:c r="G421" s="904" t="n">
        <x:v>1035.33</x:v>
      </x:c>
      <x:c r="H421" s="904" t="n">
        <x:v>1045.1</x:v>
      </x:c>
      <x:c r="I421" s="904" t="n">
        <x:v>1030.93</x:v>
      </x:c>
      <x:c r="J421" s="904" t="n">
        <x:v>1045.1</x:v>
      </x:c>
      <x:c r="K421" s="901" t="n">
        <x:v>359367516</x:v>
      </x:c>
      <x:c r="L421" s="907" t="str">
        <x:v>SRC-P404</x:v>
      </x:c>
      <x:c r="M421" s="907" t="str">
        <x:v>VNStock API actual</x:v>
      </x:c>
      <x:c r="N421" s="1032" t="n">
        <x:v>46229.241747685184</x:v>
      </x:c>
    </x:row>
    <x:row r="422">
      <x:c r="A422" s="895" t="n">
        <x:v>45009</x:v>
      </x:c>
      <x:c r="B422" s="898" t="n">
        <x:v>37.9</x:v>
      </x:c>
      <x:c r="C422" s="898" t="n">
        <x:v>38.27</x:v>
      </x:c>
      <x:c r="D422" s="898" t="n">
        <x:v>37.59</x:v>
      </x:c>
      <x:c r="E422" s="898" t="n">
        <x:v>37.67</x:v>
      </x:c>
      <x:c r="F422" s="901" t="n">
        <x:v>243468</x:v>
      </x:c>
      <x:c r="G422" s="904" t="n">
        <x:v>1047.1</x:v>
      </x:c>
      <x:c r="H422" s="904" t="n">
        <x:v>1052.29</x:v>
      </x:c>
      <x:c r="I422" s="904" t="n">
        <x:v>1044.02</x:v>
      </x:c>
      <x:c r="J422" s="904" t="n">
        <x:v>1046.79</x:v>
      </x:c>
      <x:c r="K422" s="901" t="n">
        <x:v>492024379</x:v>
      </x:c>
      <x:c r="L422" s="907" t="str">
        <x:v>SRC-P404</x:v>
      </x:c>
      <x:c r="M422" s="907" t="str">
        <x:v>VNStock API actual</x:v>
      </x:c>
      <x:c r="N422" s="1032" t="n">
        <x:v>46229.241747685184</x:v>
      </x:c>
    </x:row>
    <x:row r="423">
      <x:c r="A423" s="895" t="n">
        <x:v>45012</x:v>
      </x:c>
      <x:c r="B423" s="898" t="n">
        <x:v>37.82</x:v>
      </x:c>
      <x:c r="C423" s="898" t="n">
        <x:v>39.03</x:v>
      </x:c>
      <x:c r="D423" s="898" t="n">
        <x:v>37.67</x:v>
      </x:c>
      <x:c r="E423" s="898" t="n">
        <x:v>38.96</x:v>
      </x:c>
      <x:c r="F423" s="901" t="n">
        <x:v>1176306</x:v>
      </x:c>
      <x:c r="G423" s="904" t="n">
        <x:v>1047.78</x:v>
      </x:c>
      <x:c r="H423" s="904" t="n">
        <x:v>1053.78</x:v>
      </x:c>
      <x:c r="I423" s="904" t="n">
        <x:v>1041.99</x:v>
      </x:c>
      <x:c r="J423" s="904" t="n">
        <x:v>1052.25</x:v>
      </x:c>
      <x:c r="K423" s="901" t="n">
        <x:v>499268427</x:v>
      </x:c>
      <x:c r="L423" s="907" t="str">
        <x:v>SRC-P404</x:v>
      </x:c>
      <x:c r="M423" s="907" t="str">
        <x:v>VNStock API actual</x:v>
      </x:c>
      <x:c r="N423" s="1032" t="n">
        <x:v>46229.241747685184</x:v>
      </x:c>
    </x:row>
    <x:row r="424">
      <x:c r="A424" s="895" t="n">
        <x:v>45013</x:v>
      </x:c>
      <x:c r="B424" s="898" t="n">
        <x:v>39.33</x:v>
      </x:c>
      <x:c r="C424" s="898" t="n">
        <x:v>39.79</x:v>
      </x:c>
      <x:c r="D424" s="898" t="n">
        <x:v>38.96</x:v>
      </x:c>
      <x:c r="E424" s="898" t="n">
        <x:v>38.96</x:v>
      </x:c>
      <x:c r="F424" s="901" t="n">
        <x:v>662573</x:v>
      </x:c>
      <x:c r="G424" s="904" t="n">
        <x:v>1055.57</x:v>
      </x:c>
      <x:c r="H424" s="904" t="n">
        <x:v>1059.83</x:v>
      </x:c>
      <x:c r="I424" s="904" t="n">
        <x:v>1051.75</x:v>
      </x:c>
      <x:c r="J424" s="904" t="n">
        <x:v>1054.29</x:v>
      </x:c>
      <x:c r="K424" s="901" t="n">
        <x:v>569426119</x:v>
      </x:c>
      <x:c r="L424" s="907" t="str">
        <x:v>SRC-P404</x:v>
      </x:c>
      <x:c r="M424" s="907" t="str">
        <x:v>VNStock API actual</x:v>
      </x:c>
      <x:c r="N424" s="1032" t="n">
        <x:v>46229.241747685184</x:v>
      </x:c>
    </x:row>
    <x:row r="425">
      <x:c r="A425" s="895" t="n">
        <x:v>45014</x:v>
      </x:c>
      <x:c r="B425" s="898" t="n">
        <x:v>39.03</x:v>
      </x:c>
      <x:c r="C425" s="898" t="n">
        <x:v>39.18</x:v>
      </x:c>
      <x:c r="D425" s="898" t="n">
        <x:v>38.2</x:v>
      </x:c>
      <x:c r="E425" s="898" t="n">
        <x:v>38.5</x:v>
      </x:c>
      <x:c r="F425" s="901" t="n">
        <x:v>1043304</x:v>
      </x:c>
      <x:c r="G425" s="904" t="n">
        <x:v>1055.18</x:v>
      </x:c>
      <x:c r="H425" s="904" t="n">
        <x:v>1056.33</x:v>
      </x:c>
      <x:c r="I425" s="904" t="n">
        <x:v>1048.26</x:v>
      </x:c>
      <x:c r="J425" s="904" t="n">
        <x:v>1056.33</x:v>
      </x:c>
      <x:c r="K425" s="901" t="n">
        <x:v>406337846</x:v>
      </x:c>
      <x:c r="L425" s="907" t="str">
        <x:v>SRC-P404</x:v>
      </x:c>
      <x:c r="M425" s="907" t="str">
        <x:v>VNStock API actual</x:v>
      </x:c>
      <x:c r="N425" s="1032" t="n">
        <x:v>46229.241747685184</x:v>
      </x:c>
    </x:row>
    <x:row r="426">
      <x:c r="A426" s="895" t="n">
        <x:v>45015</x:v>
      </x:c>
      <x:c r="B426" s="898" t="n">
        <x:v>39.11</x:v>
      </x:c>
      <x:c r="C426" s="898" t="n">
        <x:v>39.11</x:v>
      </x:c>
      <x:c r="D426" s="898" t="n">
        <x:v>38.58</x:v>
      </x:c>
      <x:c r="E426" s="898" t="n">
        <x:v>38.8</x:v>
      </x:c>
      <x:c r="F426" s="901" t="n">
        <x:v>565244</x:v>
      </x:c>
      <x:c r="G426" s="904" t="n">
        <x:v>1061.32</x:v>
      </x:c>
      <x:c r="H426" s="904" t="n">
        <x:v>1066.23</x:v>
      </x:c>
      <x:c r="I426" s="904" t="n">
        <x:v>1058.89</x:v>
      </x:c>
      <x:c r="J426" s="904" t="n">
        <x:v>1059.44</x:v>
      </x:c>
      <x:c r="K426" s="901" t="n">
        <x:v>545987403</x:v>
      </x:c>
      <x:c r="L426" s="907" t="str">
        <x:v>SRC-P404</x:v>
      </x:c>
      <x:c r="M426" s="907" t="str">
        <x:v>VNStock API actual</x:v>
      </x:c>
      <x:c r="N426" s="1032" t="n">
        <x:v>46229.241747685184</x:v>
      </x:c>
    </x:row>
    <x:row r="427">
      <x:c r="A427" s="895" t="n">
        <x:v>45016</x:v>
      </x:c>
      <x:c r="B427" s="898" t="n">
        <x:v>38.96</x:v>
      </x:c>
      <x:c r="C427" s="898" t="n">
        <x:v>39.64</x:v>
      </x:c>
      <x:c r="D427" s="898" t="n">
        <x:v>38.8</x:v>
      </x:c>
      <x:c r="E427" s="898" t="n">
        <x:v>38.96</x:v>
      </x:c>
      <x:c r="F427" s="901" t="n">
        <x:v>938969</x:v>
      </x:c>
      <x:c r="G427" s="904" t="n">
        <x:v>1060</x:v>
      </x:c>
      <x:c r="H427" s="904" t="n">
        <x:v>1067.55</x:v>
      </x:c>
      <x:c r="I427" s="904" t="n">
        <x:v>1059.85</x:v>
      </x:c>
      <x:c r="J427" s="904" t="n">
        <x:v>1064.64</x:v>
      </x:c>
      <x:c r="K427" s="901" t="n">
        <x:v>563211648</x:v>
      </x:c>
      <x:c r="L427" s="907" t="str">
        <x:v>SRC-P404</x:v>
      </x:c>
      <x:c r="M427" s="907" t="str">
        <x:v>VNStock API actual</x:v>
      </x:c>
      <x:c r="N427" s="1032" t="n">
        <x:v>46229.241747685184</x:v>
      </x:c>
    </x:row>
    <x:row r="428">
      <x:c r="A428" s="895" t="n">
        <x:v>45019</x:v>
      </x:c>
      <x:c r="B428" s="898" t="n">
        <x:v>39.71</x:v>
      </x:c>
      <x:c r="C428" s="898" t="n">
        <x:v>40.01</x:v>
      </x:c>
      <x:c r="D428" s="898" t="n">
        <x:v>38.96</x:v>
      </x:c>
      <x:c r="E428" s="898" t="n">
        <x:v>39.64</x:v>
      </x:c>
      <x:c r="F428" s="901" t="n">
        <x:v>1103614</x:v>
      </x:c>
      <x:c r="G428" s="904" t="n">
        <x:v>1074.69</x:v>
      </x:c>
      <x:c r="H428" s="904" t="n">
        <x:v>1079.28</x:v>
      </x:c>
      <x:c r="I428" s="904" t="n">
        <x:v>1071.62</x:v>
      </x:c>
      <x:c r="J428" s="904" t="n">
        <x:v>1079.28</x:v>
      </x:c>
      <x:c r="K428" s="901" t="n">
        <x:v>761882248</x:v>
      </x:c>
      <x:c r="L428" s="907" t="str">
        <x:v>SRC-P404</x:v>
      </x:c>
      <x:c r="M428" s="907" t="str">
        <x:v>VNStock API actual</x:v>
      </x:c>
      <x:c r="N428" s="1032" t="n">
        <x:v>46229.241747685184</x:v>
      </x:c>
    </x:row>
    <x:row r="429">
      <x:c r="A429" s="895" t="n">
        <x:v>45020</x:v>
      </x:c>
      <x:c r="B429" s="898" t="n">
        <x:v>39.86</x:v>
      </x:c>
      <x:c r="C429" s="898" t="n">
        <x:v>40.85</x:v>
      </x:c>
      <x:c r="D429" s="898" t="n">
        <x:v>39.56</x:v>
      </x:c>
      <x:c r="E429" s="898" t="n">
        <x:v>40.39</x:v>
      </x:c>
      <x:c r="F429" s="901" t="n">
        <x:v>1138216</x:v>
      </x:c>
      <x:c r="G429" s="904" t="n">
        <x:v>1081.36</x:v>
      </x:c>
      <x:c r="H429" s="904" t="n">
        <x:v>1082.21</x:v>
      </x:c>
      <x:c r="I429" s="904" t="n">
        <x:v>1075.1</x:v>
      </x:c>
      <x:c r="J429" s="904" t="n">
        <x:v>1078.45</x:v>
      </x:c>
      <x:c r="K429" s="901" t="n">
        <x:v>732795030</x:v>
      </x:c>
      <x:c r="L429" s="907" t="str">
        <x:v>SRC-P404</x:v>
      </x:c>
      <x:c r="M429" s="907" t="str">
        <x:v>VNStock API actual</x:v>
      </x:c>
      <x:c r="N429" s="1032" t="n">
        <x:v>46229.241747685184</x:v>
      </x:c>
    </x:row>
    <x:row r="430">
      <x:c r="A430" s="895" t="n">
        <x:v>45021</x:v>
      </x:c>
      <x:c r="B430" s="898" t="n">
        <x:v>40.39</x:v>
      </x:c>
      <x:c r="C430" s="898" t="n">
        <x:v>40.62</x:v>
      </x:c>
      <x:c r="D430" s="898" t="n">
        <x:v>40.01</x:v>
      </x:c>
      <x:c r="E430" s="898" t="n">
        <x:v>40.24</x:v>
      </x:c>
      <x:c r="F430" s="901" t="n">
        <x:v>661506</x:v>
      </x:c>
      <x:c r="G430" s="904" t="n">
        <x:v>1079.06</x:v>
      </x:c>
      <x:c r="H430" s="904" t="n">
        <x:v>1080.86</x:v>
      </x:c>
      <x:c r="I430" s="904" t="n">
        <x:v>1074.1</x:v>
      </x:c>
      <x:c r="J430" s="904" t="n">
        <x:v>1080.86</x:v>
      </x:c>
      <x:c r="K430" s="901" t="n">
        <x:v>696512807</x:v>
      </x:c>
      <x:c r="L430" s="907" t="str">
        <x:v>SRC-P404</x:v>
      </x:c>
      <x:c r="M430" s="907" t="str">
        <x:v>VNStock API actual</x:v>
      </x:c>
      <x:c r="N430" s="1032" t="n">
        <x:v>46229.241747685184</x:v>
      </x:c>
    </x:row>
    <x:row r="431">
      <x:c r="A431" s="895" t="n">
        <x:v>45022</x:v>
      </x:c>
      <x:c r="B431" s="898" t="n">
        <x:v>40.24</x:v>
      </x:c>
      <x:c r="C431" s="898" t="n">
        <x:v>40.32</x:v>
      </x:c>
      <x:c r="D431" s="898" t="n">
        <x:v>39.18</x:v>
      </x:c>
      <x:c r="E431" s="898" t="n">
        <x:v>39.33</x:v>
      </x:c>
      <x:c r="F431" s="901" t="n">
        <x:v>676359</x:v>
      </x:c>
      <x:c r="G431" s="904" t="n">
        <x:v>1083.27</x:v>
      </x:c>
      <x:c r="H431" s="904" t="n">
        <x:v>1084.52</x:v>
      </x:c>
      <x:c r="I431" s="904" t="n">
        <x:v>1070.91</x:v>
      </x:c>
      <x:c r="J431" s="904" t="n">
        <x:v>1070.91</x:v>
      </x:c>
      <x:c r="K431" s="901" t="n">
        <x:v>942408869</x:v>
      </x:c>
      <x:c r="L431" s="907" t="str">
        <x:v>SRC-P404</x:v>
      </x:c>
      <x:c r="M431" s="907" t="str">
        <x:v>VNStock API actual</x:v>
      </x:c>
      <x:c r="N431" s="1032" t="n">
        <x:v>46229.241747685184</x:v>
      </x:c>
    </x:row>
    <x:row r="432">
      <x:c r="A432" s="895" t="n">
        <x:v>45023</x:v>
      </x:c>
      <x:c r="B432" s="898" t="n">
        <x:v>39.33</x:v>
      </x:c>
      <x:c r="C432" s="898" t="n">
        <x:v>39.86</x:v>
      </x:c>
      <x:c r="D432" s="898" t="n">
        <x:v>39.18</x:v>
      </x:c>
      <x:c r="E432" s="898" t="n">
        <x:v>39.71</x:v>
      </x:c>
      <x:c r="F432" s="901" t="n">
        <x:v>471001</x:v>
      </x:c>
      <x:c r="G432" s="904" t="n">
        <x:v>1071.09</x:v>
      </x:c>
      <x:c r="H432" s="904" t="n">
        <x:v>1072.94</x:v>
      </x:c>
      <x:c r="I432" s="904" t="n">
        <x:v>1063.7</x:v>
      </x:c>
      <x:c r="J432" s="904" t="n">
        <x:v>1069.71</x:v>
      </x:c>
      <x:c r="K432" s="901" t="n">
        <x:v>592943658</x:v>
      </x:c>
      <x:c r="L432" s="907" t="str">
        <x:v>SRC-P404</x:v>
      </x:c>
      <x:c r="M432" s="907" t="str">
        <x:v>VNStock API actual</x:v>
      </x:c>
      <x:c r="N432" s="1032" t="n">
        <x:v>46229.241747685184</x:v>
      </x:c>
    </x:row>
    <x:row r="433">
      <x:c r="A433" s="895" t="n">
        <x:v>45026</x:v>
      </x:c>
      <x:c r="B433" s="898" t="n">
        <x:v>39.79</x:v>
      </x:c>
      <x:c r="C433" s="898" t="n">
        <x:v>39.94</x:v>
      </x:c>
      <x:c r="D433" s="898" t="n">
        <x:v>39.18</x:v>
      </x:c>
      <x:c r="E433" s="898" t="n">
        <x:v>39.33</x:v>
      </x:c>
      <x:c r="F433" s="901" t="n">
        <x:v>608581</x:v>
      </x:c>
      <x:c r="G433" s="904" t="n">
        <x:v>1073.86</x:v>
      </x:c>
      <x:c r="H433" s="904" t="n">
        <x:v>1075.54</x:v>
      </x:c>
      <x:c r="I433" s="904" t="n">
        <x:v>1063.45</x:v>
      </x:c>
      <x:c r="J433" s="904" t="n">
        <x:v>1065.35</x:v>
      </x:c>
      <x:c r="K433" s="901" t="n">
        <x:v>774551045</x:v>
      </x:c>
      <x:c r="L433" s="907" t="str">
        <x:v>SRC-P404</x:v>
      </x:c>
      <x:c r="M433" s="907" t="str">
        <x:v>VNStock API actual</x:v>
      </x:c>
      <x:c r="N433" s="1032" t="n">
        <x:v>46229.241747685184</x:v>
      </x:c>
    </x:row>
    <x:row r="434">
      <x:c r="A434" s="895" t="n">
        <x:v>45027</x:v>
      </x:c>
      <x:c r="B434" s="898" t="n">
        <x:v>39.71</x:v>
      </x:c>
      <x:c r="C434" s="898" t="n">
        <x:v>40.39</x:v>
      </x:c>
      <x:c r="D434" s="898" t="n">
        <x:v>39.48</x:v>
      </x:c>
      <x:c r="E434" s="898" t="n">
        <x:v>40.09</x:v>
      </x:c>
      <x:c r="F434" s="901" t="n">
        <x:v>1128741</x:v>
      </x:c>
      <x:c r="G434" s="904" t="n">
        <x:v>1063.64</x:v>
      </x:c>
      <x:c r="H434" s="904" t="n">
        <x:v>1070.56</x:v>
      </x:c>
      <x:c r="I434" s="904" t="n">
        <x:v>1056.9</x:v>
      </x:c>
      <x:c r="J434" s="904" t="n">
        <x:v>1069.46</x:v>
      </x:c>
      <x:c r="K434" s="901" t="n">
        <x:v>634178633</x:v>
      </x:c>
      <x:c r="L434" s="907" t="str">
        <x:v>SRC-P404</x:v>
      </x:c>
      <x:c r="M434" s="907" t="str">
        <x:v>VNStock API actual</x:v>
      </x:c>
      <x:c r="N434" s="1032" t="n">
        <x:v>46229.241747685184</x:v>
      </x:c>
    </x:row>
    <x:row r="435">
      <x:c r="A435" s="895" t="n">
        <x:v>45028</x:v>
      </x:c>
      <x:c r="B435" s="898" t="n">
        <x:v>40.09</x:v>
      </x:c>
      <x:c r="C435" s="898" t="n">
        <x:v>40.32</x:v>
      </x:c>
      <x:c r="D435" s="898" t="n">
        <x:v>39.86</x:v>
      </x:c>
      <x:c r="E435" s="898" t="n">
        <x:v>40.09</x:v>
      </x:c>
      <x:c r="F435" s="901" t="n">
        <x:v>393502</x:v>
      </x:c>
      <x:c r="G435" s="904" t="n">
        <x:v>1071.61</x:v>
      </x:c>
      <x:c r="H435" s="904" t="n">
        <x:v>1072.7</x:v>
      </x:c>
      <x:c r="I435" s="904" t="n">
        <x:v>1066.43</x:v>
      </x:c>
      <x:c r="J435" s="904" t="n">
        <x:v>1069.45</x:v>
      </x:c>
      <x:c r="K435" s="901" t="n">
        <x:v>653032406</x:v>
      </x:c>
      <x:c r="L435" s="907" t="str">
        <x:v>SRC-P404</x:v>
      </x:c>
      <x:c r="M435" s="907" t="str">
        <x:v>VNStock API actual</x:v>
      </x:c>
      <x:c r="N435" s="1032" t="n">
        <x:v>46229.241747685184</x:v>
      </x:c>
    </x:row>
    <x:row r="436">
      <x:c r="A436" s="895" t="n">
        <x:v>45029</x:v>
      </x:c>
      <x:c r="B436" s="898" t="n">
        <x:v>40.01</x:v>
      </x:c>
      <x:c r="C436" s="898" t="n">
        <x:v>41.6</x:v>
      </x:c>
      <x:c r="D436" s="898" t="n">
        <x:v>40.01</x:v>
      </x:c>
      <x:c r="E436" s="898" t="n">
        <x:v>41.22</x:v>
      </x:c>
      <x:c r="F436" s="901" t="n">
        <x:v>1435975</x:v>
      </x:c>
      <x:c r="G436" s="904" t="n">
        <x:v>1070.96</x:v>
      </x:c>
      <x:c r="H436" s="904" t="n">
        <x:v>1070.96</x:v>
      </x:c>
      <x:c r="I436" s="904" t="n">
        <x:v>1062.26</x:v>
      </x:c>
      <x:c r="J436" s="904" t="n">
        <x:v>1064.3</x:v>
      </x:c>
      <x:c r="K436" s="901" t="n">
        <x:v>587279674</x:v>
      </x:c>
      <x:c r="L436" s="907" t="str">
        <x:v>SRC-P404</x:v>
      </x:c>
      <x:c r="M436" s="907" t="str">
        <x:v>VNStock API actual</x:v>
      </x:c>
      <x:c r="N436" s="1032" t="n">
        <x:v>46229.241747685184</x:v>
      </x:c>
    </x:row>
    <x:row r="437">
      <x:c r="A437" s="895" t="n">
        <x:v>45030</x:v>
      </x:c>
      <x:c r="B437" s="898" t="n">
        <x:v>41.38</x:v>
      </x:c>
      <x:c r="C437" s="898" t="n">
        <x:v>41.53</x:v>
      </x:c>
      <x:c r="D437" s="898" t="n">
        <x:v>40.62</x:v>
      </x:c>
      <x:c r="E437" s="898" t="n">
        <x:v>40.69</x:v>
      </x:c>
      <x:c r="F437" s="901" t="n">
        <x:v>533020</x:v>
      </x:c>
      <x:c r="G437" s="904" t="n">
        <x:v>1067.21</x:v>
      </x:c>
      <x:c r="H437" s="904" t="n">
        <x:v>1068.79</x:v>
      </x:c>
      <x:c r="I437" s="904" t="n">
        <x:v>1052.89</x:v>
      </x:c>
      <x:c r="J437" s="904" t="n">
        <x:v>1052.89</x:v>
      </x:c>
      <x:c r="K437" s="901" t="n">
        <x:v>714026518</x:v>
      </x:c>
      <x:c r="L437" s="907" t="str">
        <x:v>SRC-P404</x:v>
      </x:c>
      <x:c r="M437" s="907" t="str">
        <x:v>VNStock API actual</x:v>
      </x:c>
      <x:c r="N437" s="1032" t="n">
        <x:v>46229.241747685184</x:v>
      </x:c>
    </x:row>
    <x:row r="438">
      <x:c r="A438" s="895" t="n">
        <x:v>45033</x:v>
      </x:c>
      <x:c r="B438" s="898" t="n">
        <x:v>40.85</x:v>
      </x:c>
      <x:c r="C438" s="898" t="n">
        <x:v>41.07</x:v>
      </x:c>
      <x:c r="D438" s="898" t="n">
        <x:v>40.47</x:v>
      </x:c>
      <x:c r="E438" s="898" t="n">
        <x:v>40.85</x:v>
      </x:c>
      <x:c r="F438" s="901" t="n">
        <x:v>344310</x:v>
      </x:c>
      <x:c r="G438" s="904" t="n">
        <x:v>1052.99</x:v>
      </x:c>
      <x:c r="H438" s="904" t="n">
        <x:v>1054.72</x:v>
      </x:c>
      <x:c r="I438" s="904" t="n">
        <x:v>1049.11</x:v>
      </x:c>
      <x:c r="J438" s="904" t="n">
        <x:v>1053.81</x:v>
      </x:c>
      <x:c r="K438" s="901" t="n">
        <x:v>399822299</x:v>
      </x:c>
      <x:c r="L438" s="907" t="str">
        <x:v>SRC-P404</x:v>
      </x:c>
      <x:c r="M438" s="907" t="str">
        <x:v>VNStock API actual</x:v>
      </x:c>
      <x:c r="N438" s="1032" t="n">
        <x:v>46229.241747685184</x:v>
      </x:c>
    </x:row>
    <x:row r="439">
      <x:c r="A439" s="895" t="n">
        <x:v>45034</x:v>
      </x:c>
      <x:c r="B439" s="898" t="n">
        <x:v>40.92</x:v>
      </x:c>
      <x:c r="C439" s="898" t="n">
        <x:v>40.92</x:v>
      </x:c>
      <x:c r="D439" s="898" t="n">
        <x:v>39.71</x:v>
      </x:c>
      <x:c r="E439" s="898" t="n">
        <x:v>40.09</x:v>
      </x:c>
      <x:c r="F439" s="901" t="n">
        <x:v>591646</x:v>
      </x:c>
      <x:c r="G439" s="904" t="n">
        <x:v>1055.85</x:v>
      </x:c>
      <x:c r="H439" s="904" t="n">
        <x:v>1057.15</x:v>
      </x:c>
      <x:c r="I439" s="904" t="n">
        <x:v>1050.89</x:v>
      </x:c>
      <x:c r="J439" s="904" t="n">
        <x:v>1055.02</x:v>
      </x:c>
      <x:c r="K439" s="901" t="n">
        <x:v>486767389</x:v>
      </x:c>
      <x:c r="L439" s="907" t="str">
        <x:v>SRC-P404</x:v>
      </x:c>
      <x:c r="M439" s="907" t="str">
        <x:v>VNStock API actual</x:v>
      </x:c>
      <x:c r="N439" s="1032" t="n">
        <x:v>46229.241747685184</x:v>
      </x:c>
    </x:row>
    <x:row r="440">
      <x:c r="A440" s="895" t="n">
        <x:v>45035</x:v>
      </x:c>
      <x:c r="B440" s="898" t="n">
        <x:v>40.09</x:v>
      </x:c>
      <x:c r="C440" s="898" t="n">
        <x:v>40.39</x:v>
      </x:c>
      <x:c r="D440" s="898" t="n">
        <x:v>39.71</x:v>
      </x:c>
      <x:c r="E440" s="898" t="n">
        <x:v>39.86</x:v>
      </x:c>
      <x:c r="F440" s="901" t="n">
        <x:v>461824</x:v>
      </x:c>
      <x:c r="G440" s="904" t="n">
        <x:v>1057.88</x:v>
      </x:c>
      <x:c r="H440" s="904" t="n">
        <x:v>1058.14</x:v>
      </x:c>
      <x:c r="I440" s="904" t="n">
        <x:v>1047.47</x:v>
      </x:c>
      <x:c r="J440" s="904" t="n">
        <x:v>1048.98</x:v>
      </x:c>
      <x:c r="K440" s="901" t="n">
        <x:v>485131148</x:v>
      </x:c>
      <x:c r="L440" s="907" t="str">
        <x:v>SRC-P404</x:v>
      </x:c>
      <x:c r="M440" s="907" t="str">
        <x:v>VNStock API actual</x:v>
      </x:c>
      <x:c r="N440" s="1032" t="n">
        <x:v>46229.241747685184</x:v>
      </x:c>
    </x:row>
    <x:row r="441">
      <x:c r="A441" s="895" t="n">
        <x:v>45036</x:v>
      </x:c>
      <x:c r="B441" s="898" t="n">
        <x:v>40.62</x:v>
      </x:c>
      <x:c r="C441" s="898" t="n">
        <x:v>40.77</x:v>
      </x:c>
      <x:c r="D441" s="898" t="n">
        <x:v>39.86</x:v>
      </x:c>
      <x:c r="E441" s="898" t="n">
        <x:v>40.01</x:v>
      </x:c>
      <x:c r="F441" s="901" t="n">
        <x:v>944273</x:v>
      </x:c>
      <x:c r="G441" s="904" t="n">
        <x:v>1050.02</x:v>
      </x:c>
      <x:c r="H441" s="904" t="n">
        <x:v>1051.86</x:v>
      </x:c>
      <x:c r="I441" s="904" t="n">
        <x:v>1045.85</x:v>
      </x:c>
      <x:c r="J441" s="904" t="n">
        <x:v>1049.25</x:v>
      </x:c>
      <x:c r="K441" s="901" t="n">
        <x:v>324438225</x:v>
      </x:c>
      <x:c r="L441" s="907" t="str">
        <x:v>SRC-P404</x:v>
      </x:c>
      <x:c r="M441" s="907" t="str">
        <x:v>VNStock API actual</x:v>
      </x:c>
      <x:c r="N441" s="1032" t="n">
        <x:v>46229.241747685184</x:v>
      </x:c>
    </x:row>
    <x:row r="442">
      <x:c r="A442" s="895" t="n">
        <x:v>45037</x:v>
      </x:c>
      <x:c r="B442" s="898" t="n">
        <x:v>40.01</x:v>
      </x:c>
      <x:c r="C442" s="898" t="n">
        <x:v>40.09</x:v>
      </x:c>
      <x:c r="D442" s="898" t="n">
        <x:v>39.64</x:v>
      </x:c>
      <x:c r="E442" s="898" t="n">
        <x:v>40.01</x:v>
      </x:c>
      <x:c r="F442" s="901" t="n">
        <x:v>353234</x:v>
      </x:c>
      <x:c r="G442" s="904" t="n">
        <x:v>1050.1</x:v>
      </x:c>
      <x:c r="H442" s="904" t="n">
        <x:v>1050.4</x:v>
      </x:c>
      <x:c r="I442" s="904" t="n">
        <x:v>1041.26</x:v>
      </x:c>
      <x:c r="J442" s="904" t="n">
        <x:v>1042.91</x:v>
      </x:c>
      <x:c r="K442" s="901" t="n">
        <x:v>506699323</x:v>
      </x:c>
      <x:c r="L442" s="907" t="str">
        <x:v>SRC-P404</x:v>
      </x:c>
      <x:c r="M442" s="907" t="str">
        <x:v>VNStock API actual</x:v>
      </x:c>
      <x:c r="N442" s="1032" t="n">
        <x:v>46229.241747685184</x:v>
      </x:c>
    </x:row>
    <x:row r="443">
      <x:c r="A443" s="895" t="n">
        <x:v>45040</x:v>
      </x:c>
      <x:c r="B443" s="898" t="n">
        <x:v>39.71</x:v>
      </x:c>
      <x:c r="C443" s="898" t="n">
        <x:v>40.54</x:v>
      </x:c>
      <x:c r="D443" s="898" t="n">
        <x:v>39.64</x:v>
      </x:c>
      <x:c r="E443" s="898" t="n">
        <x:v>39.64</x:v>
      </x:c>
      <x:c r="F443" s="901" t="n">
        <x:v>523718</x:v>
      </x:c>
      <x:c r="G443" s="904" t="n">
        <x:v>1045.28</x:v>
      </x:c>
      <x:c r="H443" s="904" t="n">
        <x:v>1047.18</x:v>
      </x:c>
      <x:c r="I443" s="904" t="n">
        <x:v>1038.36</x:v>
      </x:c>
      <x:c r="J443" s="904" t="n">
        <x:v>1041.36</x:v>
      </x:c>
      <x:c r="K443" s="901" t="n">
        <x:v>439489141</x:v>
      </x:c>
      <x:c r="L443" s="907" t="str">
        <x:v>SRC-P404</x:v>
      </x:c>
      <x:c r="M443" s="907" t="str">
        <x:v>VNStock API actual</x:v>
      </x:c>
      <x:c r="N443" s="1032" t="n">
        <x:v>46229.241747685184</x:v>
      </x:c>
    </x:row>
    <x:row r="444">
      <x:c r="A444" s="895" t="n">
        <x:v>45041</x:v>
      </x:c>
      <x:c r="B444" s="898" t="n">
        <x:v>39.71</x:v>
      </x:c>
      <x:c r="C444" s="898" t="n">
        <x:v>40.69</x:v>
      </x:c>
      <x:c r="D444" s="898" t="n">
        <x:v>39.64</x:v>
      </x:c>
      <x:c r="E444" s="898" t="n">
        <x:v>39.94</x:v>
      </x:c>
      <x:c r="F444" s="901" t="n">
        <x:v>1264363</x:v>
      </x:c>
      <x:c r="G444" s="904" t="n">
        <x:v>1045.87</x:v>
      </x:c>
      <x:c r="H444" s="904" t="n">
        <x:v>1045.87</x:v>
      </x:c>
      <x:c r="I444" s="904" t="n">
        <x:v>1032.49</x:v>
      </x:c>
      <x:c r="J444" s="904" t="n">
        <x:v>1034.85</x:v>
      </x:c>
      <x:c r="K444" s="901" t="n">
        <x:v>477297616</x:v>
      </x:c>
      <x:c r="L444" s="907" t="str">
        <x:v>SRC-P404</x:v>
      </x:c>
      <x:c r="M444" s="907" t="str">
        <x:v>VNStock API actual</x:v>
      </x:c>
      <x:c r="N444" s="1032" t="n">
        <x:v>46229.241747685184</x:v>
      </x:c>
    </x:row>
    <x:row r="445">
      <x:c r="A445" s="895" t="n">
        <x:v>45042</x:v>
      </x:c>
      <x:c r="B445" s="898" t="n">
        <x:v>40.09</x:v>
      </x:c>
      <x:c r="C445" s="898" t="n">
        <x:v>40.24</x:v>
      </x:c>
      <x:c r="D445" s="898" t="n">
        <x:v>39.71</x:v>
      </x:c>
      <x:c r="E445" s="898" t="n">
        <x:v>40.09</x:v>
      </x:c>
      <x:c r="F445" s="901" t="n">
        <x:v>339707</x:v>
      </x:c>
      <x:c r="G445" s="904" t="n">
        <x:v>1034.02</x:v>
      </x:c>
      <x:c r="H445" s="904" t="n">
        <x:v>1040.8</x:v>
      </x:c>
      <x:c r="I445" s="904" t="n">
        <x:v>1029.19</x:v>
      </x:c>
      <x:c r="J445" s="904" t="n">
        <x:v>1040.8</x:v>
      </x:c>
      <x:c r="K445" s="901" t="n">
        <x:v>421775639</x:v>
      </x:c>
      <x:c r="L445" s="907" t="str">
        <x:v>SRC-P404</x:v>
      </x:c>
      <x:c r="M445" s="907" t="str">
        <x:v>VNStock API actual</x:v>
      </x:c>
      <x:c r="N445" s="1032" t="n">
        <x:v>46229.241747685184</x:v>
      </x:c>
    </x:row>
    <x:row r="446">
      <x:c r="A446" s="895" t="n">
        <x:v>45043</x:v>
      </x:c>
      <x:c r="B446" s="898" t="n">
        <x:v>40.24</x:v>
      </x:c>
      <x:c r="C446" s="898" t="n">
        <x:v>40.77</x:v>
      </x:c>
      <x:c r="D446" s="898" t="n">
        <x:v>39.79</x:v>
      </x:c>
      <x:c r="E446" s="898" t="n">
        <x:v>40.77</x:v>
      </x:c>
      <x:c r="F446" s="901" t="n">
        <x:v>697256</x:v>
      </x:c>
      <x:c r="G446" s="904" t="n">
        <x:v>1041.39</x:v>
      </x:c>
      <x:c r="H446" s="904" t="n">
        <x:v>1044.25</x:v>
      </x:c>
      <x:c r="I446" s="904" t="n">
        <x:v>1037.62</x:v>
      </x:c>
      <x:c r="J446" s="904" t="n">
        <x:v>1039.63</x:v>
      </x:c>
      <x:c r="K446" s="901" t="n">
        <x:v>456952522</x:v>
      </x:c>
      <x:c r="L446" s="907" t="str">
        <x:v>SRC-P404</x:v>
      </x:c>
      <x:c r="M446" s="907" t="str">
        <x:v>VNStock API actual</x:v>
      </x:c>
      <x:c r="N446" s="1032" t="n">
        <x:v>46229.241747685184</x:v>
      </x:c>
    </x:row>
    <x:row r="447">
      <x:c r="A447" s="895" t="n">
        <x:v>45044</x:v>
      </x:c>
      <x:c r="B447" s="898" t="n">
        <x:v>40.77</x:v>
      </x:c>
      <x:c r="C447" s="898" t="n">
        <x:v>40.77</x:v>
      </x:c>
      <x:c r="D447" s="898" t="n">
        <x:v>39.79</x:v>
      </x:c>
      <x:c r="E447" s="898" t="n">
        <x:v>39.79</x:v>
      </x:c>
      <x:c r="F447" s="901" t="n">
        <x:v>1744466</x:v>
      </x:c>
      <x:c r="G447" s="904" t="n">
        <x:v>1043.17</x:v>
      </x:c>
      <x:c r="H447" s="904" t="n">
        <x:v>1049.12</x:v>
      </x:c>
      <x:c r="I447" s="904" t="n">
        <x:v>1042.04</x:v>
      </x:c>
      <x:c r="J447" s="904" t="n">
        <x:v>1049.12</x:v>
      </x:c>
      <x:c r="K447" s="901" t="n">
        <x:v>565502199</x:v>
      </x:c>
      <x:c r="L447" s="907" t="str">
        <x:v>SRC-P404</x:v>
      </x:c>
      <x:c r="M447" s="907" t="str">
        <x:v>VNStock API actual</x:v>
      </x:c>
      <x:c r="N447" s="1032" t="n">
        <x:v>46229.241747685184</x:v>
      </x:c>
    </x:row>
    <x:row r="448">
      <x:c r="A448" s="895" t="n">
        <x:v>45050</x:v>
      </x:c>
      <x:c r="B448" s="898" t="n">
        <x:v>39.94</x:v>
      </x:c>
      <x:c r="C448" s="898" t="n">
        <x:v>40.01</x:v>
      </x:c>
      <x:c r="D448" s="898" t="n">
        <x:v>38.35</x:v>
      </x:c>
      <x:c r="E448" s="898" t="n">
        <x:v>38.35</x:v>
      </x:c>
      <x:c r="F448" s="901" t="n">
        <x:v>1490353</x:v>
      </x:c>
      <x:c r="G448" s="904" t="n">
        <x:v>1046.05</x:v>
      </x:c>
      <x:c r="H448" s="904" t="n">
        <x:v>1048.16</x:v>
      </x:c>
      <x:c r="I448" s="904" t="n">
        <x:v>1038.18</x:v>
      </x:c>
      <x:c r="J448" s="904" t="n">
        <x:v>1040.61</x:v>
      </x:c>
      <x:c r="K448" s="901" t="n">
        <x:v>562692030</x:v>
      </x:c>
      <x:c r="L448" s="907" t="str">
        <x:v>SRC-P404</x:v>
      </x:c>
      <x:c r="M448" s="907" t="str">
        <x:v>VNStock API actual</x:v>
      </x:c>
      <x:c r="N448" s="1032" t="n">
        <x:v>46229.241747685184</x:v>
      </x:c>
    </x:row>
    <x:row r="449">
      <x:c r="A449" s="895" t="n">
        <x:v>45051</x:v>
      </x:c>
      <x:c r="B449" s="898" t="n">
        <x:v>38.35</x:v>
      </x:c>
      <x:c r="C449" s="898" t="n">
        <x:v>38.73</x:v>
      </x:c>
      <x:c r="D449" s="898" t="n">
        <x:v>37.82</x:v>
      </x:c>
      <x:c r="E449" s="898" t="n">
        <x:v>37.82</x:v>
      </x:c>
      <x:c r="F449" s="901" t="n">
        <x:v>548758</x:v>
      </x:c>
      <x:c r="G449" s="904" t="n">
        <x:v>1040.12</x:v>
      </x:c>
      <x:c r="H449" s="904" t="n">
        <x:v>1043.22</x:v>
      </x:c>
      <x:c r="I449" s="904" t="n">
        <x:v>1036.69</x:v>
      </x:c>
      <x:c r="J449" s="904" t="n">
        <x:v>1040.31</x:v>
      </x:c>
      <x:c r="K449" s="901" t="n">
        <x:v>433301354</x:v>
      </x:c>
      <x:c r="L449" s="907" t="str">
        <x:v>SRC-P404</x:v>
      </x:c>
      <x:c r="M449" s="907" t="str">
        <x:v>VNStock API actual</x:v>
      </x:c>
      <x:c r="N449" s="1032" t="n">
        <x:v>46229.241747685184</x:v>
      </x:c>
    </x:row>
    <x:row r="450">
      <x:c r="A450" s="895" t="n">
        <x:v>45054</x:v>
      </x:c>
      <x:c r="B450" s="898" t="n">
        <x:v>37.82</x:v>
      </x:c>
      <x:c r="C450" s="898" t="n">
        <x:v>38.27</x:v>
      </x:c>
      <x:c r="D450" s="898" t="n">
        <x:v>37.74</x:v>
      </x:c>
      <x:c r="E450" s="898" t="n">
        <x:v>38.2</x:v>
      </x:c>
      <x:c r="F450" s="901" t="n">
        <x:v>379170</x:v>
      </x:c>
      <x:c r="G450" s="904" t="n">
        <x:v>1043.44</x:v>
      </x:c>
      <x:c r="H450" s="904" t="n">
        <x:v>1053.44</x:v>
      </x:c>
      <x:c r="I450" s="904" t="n">
        <x:v>1043.44</x:v>
      </x:c>
      <x:c r="J450" s="904" t="n">
        <x:v>1053.44</x:v>
      </x:c>
      <x:c r="K450" s="901" t="n">
        <x:v>584061271</x:v>
      </x:c>
      <x:c r="L450" s="907" t="str">
        <x:v>SRC-P404</x:v>
      </x:c>
      <x:c r="M450" s="907" t="str">
        <x:v>VNStock API actual</x:v>
      </x:c>
      <x:c r="N450" s="1032" t="n">
        <x:v>46229.241747685184</x:v>
      </x:c>
    </x:row>
    <x:row r="451">
      <x:c r="A451" s="895" t="n">
        <x:v>45055</x:v>
      </x:c>
      <x:c r="B451" s="898" t="n">
        <x:v>38.43</x:v>
      </x:c>
      <x:c r="C451" s="898" t="n">
        <x:v>38.43</x:v>
      </x:c>
      <x:c r="D451" s="898" t="n">
        <x:v>37.9</x:v>
      </x:c>
      <x:c r="E451" s="898" t="n">
        <x:v>38.35</x:v>
      </x:c>
      <x:c r="F451" s="901" t="n">
        <x:v>249921</x:v>
      </x:c>
      <x:c r="G451" s="904" t="n">
        <x:v>1055.42</x:v>
      </x:c>
      <x:c r="H451" s="904" t="n">
        <x:v>1058.71</x:v>
      </x:c>
      <x:c r="I451" s="904" t="n">
        <x:v>1052.68</x:v>
      </x:c>
      <x:c r="J451" s="904" t="n">
        <x:v>1053.77</x:v>
      </x:c>
      <x:c r="K451" s="901" t="n">
        <x:v>494560113</x:v>
      </x:c>
      <x:c r="L451" s="907" t="str">
        <x:v>SRC-P404</x:v>
      </x:c>
      <x:c r="M451" s="907" t="str">
        <x:v>VNStock API actual</x:v>
      </x:c>
      <x:c r="N451" s="1032" t="n">
        <x:v>46229.241747685184</x:v>
      </x:c>
    </x:row>
    <x:row r="452">
      <x:c r="A452" s="895" t="n">
        <x:v>45056</x:v>
      </x:c>
      <x:c r="B452" s="898" t="n">
        <x:v>38.58</x:v>
      </x:c>
      <x:c r="C452" s="898" t="n">
        <x:v>38.58</x:v>
      </x:c>
      <x:c r="D452" s="898" t="n">
        <x:v>38.05</x:v>
      </x:c>
      <x:c r="E452" s="898" t="n">
        <x:v>38.12</x:v>
      </x:c>
      <x:c r="F452" s="901" t="n">
        <x:v>926766</x:v>
      </x:c>
      <x:c r="G452" s="904" t="n">
        <x:v>1055.62</x:v>
      </x:c>
      <x:c r="H452" s="904" t="n">
        <x:v>1058.67</x:v>
      </x:c>
      <x:c r="I452" s="904" t="n">
        <x:v>1053.34</x:v>
      </x:c>
      <x:c r="J452" s="904" t="n">
        <x:v>1058.26</x:v>
      </x:c>
      <x:c r="K452" s="901" t="n">
        <x:v>642043890</x:v>
      </x:c>
      <x:c r="L452" s="907" t="str">
        <x:v>SRC-P404</x:v>
      </x:c>
      <x:c r="M452" s="907" t="str">
        <x:v>VNStock API actual</x:v>
      </x:c>
      <x:c r="N452" s="1032" t="n">
        <x:v>46229.241747685184</x:v>
      </x:c>
    </x:row>
    <x:row r="453">
      <x:c r="A453" s="895" t="n">
        <x:v>45057</x:v>
      </x:c>
      <x:c r="B453" s="898" t="n">
        <x:v>38.2</x:v>
      </x:c>
      <x:c r="C453" s="898" t="n">
        <x:v>38.35</x:v>
      </x:c>
      <x:c r="D453" s="898" t="n">
        <x:v>37.44</x:v>
      </x:c>
      <x:c r="E453" s="898" t="n">
        <x:v>37.44</x:v>
      </x:c>
      <x:c r="F453" s="901" t="n">
        <x:v>1165736</x:v>
      </x:c>
      <x:c r="G453" s="904" t="n">
        <x:v>1060.75</x:v>
      </x:c>
      <x:c r="H453" s="904" t="n">
        <x:v>1063.69</x:v>
      </x:c>
      <x:c r="I453" s="904" t="n">
        <x:v>1056.72</x:v>
      </x:c>
      <x:c r="J453" s="904" t="n">
        <x:v>1057.12</x:v>
      </x:c>
      <x:c r="K453" s="901" t="n">
        <x:v>669387113</x:v>
      </x:c>
      <x:c r="L453" s="907" t="str">
        <x:v>SRC-P404</x:v>
      </x:c>
      <x:c r="M453" s="907" t="str">
        <x:v>VNStock API actual</x:v>
      </x:c>
      <x:c r="N453" s="1032" t="n">
        <x:v>46229.241747685184</x:v>
      </x:c>
    </x:row>
    <x:row r="454">
      <x:c r="A454" s="895" t="n">
        <x:v>45058</x:v>
      </x:c>
      <x:c r="B454" s="898" t="n">
        <x:v>37.59</x:v>
      </x:c>
      <x:c r="C454" s="898" t="n">
        <x:v>38.12</x:v>
      </x:c>
      <x:c r="D454" s="898" t="n">
        <x:v>37.1</x:v>
      </x:c>
      <x:c r="E454" s="898" t="n">
        <x:v>37.14</x:v>
      </x:c>
      <x:c r="F454" s="901" t="n">
        <x:v>892999</x:v>
      </x:c>
      <x:c r="G454" s="904" t="n">
        <x:v>1057.7</x:v>
      </x:c>
      <x:c r="H454" s="904" t="n">
        <x:v>1066.9</x:v>
      </x:c>
      <x:c r="I454" s="904" t="n">
        <x:v>1053.97</x:v>
      </x:c>
      <x:c r="J454" s="904" t="n">
        <x:v>1066.9</x:v>
      </x:c>
      <x:c r="K454" s="901" t="n">
        <x:v>675214868</x:v>
      </x:c>
      <x:c r="L454" s="907" t="str">
        <x:v>SRC-P404</x:v>
      </x:c>
      <x:c r="M454" s="907" t="str">
        <x:v>VNStock API actual</x:v>
      </x:c>
      <x:c r="N454" s="1032" t="n">
        <x:v>46229.241747685184</x:v>
      </x:c>
    </x:row>
    <x:row r="455">
      <x:c r="A455" s="895" t="n">
        <x:v>45061</x:v>
      </x:c>
      <x:c r="B455" s="898" t="n">
        <x:v>37.59</x:v>
      </x:c>
      <x:c r="C455" s="898" t="n">
        <x:v>38.12</x:v>
      </x:c>
      <x:c r="D455" s="898" t="n">
        <x:v>37.4</x:v>
      </x:c>
      <x:c r="E455" s="898" t="n">
        <x:v>37.78</x:v>
      </x:c>
      <x:c r="F455" s="901" t="n">
        <x:v>969241</x:v>
      </x:c>
      <x:c r="G455" s="904" t="n">
        <x:v>1074.82</x:v>
      </x:c>
      <x:c r="H455" s="904" t="n">
        <x:v>1076.32</x:v>
      </x:c>
      <x:c r="I455" s="904" t="n">
        <x:v>1065.71</x:v>
      </x:c>
      <x:c r="J455" s="904" t="n">
        <x:v>1065.71</x:v>
      </x:c>
      <x:c r="K455" s="901" t="n">
        <x:v>762161980</x:v>
      </x:c>
      <x:c r="L455" s="907" t="str">
        <x:v>SRC-P404</x:v>
      </x:c>
      <x:c r="M455" s="907" t="str">
        <x:v>VNStock API actual</x:v>
      </x:c>
      <x:c r="N455" s="1032" t="n">
        <x:v>46229.241747685184</x:v>
      </x:c>
    </x:row>
    <x:row r="456">
      <x:c r="A456" s="895" t="n">
        <x:v>45062</x:v>
      </x:c>
      <x:c r="B456" s="898" t="n">
        <x:v>37.82</x:v>
      </x:c>
      <x:c r="C456" s="898" t="n">
        <x:v>38.12</x:v>
      </x:c>
      <x:c r="D456" s="898" t="n">
        <x:v>37.78</x:v>
      </x:c>
      <x:c r="E456" s="898" t="n">
        <x:v>37.9</x:v>
      </x:c>
      <x:c r="F456" s="901" t="n">
        <x:v>972831</x:v>
      </x:c>
      <x:c r="G456" s="904" t="n">
        <x:v>1068.51</x:v>
      </x:c>
      <x:c r="H456" s="904" t="n">
        <x:v>1069.27</x:v>
      </x:c>
      <x:c r="I456" s="904" t="n">
        <x:v>1063.65</x:v>
      </x:c>
      <x:c r="J456" s="904" t="n">
        <x:v>1065.91</x:v>
      </x:c>
      <x:c r="K456" s="901" t="n">
        <x:v>582357907</x:v>
      </x:c>
      <x:c r="L456" s="907" t="str">
        <x:v>SRC-P404</x:v>
      </x:c>
      <x:c r="M456" s="907" t="str">
        <x:v>VNStock API actual</x:v>
      </x:c>
      <x:c r="N456" s="1032" t="n">
        <x:v>46229.241747685184</x:v>
      </x:c>
    </x:row>
    <x:row r="457">
      <x:c r="A457" s="895" t="n">
        <x:v>45063</x:v>
      </x:c>
      <x:c r="B457" s="898" t="n">
        <x:v>37.52</x:v>
      </x:c>
      <x:c r="C457" s="898" t="n">
        <x:v>38.12</x:v>
      </x:c>
      <x:c r="D457" s="898" t="n">
        <x:v>37.52</x:v>
      </x:c>
      <x:c r="E457" s="898" t="n">
        <x:v>37.74</x:v>
      </x:c>
      <x:c r="F457" s="901" t="n">
        <x:v>415623</x:v>
      </x:c>
      <x:c r="G457" s="904" t="n">
        <x:v>1066.27</x:v>
      </x:c>
      <x:c r="H457" s="904" t="n">
        <x:v>1069.95</x:v>
      </x:c>
      <x:c r="I457" s="904" t="n">
        <x:v>1060.44</x:v>
      </x:c>
      <x:c r="J457" s="904" t="n">
        <x:v>1060.44</x:v>
      </x:c>
      <x:c r="K457" s="901" t="n">
        <x:v>743431551</x:v>
      </x:c>
      <x:c r="L457" s="907" t="str">
        <x:v>SRC-P404</x:v>
      </x:c>
      <x:c r="M457" s="907" t="str">
        <x:v>VNStock API actual</x:v>
      </x:c>
      <x:c r="N457" s="1032" t="n">
        <x:v>46229.241747685184</x:v>
      </x:c>
    </x:row>
    <x:row r="458">
      <x:c r="A458" s="895" t="n">
        <x:v>45064</x:v>
      </x:c>
      <x:c r="B458" s="898" t="n">
        <x:v>37.9</x:v>
      </x:c>
      <x:c r="C458" s="898" t="n">
        <x:v>38.73</x:v>
      </x:c>
      <x:c r="D458" s="898" t="n">
        <x:v>37.82</x:v>
      </x:c>
      <x:c r="E458" s="898" t="n">
        <x:v>38.65</x:v>
      </x:c>
      <x:c r="F458" s="901" t="n">
        <x:v>1342764</x:v>
      </x:c>
      <x:c r="G458" s="904" t="n">
        <x:v>1063.66</x:v>
      </x:c>
      <x:c r="H458" s="904" t="n">
        <x:v>1073.41</x:v>
      </x:c>
      <x:c r="I458" s="904" t="n">
        <x:v>1060.94</x:v>
      </x:c>
      <x:c r="J458" s="904" t="n">
        <x:v>1068.31</x:v>
      </x:c>
      <x:c r="K458" s="901" t="n">
        <x:v>578415860</x:v>
      </x:c>
      <x:c r="L458" s="907" t="str">
        <x:v>SRC-P404</x:v>
      </x:c>
      <x:c r="M458" s="907" t="str">
        <x:v>VNStock API actual</x:v>
      </x:c>
      <x:c r="N458" s="1032" t="n">
        <x:v>46229.241747685184</x:v>
      </x:c>
    </x:row>
    <x:row r="459">
      <x:c r="A459" s="895" t="n">
        <x:v>45065</x:v>
      </x:c>
      <x:c r="B459" s="898" t="n">
        <x:v>38.88</x:v>
      </x:c>
      <x:c r="C459" s="898" t="n">
        <x:v>38.88</x:v>
      </x:c>
      <x:c r="D459" s="898" t="n">
        <x:v>38.05</x:v>
      </x:c>
      <x:c r="E459" s="898" t="n">
        <x:v>38.12</x:v>
      </x:c>
      <x:c r="F459" s="901" t="n">
        <x:v>225427</x:v>
      </x:c>
      <x:c r="G459" s="904" t="n">
        <x:v>1070.13</x:v>
      </x:c>
      <x:c r="H459" s="904" t="n">
        <x:v>1070.15</x:v>
      </x:c>
      <x:c r="I459" s="904" t="n">
        <x:v>1058.56</x:v>
      </x:c>
      <x:c r="J459" s="904" t="n">
        <x:v>1067.07</x:v>
      </x:c>
      <x:c r="K459" s="901" t="n">
        <x:v>649620819</x:v>
      </x:c>
      <x:c r="L459" s="907" t="str">
        <x:v>SRC-P404</x:v>
      </x:c>
      <x:c r="M459" s="907" t="str">
        <x:v>VNStock API actual</x:v>
      </x:c>
      <x:c r="N459" s="1032" t="n">
        <x:v>46229.241747685184</x:v>
      </x:c>
    </x:row>
    <x:row r="460">
      <x:c r="A460" s="895" t="n">
        <x:v>45068</x:v>
      </x:c>
      <x:c r="B460" s="898" t="n">
        <x:v>38.5</x:v>
      </x:c>
      <x:c r="C460" s="898" t="n">
        <x:v>38.5</x:v>
      </x:c>
      <x:c r="D460" s="898" t="n">
        <x:v>37.4</x:v>
      </x:c>
      <x:c r="E460" s="898" t="n">
        <x:v>37.59</x:v>
      </x:c>
      <x:c r="F460" s="901" t="n">
        <x:v>499697</x:v>
      </x:c>
      <x:c r="G460" s="904" t="n">
        <x:v>1067.32</x:v>
      </x:c>
      <x:c r="H460" s="904" t="n">
        <x:v>1070.64</x:v>
      </x:c>
      <x:c r="I460" s="904" t="n">
        <x:v>1065.88</x:v>
      </x:c>
      <x:c r="J460" s="904" t="n">
        <x:v>1070.64</x:v>
      </x:c>
      <x:c r="K460" s="901" t="n">
        <x:v>623716964</x:v>
      </x:c>
      <x:c r="L460" s="907" t="str">
        <x:v>SRC-P404</x:v>
      </x:c>
      <x:c r="M460" s="907" t="str">
        <x:v>VNStock API actual</x:v>
      </x:c>
      <x:c r="N460" s="1032" t="n">
        <x:v>46229.241747685184</x:v>
      </x:c>
    </x:row>
    <x:row r="461">
      <x:c r="A461" s="895" t="n">
        <x:v>45069</x:v>
      </x:c>
      <x:c r="B461" s="898" t="n">
        <x:v>37.67</x:v>
      </x:c>
      <x:c r="C461" s="898" t="n">
        <x:v>37.74</x:v>
      </x:c>
      <x:c r="D461" s="898" t="n">
        <x:v>37.44</x:v>
      </x:c>
      <x:c r="E461" s="898" t="n">
        <x:v>37.52</x:v>
      </x:c>
      <x:c r="F461" s="901" t="n">
        <x:v>313837</x:v>
      </x:c>
      <x:c r="G461" s="904" t="n">
        <x:v>1073.12</x:v>
      </x:c>
      <x:c r="H461" s="904" t="n">
        <x:v>1073.96</x:v>
      </x:c>
      <x:c r="I461" s="904" t="n">
        <x:v>1062.15</x:v>
      </x:c>
      <x:c r="J461" s="904" t="n">
        <x:v>1065.85</x:v>
      </x:c>
      <x:c r="K461" s="901" t="n">
        <x:v>653341933</x:v>
      </x:c>
      <x:c r="L461" s="907" t="str">
        <x:v>SRC-P404</x:v>
      </x:c>
      <x:c r="M461" s="907" t="str">
        <x:v>VNStock API actual</x:v>
      </x:c>
      <x:c r="N461" s="1032" t="n">
        <x:v>46229.241747685184</x:v>
      </x:c>
    </x:row>
    <x:row r="462">
      <x:c r="A462" s="895" t="n">
        <x:v>45070</x:v>
      </x:c>
      <x:c r="B462" s="898" t="n">
        <x:v>37.63</x:v>
      </x:c>
      <x:c r="C462" s="898" t="n">
        <x:v>38.27</x:v>
      </x:c>
      <x:c r="D462" s="898" t="n">
        <x:v>37.52</x:v>
      </x:c>
      <x:c r="E462" s="898" t="n">
        <x:v>37.97</x:v>
      </x:c>
      <x:c r="F462" s="901" t="n">
        <x:v>456416</x:v>
      </x:c>
      <x:c r="G462" s="904" t="n">
        <x:v>1069.13</x:v>
      </x:c>
      <x:c r="H462" s="904" t="n">
        <x:v>1069.61</x:v>
      </x:c>
      <x:c r="I462" s="904" t="n">
        <x:v>1060.6</x:v>
      </x:c>
      <x:c r="J462" s="904" t="n">
        <x:v>1061.79</x:v>
      </x:c>
      <x:c r="K462" s="901" t="n">
        <x:v>671873653</x:v>
      </x:c>
      <x:c r="L462" s="907" t="str">
        <x:v>SRC-P404</x:v>
      </x:c>
      <x:c r="M462" s="907" t="str">
        <x:v>VNStock API actual</x:v>
      </x:c>
      <x:c r="N462" s="1032" t="n">
        <x:v>46229.241747685184</x:v>
      </x:c>
    </x:row>
    <x:row r="463">
      <x:c r="A463" s="895" t="n">
        <x:v>45071</x:v>
      </x:c>
      <x:c r="B463" s="898" t="n">
        <x:v>37.82</x:v>
      </x:c>
      <x:c r="C463" s="898" t="n">
        <x:v>38.12</x:v>
      </x:c>
      <x:c r="D463" s="898" t="n">
        <x:v>37.67</x:v>
      </x:c>
      <x:c r="E463" s="898" t="n">
        <x:v>37.67</x:v>
      </x:c>
      <x:c r="F463" s="901" t="n">
        <x:v>191202</x:v>
      </x:c>
      <x:c r="G463" s="904" t="n">
        <x:v>1062.03</x:v>
      </x:c>
      <x:c r="H463" s="904" t="n">
        <x:v>1065.5</x:v>
      </x:c>
      <x:c r="I463" s="904" t="n">
        <x:v>1057.91</x:v>
      </x:c>
      <x:c r="J463" s="904" t="n">
        <x:v>1064.63</x:v>
      </x:c>
      <x:c r="K463" s="901" t="n">
        <x:v>603883481</x:v>
      </x:c>
      <x:c r="L463" s="907" t="str">
        <x:v>SRC-P404</x:v>
      </x:c>
      <x:c r="M463" s="907" t="str">
        <x:v>VNStock API actual</x:v>
      </x:c>
      <x:c r="N463" s="1032" t="n">
        <x:v>46229.241747685184</x:v>
      </x:c>
    </x:row>
    <x:row r="464">
      <x:c r="A464" s="895" t="n">
        <x:v>45072</x:v>
      </x:c>
      <x:c r="B464" s="898" t="n">
        <x:v>37.78</x:v>
      </x:c>
      <x:c r="C464" s="898" t="n">
        <x:v>37.9</x:v>
      </x:c>
      <x:c r="D464" s="898" t="n">
        <x:v>37.52</x:v>
      </x:c>
      <x:c r="E464" s="898" t="n">
        <x:v>37.52</x:v>
      </x:c>
      <x:c r="F464" s="901" t="n">
        <x:v>368067</x:v>
      </x:c>
      <x:c r="G464" s="904" t="n">
        <x:v>1067.24</x:v>
      </x:c>
      <x:c r="H464" s="904" t="n">
        <x:v>1067.28</x:v>
      </x:c>
      <x:c r="I464" s="904" t="n">
        <x:v>1063.76</x:v>
      </x:c>
      <x:c r="J464" s="904" t="n">
        <x:v>1063.76</x:v>
      </x:c>
      <x:c r="K464" s="901" t="n">
        <x:v>585687066</x:v>
      </x:c>
      <x:c r="L464" s="907" t="str">
        <x:v>SRC-P404</x:v>
      </x:c>
      <x:c r="M464" s="907" t="str">
        <x:v>VNStock API actual</x:v>
      </x:c>
      <x:c r="N464" s="1032" t="n">
        <x:v>46229.241747685184</x:v>
      </x:c>
    </x:row>
    <x:row r="465">
      <x:c r="A465" s="895" t="n">
        <x:v>45075</x:v>
      </x:c>
      <x:c r="B465" s="898" t="n">
        <x:v>37.82</x:v>
      </x:c>
      <x:c r="C465" s="898" t="n">
        <x:v>37.82</x:v>
      </x:c>
      <x:c r="D465" s="898" t="n">
        <x:v>37.56</x:v>
      </x:c>
      <x:c r="E465" s="898" t="n">
        <x:v>37.67</x:v>
      </x:c>
      <x:c r="F465" s="901" t="n">
        <x:v>156605</x:v>
      </x:c>
      <x:c r="G465" s="904" t="n">
        <x:v>1067.34</x:v>
      </x:c>
      <x:c r="H465" s="904" t="n">
        <x:v>1077.18</x:v>
      </x:c>
      <x:c r="I465" s="904" t="n">
        <x:v>1067.27</x:v>
      </x:c>
      <x:c r="J465" s="904" t="n">
        <x:v>1074.98</x:v>
      </x:c>
      <x:c r="K465" s="901" t="n">
        <x:v>726721589</x:v>
      </x:c>
      <x:c r="L465" s="907" t="str">
        <x:v>SRC-P404</x:v>
      </x:c>
      <x:c r="M465" s="907" t="str">
        <x:v>VNStock API actual</x:v>
      </x:c>
      <x:c r="N465" s="1032" t="n">
        <x:v>46229.241747685184</x:v>
      </x:c>
    </x:row>
    <x:row r="466">
      <x:c r="A466" s="895" t="n">
        <x:v>45076</x:v>
      </x:c>
      <x:c r="B466" s="898" t="n">
        <x:v>37.67</x:v>
      </x:c>
      <x:c r="C466" s="898" t="n">
        <x:v>38.12</x:v>
      </x:c>
      <x:c r="D466" s="898" t="n">
        <x:v>37.63</x:v>
      </x:c>
      <x:c r="E466" s="898" t="n">
        <x:v>37.9</x:v>
      </x:c>
      <x:c r="F466" s="901" t="n">
        <x:v>908177</x:v>
      </x:c>
      <x:c r="G466" s="904" t="n">
        <x:v>1078.82</x:v>
      </x:c>
      <x:c r="H466" s="904" t="n">
        <x:v>1079.31</x:v>
      </x:c>
      <x:c r="I466" s="904" t="n">
        <x:v>1071.01</x:v>
      </x:c>
      <x:c r="J466" s="904" t="n">
        <x:v>1078.05</x:v>
      </x:c>
      <x:c r="K466" s="901" t="n">
        <x:v>803342265</x:v>
      </x:c>
      <x:c r="L466" s="907" t="str">
        <x:v>SRC-P404</x:v>
      </x:c>
      <x:c r="M466" s="907" t="str">
        <x:v>VNStock API actual</x:v>
      </x:c>
      <x:c r="N466" s="1032" t="n">
        <x:v>46229.241747685184</x:v>
      </x:c>
    </x:row>
    <x:row r="467">
      <x:c r="A467" s="895" t="n">
        <x:v>45077</x:v>
      </x:c>
      <x:c r="B467" s="898" t="n">
        <x:v>37.82</x:v>
      </x:c>
      <x:c r="C467" s="898" t="n">
        <x:v>38.05</x:v>
      </x:c>
      <x:c r="D467" s="898" t="n">
        <x:v>37.74</x:v>
      </x:c>
      <x:c r="E467" s="898" t="n">
        <x:v>37.9</x:v>
      </x:c>
      <x:c r="F467" s="901" t="n">
        <x:v>479701</x:v>
      </x:c>
      <x:c r="G467" s="904" t="n">
        <x:v>1078.39</x:v>
      </x:c>
      <x:c r="H467" s="904" t="n">
        <x:v>1079.11</x:v>
      </x:c>
      <x:c r="I467" s="904" t="n">
        <x:v>1071.38</x:v>
      </x:c>
      <x:c r="J467" s="904" t="n">
        <x:v>1075.17</x:v>
      </x:c>
      <x:c r="K467" s="901" t="n">
        <x:v>848883278</x:v>
      </x:c>
      <x:c r="L467" s="907" t="str">
        <x:v>SRC-P404</x:v>
      </x:c>
      <x:c r="M467" s="907" t="str">
        <x:v>VNStock API actual</x:v>
      </x:c>
      <x:c r="N467" s="1032" t="n">
        <x:v>46229.241747685184</x:v>
      </x:c>
    </x:row>
    <x:row r="468">
      <x:c r="A468" s="895" t="n">
        <x:v>45078</x:v>
      </x:c>
      <x:c r="B468" s="898" t="n">
        <x:v>37.9</x:v>
      </x:c>
      <x:c r="C468" s="898" t="n">
        <x:v>38.65</x:v>
      </x:c>
      <x:c r="D468" s="898" t="n">
        <x:v>37.82</x:v>
      </x:c>
      <x:c r="E468" s="898" t="n">
        <x:v>38.58</x:v>
      </x:c>
      <x:c r="F468" s="901" t="n">
        <x:v>1135504</x:v>
      </x:c>
      <x:c r="G468" s="904" t="n">
        <x:v>1076.27</x:v>
      </x:c>
      <x:c r="H468" s="904" t="n">
        <x:v>1078.39</x:v>
      </x:c>
      <x:c r="I468" s="904" t="n">
        <x:v>1071.61</x:v>
      </x:c>
      <x:c r="J468" s="904" t="n">
        <x:v>1078.39</x:v>
      </x:c>
      <x:c r="K468" s="901" t="n">
        <x:v>800986902</x:v>
      </x:c>
      <x:c r="L468" s="907" t="str">
        <x:v>SRC-P404</x:v>
      </x:c>
      <x:c r="M468" s="907" t="str">
        <x:v>VNStock API actual</x:v>
      </x:c>
      <x:c r="N468" s="1032" t="n">
        <x:v>46229.241747685184</x:v>
      </x:c>
    </x:row>
    <x:row r="469">
      <x:c r="A469" s="895" t="n">
        <x:v>45079</x:v>
      </x:c>
      <x:c r="B469" s="898" t="n">
        <x:v>38.73</x:v>
      </x:c>
      <x:c r="C469" s="898" t="n">
        <x:v>39.26</x:v>
      </x:c>
      <x:c r="D469" s="898" t="n">
        <x:v>38.58</x:v>
      </x:c>
      <x:c r="E469" s="898" t="n">
        <x:v>38.88</x:v>
      </x:c>
      <x:c r="F469" s="901" t="n">
        <x:v>1672357</x:v>
      </x:c>
      <x:c r="G469" s="904" t="n">
        <x:v>1084.19</x:v>
      </x:c>
      <x:c r="H469" s="904" t="n">
        <x:v>1092.24</x:v>
      </x:c>
      <x:c r="I469" s="904" t="n">
        <x:v>1083.36</x:v>
      </x:c>
      <x:c r="J469" s="904" t="n">
        <x:v>1090.84</x:v>
      </x:c>
      <x:c r="K469" s="901" t="n">
        <x:v>949003221</x:v>
      </x:c>
      <x:c r="L469" s="907" t="str">
        <x:v>SRC-P404</x:v>
      </x:c>
      <x:c r="M469" s="907" t="str">
        <x:v>VNStock API actual</x:v>
      </x:c>
      <x:c r="N469" s="1032" t="n">
        <x:v>46229.241747685184</x:v>
      </x:c>
    </x:row>
    <x:row r="470">
      <x:c r="A470" s="895" t="n">
        <x:v>45082</x:v>
      </x:c>
      <x:c r="B470" s="898" t="n">
        <x:v>39.11</x:v>
      </x:c>
      <x:c r="C470" s="898" t="n">
        <x:v>40.09</x:v>
      </x:c>
      <x:c r="D470" s="898" t="n">
        <x:v>38.65</x:v>
      </x:c>
      <x:c r="E470" s="898" t="n">
        <x:v>39.33</x:v>
      </x:c>
      <x:c r="F470" s="901" t="n">
        <x:v>1103091</x:v>
      </x:c>
      <x:c r="G470" s="904" t="n">
        <x:v>1100.2</x:v>
      </x:c>
      <x:c r="H470" s="904" t="n">
        <x:v>1103.81</x:v>
      </x:c>
      <x:c r="I470" s="904" t="n">
        <x:v>1096.76</x:v>
      </x:c>
      <x:c r="J470" s="904" t="n">
        <x:v>1097.82</x:v>
      </x:c>
      <x:c r="K470" s="901" t="n">
        <x:v>877700529</x:v>
      </x:c>
      <x:c r="L470" s="907" t="str">
        <x:v>SRC-P404</x:v>
      </x:c>
      <x:c r="M470" s="907" t="str">
        <x:v>VNStock API actual</x:v>
      </x:c>
      <x:c r="N470" s="1032" t="n">
        <x:v>46229.241747685184</x:v>
      </x:c>
    </x:row>
    <x:row r="471">
      <x:c r="A471" s="895" t="n">
        <x:v>45083</x:v>
      </x:c>
      <x:c r="B471" s="898" t="n">
        <x:v>39.33</x:v>
      </x:c>
      <x:c r="C471" s="898" t="n">
        <x:v>39.79</x:v>
      </x:c>
      <x:c r="D471" s="898" t="n">
        <x:v>39.03</x:v>
      </x:c>
      <x:c r="E471" s="898" t="n">
        <x:v>39.33</x:v>
      </x:c>
      <x:c r="F471" s="901" t="n">
        <x:v>461623</x:v>
      </x:c>
      <x:c r="G471" s="904" t="n">
        <x:v>1099.99</x:v>
      </x:c>
      <x:c r="H471" s="904" t="n">
        <x:v>1108.31</x:v>
      </x:c>
      <x:c r="I471" s="904" t="n">
        <x:v>1098.28</x:v>
      </x:c>
      <x:c r="J471" s="904" t="n">
        <x:v>1108.31</x:v>
      </x:c>
      <x:c r="K471" s="901" t="n">
        <x:v>767663752</x:v>
      </x:c>
      <x:c r="L471" s="907" t="str">
        <x:v>SRC-P404</x:v>
      </x:c>
      <x:c r="M471" s="907" t="str">
        <x:v>VNStock API actual</x:v>
      </x:c>
      <x:c r="N471" s="1032" t="n">
        <x:v>46229.241747685184</x:v>
      </x:c>
    </x:row>
    <x:row r="472">
      <x:c r="A472" s="895" t="n">
        <x:v>45084</x:v>
      </x:c>
      <x:c r="B472" s="898" t="n">
        <x:v>39.18</x:v>
      </x:c>
      <x:c r="C472" s="898" t="n">
        <x:v>39.41</x:v>
      </x:c>
      <x:c r="D472" s="898" t="n">
        <x:v>38.5</x:v>
      </x:c>
      <x:c r="E472" s="898" t="n">
        <x:v>38.58</x:v>
      </x:c>
      <x:c r="F472" s="901" t="n">
        <x:v>1398437</x:v>
      </x:c>
      <x:c r="G472" s="904" t="n">
        <x:v>1111.67</x:v>
      </x:c>
      <x:c r="H472" s="904" t="n">
        <x:v>1112.28</x:v>
      </x:c>
      <x:c r="I472" s="904" t="n">
        <x:v>1104.26</x:v>
      </x:c>
      <x:c r="J472" s="904" t="n">
        <x:v>1109.54</x:v>
      </x:c>
      <x:c r="K472" s="901" t="n">
        <x:v>909508073</x:v>
      </x:c>
      <x:c r="L472" s="907" t="str">
        <x:v>SRC-P404</x:v>
      </x:c>
      <x:c r="M472" s="907" t="str">
        <x:v>VNStock API actual</x:v>
      </x:c>
      <x:c r="N472" s="1032" t="n">
        <x:v>46229.241747685184</x:v>
      </x:c>
    </x:row>
    <x:row r="473">
      <x:c r="A473" s="895" t="n">
        <x:v>45085</x:v>
      </x:c>
      <x:c r="B473" s="898" t="n">
        <x:v>38.43</x:v>
      </x:c>
      <x:c r="C473" s="898" t="n">
        <x:v>38.88</x:v>
      </x:c>
      <x:c r="D473" s="898" t="n">
        <x:v>37.78</x:v>
      </x:c>
      <x:c r="E473" s="898" t="n">
        <x:v>37.82</x:v>
      </x:c>
      <x:c r="F473" s="901" t="n">
        <x:v>1060623</x:v>
      </x:c>
      <x:c r="G473" s="904" t="n">
        <x:v>1111.86</x:v>
      </x:c>
      <x:c r="H473" s="904" t="n">
        <x:v>1115.14</x:v>
      </x:c>
      <x:c r="I473" s="904" t="n">
        <x:v>1101.32</x:v>
      </x:c>
      <x:c r="J473" s="904" t="n">
        <x:v>1101.32</x:v>
      </x:c>
      <x:c r="K473" s="901" t="n">
        <x:v>1191167261</x:v>
      </x:c>
      <x:c r="L473" s="907" t="str">
        <x:v>SRC-P404</x:v>
      </x:c>
      <x:c r="M473" s="907" t="str">
        <x:v>VNStock API actual</x:v>
      </x:c>
      <x:c r="N473" s="1032" t="n">
        <x:v>46229.241747685184</x:v>
      </x:c>
    </x:row>
    <x:row r="474">
      <x:c r="A474" s="895" t="n">
        <x:v>45086</x:v>
      </x:c>
      <x:c r="B474" s="898" t="n">
        <x:v>37.97</x:v>
      </x:c>
      <x:c r="C474" s="898" t="n">
        <x:v>38.96</x:v>
      </x:c>
      <x:c r="D474" s="898" t="n">
        <x:v>37.9</x:v>
      </x:c>
      <x:c r="E474" s="898" t="n">
        <x:v>38.88</x:v>
      </x:c>
      <x:c r="F474" s="901" t="n">
        <x:v>1065705</x:v>
      </x:c>
      <x:c r="G474" s="904" t="n">
        <x:v>1103.11</x:v>
      </x:c>
      <x:c r="H474" s="904" t="n">
        <x:v>1107.53</x:v>
      </x:c>
      <x:c r="I474" s="904" t="n">
        <x:v>1097.23</x:v>
      </x:c>
      <x:c r="J474" s="904" t="n">
        <x:v>1107.53</x:v>
      </x:c>
      <x:c r="K474" s="901" t="n">
        <x:v>826887389</x:v>
      </x:c>
      <x:c r="L474" s="907" t="str">
        <x:v>SRC-P404</x:v>
      </x:c>
      <x:c r="M474" s="907" t="str">
        <x:v>VNStock API actual</x:v>
      </x:c>
      <x:c r="N474" s="1032" t="n">
        <x:v>46229.241747685184</x:v>
      </x:c>
    </x:row>
    <x:row r="475">
      <x:c r="A475" s="895" t="n">
        <x:v>45089</x:v>
      </x:c>
      <x:c r="B475" s="898" t="n">
        <x:v>38.96</x:v>
      </x:c>
      <x:c r="C475" s="898" t="n">
        <x:v>39.26</x:v>
      </x:c>
      <x:c r="D475" s="898" t="n">
        <x:v>38.73</x:v>
      </x:c>
      <x:c r="E475" s="898" t="n">
        <x:v>39.03</x:v>
      </x:c>
      <x:c r="F475" s="901" t="n">
        <x:v>808513</x:v>
      </x:c>
      <x:c r="G475" s="904" t="n">
        <x:v>1110.26</x:v>
      </x:c>
      <x:c r="H475" s="904" t="n">
        <x:v>1116.02</x:v>
      </x:c>
      <x:c r="I475" s="904" t="n">
        <x:v>1100.08</x:v>
      </x:c>
      <x:c r="J475" s="904" t="n">
        <x:v>1116.02</x:v>
      </x:c>
      <x:c r="K475" s="901" t="n">
        <x:v>712022071</x:v>
      </x:c>
      <x:c r="L475" s="907" t="str">
        <x:v>SRC-P404</x:v>
      </x:c>
      <x:c r="M475" s="907" t="str">
        <x:v>VNStock API actual</x:v>
      </x:c>
      <x:c r="N475" s="1032" t="n">
        <x:v>46229.241747685184</x:v>
      </x:c>
    </x:row>
    <x:row r="476">
      <x:c r="A476" s="895" t="n">
        <x:v>45090</x:v>
      </x:c>
      <x:c r="B476" s="898" t="n">
        <x:v>39.03</x:v>
      </x:c>
      <x:c r="C476" s="898" t="n">
        <x:v>39.03</x:v>
      </x:c>
      <x:c r="D476" s="898" t="n">
        <x:v>38.58</x:v>
      </x:c>
      <x:c r="E476" s="898" t="n">
        <x:v>38.58</x:v>
      </x:c>
      <x:c r="F476" s="901" t="n">
        <x:v>494383</x:v>
      </x:c>
      <x:c r="G476" s="904" t="n">
        <x:v>1117.43</x:v>
      </x:c>
      <x:c r="H476" s="904" t="n">
        <x:v>1122.46</x:v>
      </x:c>
      <x:c r="I476" s="904" t="n">
        <x:v>1116.1</x:v>
      </x:c>
      <x:c r="J476" s="904" t="n">
        <x:v>1122.46</x:v>
      </x:c>
      <x:c r="K476" s="901" t="n">
        <x:v>857714144</x:v>
      </x:c>
      <x:c r="L476" s="907" t="str">
        <x:v>SRC-P404</x:v>
      </x:c>
      <x:c r="M476" s="907" t="str">
        <x:v>VNStock API actual</x:v>
      </x:c>
      <x:c r="N476" s="1032" t="n">
        <x:v>46229.241747685184</x:v>
      </x:c>
    </x:row>
    <x:row r="477">
      <x:c r="A477" s="895" t="n">
        <x:v>45091</x:v>
      </x:c>
      <x:c r="B477" s="898" t="n">
        <x:v>38.96</x:v>
      </x:c>
      <x:c r="C477" s="898" t="n">
        <x:v>38.96</x:v>
      </x:c>
      <x:c r="D477" s="898" t="n">
        <x:v>38.2</x:v>
      </x:c>
      <x:c r="E477" s="898" t="n">
        <x:v>38.2</x:v>
      </x:c>
      <x:c r="F477" s="901" t="n">
        <x:v>422882</x:v>
      </x:c>
      <x:c r="G477" s="904" t="n">
        <x:v>1124.56</x:v>
      </x:c>
      <x:c r="H477" s="904" t="n">
        <x:v>1129.49</x:v>
      </x:c>
      <x:c r="I477" s="904" t="n">
        <x:v>1117.42</x:v>
      </x:c>
      <x:c r="J477" s="904" t="n">
        <x:v>1117.42</x:v>
      </x:c>
      <x:c r="K477" s="901" t="n">
        <x:v>829498595</x:v>
      </x:c>
      <x:c r="L477" s="907" t="str">
        <x:v>SRC-P404</x:v>
      </x:c>
      <x:c r="M477" s="907" t="str">
        <x:v>VNStock API actual</x:v>
      </x:c>
      <x:c r="N477" s="1032" t="n">
        <x:v>46229.241747685184</x:v>
      </x:c>
    </x:row>
    <x:row r="478">
      <x:c r="A478" s="895" t="n">
        <x:v>45092</x:v>
      </x:c>
      <x:c r="B478" s="898" t="n">
        <x:v>38.2</x:v>
      </x:c>
      <x:c r="C478" s="898" t="n">
        <x:v>38.73</x:v>
      </x:c>
      <x:c r="D478" s="898" t="n">
        <x:v>37.9</x:v>
      </x:c>
      <x:c r="E478" s="898" t="n">
        <x:v>38.12</x:v>
      </x:c>
      <x:c r="F478" s="901" t="n">
        <x:v>473095</x:v>
      </x:c>
      <x:c r="G478" s="904" t="n">
        <x:v>1117.06</x:v>
      </x:c>
      <x:c r="H478" s="904" t="n">
        <x:v>1120.13</x:v>
      </x:c>
      <x:c r="I478" s="904" t="n">
        <x:v>1112.11</x:v>
      </x:c>
      <x:c r="J478" s="904" t="n">
        <x:v>1116.97</x:v>
      </x:c>
      <x:c r="K478" s="901" t="n">
        <x:v>663782466</x:v>
      </x:c>
      <x:c r="L478" s="907" t="str">
        <x:v>SRC-P404</x:v>
      </x:c>
      <x:c r="M478" s="907" t="str">
        <x:v>VNStock API actual</x:v>
      </x:c>
      <x:c r="N478" s="1032" t="n">
        <x:v>46229.241747685184</x:v>
      </x:c>
    </x:row>
    <x:row r="479">
      <x:c r="A479" s="895" t="n">
        <x:v>45093</x:v>
      </x:c>
      <x:c r="B479" s="898" t="n">
        <x:v>38.2</x:v>
      </x:c>
      <x:c r="C479" s="898" t="n">
        <x:v>38.73</x:v>
      </x:c>
      <x:c r="D479" s="898" t="n">
        <x:v>38.12</x:v>
      </x:c>
      <x:c r="E479" s="898" t="n">
        <x:v>38.27</x:v>
      </x:c>
      <x:c r="F479" s="901" t="n">
        <x:v>721660</x:v>
      </x:c>
      <x:c r="G479" s="904" t="n">
        <x:v>1121.92</x:v>
      </x:c>
      <x:c r="H479" s="904" t="n">
        <x:v>1128.92</x:v>
      </x:c>
      <x:c r="I479" s="904" t="n">
        <x:v>1112.51</x:v>
      </x:c>
      <x:c r="J479" s="904" t="n">
        <x:v>1115.22</x:v>
      </x:c>
      <x:c r="K479" s="901" t="n">
        <x:v>1054947020</x:v>
      </x:c>
      <x:c r="L479" s="907" t="str">
        <x:v>SRC-P404</x:v>
      </x:c>
      <x:c r="M479" s="907" t="str">
        <x:v>VNStock API actual</x:v>
      </x:c>
      <x:c r="N479" s="1032" t="n">
        <x:v>46229.241747685184</x:v>
      </x:c>
    </x:row>
    <x:row r="480">
      <x:c r="A480" s="895" t="n">
        <x:v>45096</x:v>
      </x:c>
      <x:c r="B480" s="898" t="n">
        <x:v>38.43</x:v>
      </x:c>
      <x:c r="C480" s="898" t="n">
        <x:v>38.43</x:v>
      </x:c>
      <x:c r="D480" s="898" t="n">
        <x:v>37.9</x:v>
      </x:c>
      <x:c r="E480" s="898" t="n">
        <x:v>37.97</x:v>
      </x:c>
      <x:c r="F480" s="901" t="n">
        <x:v>545672</x:v>
      </x:c>
      <x:c r="G480" s="904" t="n">
        <x:v>1115.68</x:v>
      </x:c>
      <x:c r="H480" s="904" t="n">
        <x:v>1117.23</x:v>
      </x:c>
      <x:c r="I480" s="904" t="n">
        <x:v>1104.73</x:v>
      </x:c>
      <x:c r="J480" s="904" t="n">
        <x:v>1105.4</x:v>
      </x:c>
      <x:c r="K480" s="901" t="n">
        <x:v>709208551</x:v>
      </x:c>
      <x:c r="L480" s="907" t="str">
        <x:v>SRC-P404</x:v>
      </x:c>
      <x:c r="M480" s="907" t="str">
        <x:v>VNStock API actual</x:v>
      </x:c>
      <x:c r="N480" s="1032" t="n">
        <x:v>46229.241747685184</x:v>
      </x:c>
    </x:row>
    <x:row r="481">
      <x:c r="A481" s="895" t="n">
        <x:v>45097</x:v>
      </x:c>
      <x:c r="B481" s="898" t="n">
        <x:v>38.12</x:v>
      </x:c>
      <x:c r="C481" s="898" t="n">
        <x:v>38.58</x:v>
      </x:c>
      <x:c r="D481" s="898" t="n">
        <x:v>37.97</x:v>
      </x:c>
      <x:c r="E481" s="898" t="n">
        <x:v>38.58</x:v>
      </x:c>
      <x:c r="F481" s="901" t="n">
        <x:v>494025</x:v>
      </x:c>
      <x:c r="G481" s="904" t="n">
        <x:v>1105.75</x:v>
      </x:c>
      <x:c r="H481" s="904" t="n">
        <x:v>1111.72</x:v>
      </x:c>
      <x:c r="I481" s="904" t="n">
        <x:v>1102.58</x:v>
      </x:c>
      <x:c r="J481" s="904" t="n">
        <x:v>1111.72</x:v>
      </x:c>
      <x:c r="K481" s="901" t="n">
        <x:v>579184745</x:v>
      </x:c>
      <x:c r="L481" s="907" t="str">
        <x:v>SRC-P404</x:v>
      </x:c>
      <x:c r="M481" s="907" t="str">
        <x:v>VNStock API actual</x:v>
      </x:c>
      <x:c r="N481" s="1032" t="n">
        <x:v>46229.241747685184</x:v>
      </x:c>
    </x:row>
    <x:row r="482">
      <x:c r="A482" s="895" t="n">
        <x:v>45098</x:v>
      </x:c>
      <x:c r="B482" s="898" t="n">
        <x:v>38.58</x:v>
      </x:c>
      <x:c r="C482" s="898" t="n">
        <x:v>39.26</x:v>
      </x:c>
      <x:c r="D482" s="898" t="n">
        <x:v>38.43</x:v>
      </x:c>
      <x:c r="E482" s="898" t="n">
        <x:v>39.18</x:v>
      </x:c>
      <x:c r="F482" s="901" t="n">
        <x:v>884176</x:v>
      </x:c>
      <x:c r="G482" s="904" t="n">
        <x:v>1112.73</x:v>
      </x:c>
      <x:c r="H482" s="904" t="n">
        <x:v>1118.46</x:v>
      </x:c>
      <x:c r="I482" s="904" t="n">
        <x:v>1110.65</x:v>
      </x:c>
      <x:c r="J482" s="904" t="n">
        <x:v>1118.46</x:v>
      </x:c>
      <x:c r="K482" s="901" t="n">
        <x:v>778113811</x:v>
      </x:c>
      <x:c r="L482" s="907" t="str">
        <x:v>SRC-P404</x:v>
      </x:c>
      <x:c r="M482" s="907" t="str">
        <x:v>VNStock API actual</x:v>
      </x:c>
      <x:c r="N482" s="1032" t="n">
        <x:v>46229.241747685184</x:v>
      </x:c>
    </x:row>
    <x:row r="483">
      <x:c r="A483" s="895" t="n">
        <x:v>45099</x:v>
      </x:c>
      <x:c r="B483" s="898" t="n">
        <x:v>39.33</x:v>
      </x:c>
      <x:c r="C483" s="898" t="n">
        <x:v>39.71</x:v>
      </x:c>
      <x:c r="D483" s="898" t="n">
        <x:v>39.11</x:v>
      </x:c>
      <x:c r="E483" s="898" t="n">
        <x:v>39.18</x:v>
      </x:c>
      <x:c r="F483" s="901" t="n">
        <x:v>885939</x:v>
      </x:c>
      <x:c r="G483" s="904" t="n">
        <x:v>1126.21</x:v>
      </x:c>
      <x:c r="H483" s="904" t="n">
        <x:v>1127.54</x:v>
      </x:c>
      <x:c r="I483" s="904" t="n">
        <x:v>1122.27</x:v>
      </x:c>
      <x:c r="J483" s="904" t="n">
        <x:v>1125.3</x:v>
      </x:c>
      <x:c r="K483" s="901" t="n">
        <x:v>807623528</x:v>
      </x:c>
      <x:c r="L483" s="907" t="str">
        <x:v>SRC-P404</x:v>
      </x:c>
      <x:c r="M483" s="907" t="str">
        <x:v>VNStock API actual</x:v>
      </x:c>
      <x:c r="N483" s="1032" t="n">
        <x:v>46229.241747685184</x:v>
      </x:c>
    </x:row>
    <x:row r="484">
      <x:c r="A484" s="895" t="n">
        <x:v>45100</x:v>
      </x:c>
      <x:c r="B484" s="898" t="n">
        <x:v>39.33</x:v>
      </x:c>
      <x:c r="C484" s="898" t="n">
        <x:v>39.86</x:v>
      </x:c>
      <x:c r="D484" s="898" t="n">
        <x:v>39.11</x:v>
      </x:c>
      <x:c r="E484" s="898" t="n">
        <x:v>39.86</x:v>
      </x:c>
      <x:c r="F484" s="901" t="n">
        <x:v>1230539</x:v>
      </x:c>
      <x:c r="G484" s="904" t="n">
        <x:v>1126.4</x:v>
      </x:c>
      <x:c r="H484" s="904" t="n">
        <x:v>1130.61</x:v>
      </x:c>
      <x:c r="I484" s="904" t="n">
        <x:v>1122.62</x:v>
      </x:c>
      <x:c r="J484" s="904" t="n">
        <x:v>1129.38</x:v>
      </x:c>
      <x:c r="K484" s="901" t="n">
        <x:v>829820153</x:v>
      </x:c>
      <x:c r="L484" s="907" t="str">
        <x:v>SRC-P404</x:v>
      </x:c>
      <x:c r="M484" s="907" t="str">
        <x:v>VNStock API actual</x:v>
      </x:c>
      <x:c r="N484" s="1032" t="n">
        <x:v>46229.241747685184</x:v>
      </x:c>
    </x:row>
    <x:row r="485">
      <x:c r="A485" s="895" t="n">
        <x:v>45103</x:v>
      </x:c>
      <x:c r="B485" s="898" t="n">
        <x:v>40.09</x:v>
      </x:c>
      <x:c r="C485" s="898" t="n">
        <x:v>40.09</x:v>
      </x:c>
      <x:c r="D485" s="898" t="n">
        <x:v>39.11</x:v>
      </x:c>
      <x:c r="E485" s="898" t="n">
        <x:v>39.71</x:v>
      </x:c>
      <x:c r="F485" s="901" t="n">
        <x:v>657285</x:v>
      </x:c>
      <x:c r="G485" s="904" t="n">
        <x:v>1130.08</x:v>
      </x:c>
      <x:c r="H485" s="904" t="n">
        <x:v>1134</x:v>
      </x:c>
      <x:c r="I485" s="904" t="n">
        <x:v>1119.95</x:v>
      </x:c>
      <x:c r="J485" s="904" t="n">
        <x:v>1132.03</x:v>
      </x:c>
      <x:c r="K485" s="901" t="n">
        <x:v>926624935</x:v>
      </x:c>
      <x:c r="L485" s="907" t="str">
        <x:v>SRC-P404</x:v>
      </x:c>
      <x:c r="M485" s="907" t="str">
        <x:v>VNStock API actual</x:v>
      </x:c>
      <x:c r="N485" s="1032" t="n">
        <x:v>46229.241747685184</x:v>
      </x:c>
    </x:row>
    <x:row r="486">
      <x:c r="A486" s="895" t="n">
        <x:v>45104</x:v>
      </x:c>
      <x:c r="B486" s="898" t="n">
        <x:v>40.01</x:v>
      </x:c>
      <x:c r="C486" s="898" t="n">
        <x:v>40.77</x:v>
      </x:c>
      <x:c r="D486" s="898" t="n">
        <x:v>39.41</x:v>
      </x:c>
      <x:c r="E486" s="898" t="n">
        <x:v>40.01</x:v>
      </x:c>
      <x:c r="F486" s="901" t="n">
        <x:v>1423157</x:v>
      </x:c>
      <x:c r="G486" s="904" t="n">
        <x:v>1134.55</x:v>
      </x:c>
      <x:c r="H486" s="904" t="n">
        <x:v>1136.49</x:v>
      </x:c>
      <x:c r="I486" s="904" t="n">
        <x:v>1128.82</x:v>
      </x:c>
      <x:c r="J486" s="904" t="n">
        <x:v>1134.33</x:v>
      </x:c>
      <x:c r="K486" s="901" t="n">
        <x:v>619564674</x:v>
      </x:c>
      <x:c r="L486" s="907" t="str">
        <x:v>SRC-P404</x:v>
      </x:c>
      <x:c r="M486" s="907" t="str">
        <x:v>VNStock API actual</x:v>
      </x:c>
      <x:c r="N486" s="1032" t="n">
        <x:v>46229.241747685184</x:v>
      </x:c>
    </x:row>
    <x:row r="487">
      <x:c r="A487" s="895" t="n">
        <x:v>45105</x:v>
      </x:c>
      <x:c r="B487" s="898" t="n">
        <x:v>40.32</x:v>
      </x:c>
      <x:c r="C487" s="898" t="n">
        <x:v>40.32</x:v>
      </x:c>
      <x:c r="D487" s="898" t="n">
        <x:v>39.86</x:v>
      </x:c>
      <x:c r="E487" s="898" t="n">
        <x:v>39.86</x:v>
      </x:c>
      <x:c r="F487" s="901" t="n">
        <x:v>573174</x:v>
      </x:c>
      <x:c r="G487" s="904" t="n">
        <x:v>1137.18</x:v>
      </x:c>
      <x:c r="H487" s="904" t="n">
        <x:v>1140.56</x:v>
      </x:c>
      <x:c r="I487" s="904" t="n">
        <x:v>1131.86</x:v>
      </x:c>
      <x:c r="J487" s="904" t="n">
        <x:v>1138.35</x:v>
      </x:c>
      <x:c r="K487" s="901" t="n">
        <x:v>751202539</x:v>
      </x:c>
      <x:c r="L487" s="907" t="str">
        <x:v>SRC-P404</x:v>
      </x:c>
      <x:c r="M487" s="907" t="str">
        <x:v>VNStock API actual</x:v>
      </x:c>
      <x:c r="N487" s="1032" t="n">
        <x:v>46229.241747685184</x:v>
      </x:c>
    </x:row>
    <x:row r="488">
      <x:c r="A488" s="895" t="n">
        <x:v>45106</x:v>
      </x:c>
      <x:c r="B488" s="898" t="n">
        <x:v>39.86</x:v>
      </x:c>
      <x:c r="C488" s="898" t="n">
        <x:v>39.86</x:v>
      </x:c>
      <x:c r="D488" s="898" t="n">
        <x:v>39.11</x:v>
      </x:c>
      <x:c r="E488" s="898" t="n">
        <x:v>39.11</x:v>
      </x:c>
      <x:c r="F488" s="901" t="n">
        <x:v>936657</x:v>
      </x:c>
      <x:c r="G488" s="904" t="n">
        <x:v>1139.42</x:v>
      </x:c>
      <x:c r="H488" s="904" t="n">
        <x:v>1140.43</x:v>
      </x:c>
      <x:c r="I488" s="904" t="n">
        <x:v>1125.39</x:v>
      </x:c>
      <x:c r="J488" s="904" t="n">
        <x:v>1125.39</x:v>
      </x:c>
      <x:c r="K488" s="901" t="n">
        <x:v>813877038</x:v>
      </x:c>
      <x:c r="L488" s="907" t="str">
        <x:v>SRC-P404</x:v>
      </x:c>
      <x:c r="M488" s="907" t="str">
        <x:v>VNStock API actual</x:v>
      </x:c>
      <x:c r="N488" s="1032" t="n">
        <x:v>46229.241747685184</x:v>
      </x:c>
    </x:row>
    <x:row r="489">
      <x:c r="A489" s="895" t="n">
        <x:v>45107</x:v>
      </x:c>
      <x:c r="B489" s="898" t="n">
        <x:v>39.03</x:v>
      </x:c>
      <x:c r="C489" s="898" t="n">
        <x:v>39.94</x:v>
      </x:c>
      <x:c r="D489" s="898" t="n">
        <x:v>39.03</x:v>
      </x:c>
      <x:c r="E489" s="898" t="n">
        <x:v>39.26</x:v>
      </x:c>
      <x:c r="F489" s="901" t="n">
        <x:v>458937</x:v>
      </x:c>
      <x:c r="G489" s="904" t="n">
        <x:v>1124.3</x:v>
      </x:c>
      <x:c r="H489" s="904" t="n">
        <x:v>1126.33</x:v>
      </x:c>
      <x:c r="I489" s="904" t="n">
        <x:v>1120.01</x:v>
      </x:c>
      <x:c r="J489" s="904" t="n">
        <x:v>1120.18</x:v>
      </x:c>
      <x:c r="K489" s="901" t="n">
        <x:v>520965834</x:v>
      </x:c>
      <x:c r="L489" s="907" t="str">
        <x:v>SRC-P404</x:v>
      </x:c>
      <x:c r="M489" s="907" t="str">
        <x:v>VNStock API actual</x:v>
      </x:c>
      <x:c r="N489" s="1032" t="n">
        <x:v>46229.241747685184</x:v>
      </x:c>
    </x:row>
    <x:row r="490">
      <x:c r="A490" s="895" t="n">
        <x:v>45110</x:v>
      </x:c>
      <x:c r="B490" s="898" t="n">
        <x:v>39.33</x:v>
      </x:c>
      <x:c r="C490" s="898" t="n">
        <x:v>39.94</x:v>
      </x:c>
      <x:c r="D490" s="898" t="n">
        <x:v>39.26</x:v>
      </x:c>
      <x:c r="E490" s="898" t="n">
        <x:v>39.79</x:v>
      </x:c>
      <x:c r="F490" s="901" t="n">
        <x:v>830150</x:v>
      </x:c>
      <x:c r="G490" s="904" t="n">
        <x:v>1125.55</x:v>
      </x:c>
      <x:c r="H490" s="904" t="n">
        <x:v>1128.35</x:v>
      </x:c>
      <x:c r="I490" s="904" t="n">
        <x:v>1121.17</x:v>
      </x:c>
      <x:c r="J490" s="904" t="n">
        <x:v>1125.5</x:v>
      </x:c>
      <x:c r="K490" s="901" t="n">
        <x:v>482330417</x:v>
      </x:c>
      <x:c r="L490" s="907" t="str">
        <x:v>SRC-P404</x:v>
      </x:c>
      <x:c r="M490" s="907" t="str">
        <x:v>VNStock API actual</x:v>
      </x:c>
      <x:c r="N490" s="1032" t="n">
        <x:v>46229.241747685184</x:v>
      </x:c>
    </x:row>
    <x:row r="491">
      <x:c r="A491" s="895" t="n">
        <x:v>45111</x:v>
      </x:c>
      <x:c r="B491" s="898" t="n">
        <x:v>40.09</x:v>
      </x:c>
      <x:c r="C491" s="898" t="n">
        <x:v>40.77</x:v>
      </x:c>
      <x:c r="D491" s="898" t="n">
        <x:v>39.86</x:v>
      </x:c>
      <x:c r="E491" s="898" t="n">
        <x:v>40.47</x:v>
      </x:c>
      <x:c r="F491" s="901" t="n">
        <x:v>796629</x:v>
      </x:c>
      <x:c r="G491" s="904" t="n">
        <x:v>1127.11</x:v>
      </x:c>
      <x:c r="H491" s="904" t="n">
        <x:v>1132.12</x:v>
      </x:c>
      <x:c r="I491" s="904" t="n">
        <x:v>1123.49</x:v>
      </x:c>
      <x:c r="J491" s="904" t="n">
        <x:v>1132</x:v>
      </x:c>
      <x:c r="K491" s="901" t="n">
        <x:v>621589939</x:v>
      </x:c>
      <x:c r="L491" s="907" t="str">
        <x:v>SRC-P404</x:v>
      </x:c>
      <x:c r="M491" s="907" t="str">
        <x:v>VNStock API actual</x:v>
      </x:c>
      <x:c r="N491" s="1032" t="n">
        <x:v>46229.241747685184</x:v>
      </x:c>
    </x:row>
    <x:row r="492">
      <x:c r="A492" s="895" t="n">
        <x:v>45112</x:v>
      </x:c>
      <x:c r="B492" s="898" t="n">
        <x:v>40.54</x:v>
      </x:c>
      <x:c r="C492" s="898" t="n">
        <x:v>41.15</x:v>
      </x:c>
      <x:c r="D492" s="898" t="n">
        <x:v>40.39</x:v>
      </x:c>
      <x:c r="E492" s="898" t="n">
        <x:v>40.69</x:v>
      </x:c>
      <x:c r="F492" s="901" t="n">
        <x:v>922031</x:v>
      </x:c>
      <x:c r="G492" s="904" t="n">
        <x:v>1136.64</x:v>
      </x:c>
      <x:c r="H492" s="904" t="n">
        <x:v>1138.67</x:v>
      </x:c>
      <x:c r="I492" s="904" t="n">
        <x:v>1133.45</x:v>
      </x:c>
      <x:c r="J492" s="904" t="n">
        <x:v>1134.62</x:v>
      </x:c>
      <x:c r="K492" s="901" t="n">
        <x:v>714171068</x:v>
      </x:c>
      <x:c r="L492" s="907" t="str">
        <x:v>SRC-P404</x:v>
      </x:c>
      <x:c r="M492" s="907" t="str">
        <x:v>VNStock API actual</x:v>
      </x:c>
      <x:c r="N492" s="1032" t="n">
        <x:v>46229.241747685184</x:v>
      </x:c>
    </x:row>
    <x:row r="493">
      <x:c r="A493" s="895" t="n">
        <x:v>45113</x:v>
      </x:c>
      <x:c r="B493" s="898" t="n">
        <x:v>40.39</x:v>
      </x:c>
      <x:c r="C493" s="898" t="n">
        <x:v>40.77</x:v>
      </x:c>
      <x:c r="D493" s="898" t="n">
        <x:v>39.94</x:v>
      </x:c>
      <x:c r="E493" s="898" t="n">
        <x:v>40.47</x:v>
      </x:c>
      <x:c r="F493" s="901" t="n">
        <x:v>1054192</x:v>
      </x:c>
      <x:c r="G493" s="904" t="n">
        <x:v>1133.7</x:v>
      </x:c>
      <x:c r="H493" s="904" t="n">
        <x:v>1135.81</x:v>
      </x:c>
      <x:c r="I493" s="904" t="n">
        <x:v>1122.35</x:v>
      </x:c>
      <x:c r="J493" s="904" t="n">
        <x:v>1126.22</x:v>
      </x:c>
      <x:c r="K493" s="901" t="n">
        <x:v>842931087</x:v>
      </x:c>
      <x:c r="L493" s="907" t="str">
        <x:v>SRC-P404</x:v>
      </x:c>
      <x:c r="M493" s="907" t="str">
        <x:v>VNStock API actual</x:v>
      </x:c>
      <x:c r="N493" s="1032" t="n">
        <x:v>46229.241747685184</x:v>
      </x:c>
    </x:row>
    <x:row r="494">
      <x:c r="A494" s="895" t="n">
        <x:v>45114</x:v>
      </x:c>
      <x:c r="B494" s="898" t="n">
        <x:v>40.69</x:v>
      </x:c>
      <x:c r="C494" s="898" t="n">
        <x:v>42.36</x:v>
      </x:c>
      <x:c r="D494" s="898" t="n">
        <x:v>40.24</x:v>
      </x:c>
      <x:c r="E494" s="898" t="n">
        <x:v>42.21</x:v>
      </x:c>
      <x:c r="F494" s="901" t="n">
        <x:v>2438358</x:v>
      </x:c>
      <x:c r="G494" s="904" t="n">
        <x:v>1124.98</x:v>
      </x:c>
      <x:c r="H494" s="904" t="n">
        <x:v>1138.07</x:v>
      </x:c>
      <x:c r="I494" s="904" t="n">
        <x:v>1122.94</x:v>
      </x:c>
      <x:c r="J494" s="904" t="n">
        <x:v>1138.07</x:v>
      </x:c>
      <x:c r="K494" s="901" t="n">
        <x:v>690911706</x:v>
      </x:c>
      <x:c r="L494" s="907" t="str">
        <x:v>SRC-P404</x:v>
      </x:c>
      <x:c r="M494" s="907" t="str">
        <x:v>VNStock API actual</x:v>
      </x:c>
      <x:c r="N494" s="1032" t="n">
        <x:v>46229.241747685184</x:v>
      </x:c>
    </x:row>
    <x:row r="495">
      <x:c r="A495" s="895" t="n">
        <x:v>45117</x:v>
      </x:c>
      <x:c r="B495" s="898" t="n">
        <x:v>42.36</x:v>
      </x:c>
      <x:c r="C495" s="898" t="n">
        <x:v>42.36</x:v>
      </x:c>
      <x:c r="D495" s="898" t="n">
        <x:v>41.75</x:v>
      </x:c>
      <x:c r="E495" s="898" t="n">
        <x:v>42.13</x:v>
      </x:c>
      <x:c r="F495" s="901" t="n">
        <x:v>1137289</x:v>
      </x:c>
      <x:c r="G495" s="904" t="n">
        <x:v>1142.61</x:v>
      </x:c>
      <x:c r="H495" s="904" t="n">
        <x:v>1149.02</x:v>
      </x:c>
      <x:c r="I495" s="904" t="n">
        <x:v>1140.03</x:v>
      </x:c>
      <x:c r="J495" s="904" t="n">
        <x:v>1149.02</x:v>
      </x:c>
      <x:c r="K495" s="901" t="n">
        <x:v>781792879</x:v>
      </x:c>
      <x:c r="L495" s="907" t="str">
        <x:v>SRC-P404</x:v>
      </x:c>
      <x:c r="M495" s="907" t="str">
        <x:v>VNStock API actual</x:v>
      </x:c>
      <x:c r="N495" s="1032" t="n">
        <x:v>46229.241747685184</x:v>
      </x:c>
    </x:row>
    <x:row r="496">
      <x:c r="A496" s="895" t="n">
        <x:v>45118</x:v>
      </x:c>
      <x:c r="B496" s="898" t="n">
        <x:v>42.36</x:v>
      </x:c>
      <x:c r="C496" s="898" t="n">
        <x:v>43.8</x:v>
      </x:c>
      <x:c r="D496" s="898" t="n">
        <x:v>42.28</x:v>
      </x:c>
      <x:c r="E496" s="898" t="n">
        <x:v>42.89</x:v>
      </x:c>
      <x:c r="F496" s="901" t="n">
        <x:v>2643300</x:v>
      </x:c>
      <x:c r="G496" s="904" t="n">
        <x:v>1151.13</x:v>
      </x:c>
      <x:c r="H496" s="904" t="n">
        <x:v>1157.01</x:v>
      </x:c>
      <x:c r="I496" s="904" t="n">
        <x:v>1149.69</x:v>
      </x:c>
      <x:c r="J496" s="904" t="n">
        <x:v>1151.77</x:v>
      </x:c>
      <x:c r="K496" s="901" t="n">
        <x:v>816539478</x:v>
      </x:c>
      <x:c r="L496" s="907" t="str">
        <x:v>SRC-P404</x:v>
      </x:c>
      <x:c r="M496" s="907" t="str">
        <x:v>VNStock API actual</x:v>
      </x:c>
      <x:c r="N496" s="1032" t="n">
        <x:v>46229.241747685184</x:v>
      </x:c>
    </x:row>
    <x:row r="497">
      <x:c r="A497" s="895" t="n">
        <x:v>45119</x:v>
      </x:c>
      <x:c r="B497" s="898" t="n">
        <x:v>43.49</x:v>
      </x:c>
      <x:c r="C497" s="898" t="n">
        <x:v>43.49</x:v>
      </x:c>
      <x:c r="D497" s="898" t="n">
        <x:v>42.89</x:v>
      </x:c>
      <x:c r="E497" s="898" t="n">
        <x:v>43.19</x:v>
      </x:c>
      <x:c r="F497" s="901" t="n">
        <x:v>953233</x:v>
      </x:c>
      <x:c r="G497" s="904" t="n">
        <x:v>1154.37</x:v>
      </x:c>
      <x:c r="H497" s="904" t="n">
        <x:v>1157.43</x:v>
      </x:c>
      <x:c r="I497" s="904" t="n">
        <x:v>1149.28</x:v>
      </x:c>
      <x:c r="J497" s="904" t="n">
        <x:v>1154.2</x:v>
      </x:c>
      <x:c r="K497" s="901" t="n">
        <x:v>662915644</x:v>
      </x:c>
      <x:c r="L497" s="907" t="str">
        <x:v>SRC-P404</x:v>
      </x:c>
      <x:c r="M497" s="907" t="str">
        <x:v>VNStock API actual</x:v>
      </x:c>
      <x:c r="N497" s="1032" t="n">
        <x:v>46229.241747685184</x:v>
      </x:c>
    </x:row>
    <x:row r="498">
      <x:c r="A498" s="895" t="n">
        <x:v>45120</x:v>
      </x:c>
      <x:c r="B498" s="898" t="n">
        <x:v>43.27</x:v>
      </x:c>
      <x:c r="C498" s="898" t="n">
        <x:v>43.49</x:v>
      </x:c>
      <x:c r="D498" s="898" t="n">
        <x:v>42.81</x:v>
      </x:c>
      <x:c r="E498" s="898" t="n">
        <x:v>43.27</x:v>
      </x:c>
      <x:c r="F498" s="901" t="n">
        <x:v>1025797</x:v>
      </x:c>
      <x:c r="G498" s="904" t="n">
        <x:v>1159.88</x:v>
      </x:c>
      <x:c r="H498" s="904" t="n">
        <x:v>1165.42</x:v>
      </x:c>
      <x:c r="I498" s="904" t="n">
        <x:v>1158.15</x:v>
      </x:c>
      <x:c r="J498" s="904" t="n">
        <x:v>1165.42</x:v>
      </x:c>
      <x:c r="K498" s="901" t="n">
        <x:v>738388049</x:v>
      </x:c>
      <x:c r="L498" s="907" t="str">
        <x:v>SRC-P404</x:v>
      </x:c>
      <x:c r="M498" s="907" t="str">
        <x:v>VNStock API actual</x:v>
      </x:c>
      <x:c r="N498" s="1032" t="n">
        <x:v>46229.241747685184</x:v>
      </x:c>
    </x:row>
    <x:row r="499">
      <x:c r="A499" s="895" t="n">
        <x:v>45121</x:v>
      </x:c>
      <x:c r="B499" s="898" t="n">
        <x:v>43.42</x:v>
      </x:c>
      <x:c r="C499" s="898" t="n">
        <x:v>43.64</x:v>
      </x:c>
      <x:c r="D499" s="898" t="n">
        <x:v>42.81</x:v>
      </x:c>
      <x:c r="E499" s="898" t="n">
        <x:v>43.12</x:v>
      </x:c>
      <x:c r="F499" s="901" t="n">
        <x:v>892885</x:v>
      </x:c>
      <x:c r="G499" s="904" t="n">
        <x:v>1169.2</x:v>
      </x:c>
      <x:c r="H499" s="904" t="n">
        <x:v>1169.84</x:v>
      </x:c>
      <x:c r="I499" s="904" t="n">
        <x:v>1156.28</x:v>
      </x:c>
      <x:c r="J499" s="904" t="n">
        <x:v>1168.4</x:v>
      </x:c>
      <x:c r="K499" s="901" t="n">
        <x:v>940146669</x:v>
      </x:c>
      <x:c r="L499" s="907" t="str">
        <x:v>SRC-P404</x:v>
      </x:c>
      <x:c r="M499" s="907" t="str">
        <x:v>VNStock API actual</x:v>
      </x:c>
      <x:c r="N499" s="1032" t="n">
        <x:v>46229.241747685184</x:v>
      </x:c>
    </x:row>
    <x:row r="500">
      <x:c r="A500" s="895" t="n">
        <x:v>45124</x:v>
      </x:c>
      <x:c r="B500" s="898" t="n">
        <x:v>43.27</x:v>
      </x:c>
      <x:c r="C500" s="898" t="n">
        <x:v>43.64</x:v>
      </x:c>
      <x:c r="D500" s="898" t="n">
        <x:v>42.74</x:v>
      </x:c>
      <x:c r="E500" s="898" t="n">
        <x:v>43.04</x:v>
      </x:c>
      <x:c r="F500" s="901" t="n">
        <x:v>1600196</x:v>
      </x:c>
      <x:c r="G500" s="904" t="n">
        <x:v>1171.75</x:v>
      </x:c>
      <x:c r="H500" s="904" t="n">
        <x:v>1174.89</x:v>
      </x:c>
      <x:c r="I500" s="904" t="n">
        <x:v>1168.77</x:v>
      </x:c>
      <x:c r="J500" s="904" t="n">
        <x:v>1173.13</x:v>
      </x:c>
      <x:c r="K500" s="901" t="n">
        <x:v>823237013</x:v>
      </x:c>
      <x:c r="L500" s="907" t="str">
        <x:v>SRC-P404</x:v>
      </x:c>
      <x:c r="M500" s="907" t="str">
        <x:v>VNStock API actual</x:v>
      </x:c>
      <x:c r="N500" s="1032" t="n">
        <x:v>46229.241747685184</x:v>
      </x:c>
    </x:row>
    <x:row r="501">
      <x:c r="A501" s="895" t="n">
        <x:v>45125</x:v>
      </x:c>
      <x:c r="B501" s="898" t="n">
        <x:v>43.12</x:v>
      </x:c>
      <x:c r="C501" s="898" t="n">
        <x:v>44.02</x:v>
      </x:c>
      <x:c r="D501" s="898" t="n">
        <x:v>43.04</x:v>
      </x:c>
      <x:c r="E501" s="898" t="n">
        <x:v>43.64</x:v>
      </x:c>
      <x:c r="F501" s="901" t="n">
        <x:v>1349209</x:v>
      </x:c>
      <x:c r="G501" s="904" t="n">
        <x:v>1173.23</x:v>
      </x:c>
      <x:c r="H501" s="904" t="n">
        <x:v>1175.7</x:v>
      </x:c>
      <x:c r="I501" s="904" t="n">
        <x:v>1170.04</x:v>
      </x:c>
      <x:c r="J501" s="904" t="n">
        <x:v>1174.09</x:v>
      </x:c>
      <x:c r="K501" s="901" t="n">
        <x:v>729194875</x:v>
      </x:c>
      <x:c r="L501" s="907" t="str">
        <x:v>SRC-P404</x:v>
      </x:c>
      <x:c r="M501" s="907" t="str">
        <x:v>VNStock API actual</x:v>
      </x:c>
      <x:c r="N501" s="1032" t="n">
        <x:v>46229.241747685184</x:v>
      </x:c>
    </x:row>
    <x:row r="502">
      <x:c r="A502" s="895" t="n">
        <x:v>45126</x:v>
      </x:c>
      <x:c r="B502" s="898" t="n">
        <x:v>43.72</x:v>
      </x:c>
      <x:c r="C502" s="898" t="n">
        <x:v>44.17</x:v>
      </x:c>
      <x:c r="D502" s="898" t="n">
        <x:v>42.89</x:v>
      </x:c>
      <x:c r="E502" s="898" t="n">
        <x:v>43.27</x:v>
      </x:c>
      <x:c r="F502" s="901" t="n">
        <x:v>1220381</x:v>
      </x:c>
      <x:c r="G502" s="904" t="n">
        <x:v>1177.5</x:v>
      </x:c>
      <x:c r="H502" s="904" t="n">
        <x:v>1178.55</x:v>
      </x:c>
      <x:c r="I502" s="904" t="n">
        <x:v>1172.98</x:v>
      </x:c>
      <x:c r="J502" s="904" t="n">
        <x:v>1172.98</x:v>
      </x:c>
      <x:c r="K502" s="901" t="n">
        <x:v>776854252</x:v>
      </x:c>
      <x:c r="L502" s="907" t="str">
        <x:v>SRC-P404</x:v>
      </x:c>
      <x:c r="M502" s="907" t="str">
        <x:v>VNStock API actual</x:v>
      </x:c>
      <x:c r="N502" s="1032" t="n">
        <x:v>46229.241747685184</x:v>
      </x:c>
    </x:row>
    <x:row r="503">
      <x:c r="A503" s="895" t="n">
        <x:v>45127</x:v>
      </x:c>
      <x:c r="B503" s="898" t="n">
        <x:v>43.49</x:v>
      </x:c>
      <x:c r="C503" s="898" t="n">
        <x:v>43.49</x:v>
      </x:c>
      <x:c r="D503" s="898" t="n">
        <x:v>42.96</x:v>
      </x:c>
      <x:c r="E503" s="898" t="n">
        <x:v>43.27</x:v>
      </x:c>
      <x:c r="F503" s="901" t="n">
        <x:v>728258</x:v>
      </x:c>
      <x:c r="G503" s="904" t="n">
        <x:v>1171.83</x:v>
      </x:c>
      <x:c r="H503" s="904" t="n">
        <x:v>1174.39</x:v>
      </x:c>
      <x:c r="I503" s="904" t="n">
        <x:v>1166.62</x:v>
      </x:c>
      <x:c r="J503" s="904" t="n">
        <x:v>1172.81</x:v>
      </x:c>
      <x:c r="K503" s="901" t="n">
        <x:v>713194602</x:v>
      </x:c>
      <x:c r="L503" s="907" t="str">
        <x:v>SRC-P404</x:v>
      </x:c>
      <x:c r="M503" s="907" t="str">
        <x:v>VNStock API actual</x:v>
      </x:c>
      <x:c r="N503" s="1032" t="n">
        <x:v>46229.241747685184</x:v>
      </x:c>
    </x:row>
    <x:row r="504">
      <x:c r="A504" s="895" t="n">
        <x:v>45128</x:v>
      </x:c>
      <x:c r="B504" s="898" t="n">
        <x:v>43.49</x:v>
      </x:c>
      <x:c r="C504" s="898" t="n">
        <x:v>43.8</x:v>
      </x:c>
      <x:c r="D504" s="898" t="n">
        <x:v>43.19</x:v>
      </x:c>
      <x:c r="E504" s="898" t="n">
        <x:v>43.49</x:v>
      </x:c>
      <x:c r="F504" s="901" t="n">
        <x:v>955150</x:v>
      </x:c>
      <x:c r="G504" s="904" t="n">
        <x:v>1173.21</x:v>
      </x:c>
      <x:c r="H504" s="904" t="n">
        <x:v>1185.9</x:v>
      </x:c>
      <x:c r="I504" s="904" t="n">
        <x:v>1172.07</x:v>
      </x:c>
      <x:c r="J504" s="904" t="n">
        <x:v>1185.9</x:v>
      </x:c>
      <x:c r="K504" s="901" t="n">
        <x:v>872012954</x:v>
      </x:c>
      <x:c r="L504" s="907" t="str">
        <x:v>SRC-P404</x:v>
      </x:c>
      <x:c r="M504" s="907" t="str">
        <x:v>VNStock API actual</x:v>
      </x:c>
      <x:c r="N504" s="1032" t="n">
        <x:v>46229.241747685184</x:v>
      </x:c>
    </x:row>
    <x:row r="505">
      <x:c r="A505" s="895" t="n">
        <x:v>45131</x:v>
      </x:c>
      <x:c r="B505" s="898" t="n">
        <x:v>43.87</x:v>
      </x:c>
      <x:c r="C505" s="898" t="n">
        <x:v>45.23</x:v>
      </x:c>
      <x:c r="D505" s="898" t="n">
        <x:v>43.49</x:v>
      </x:c>
      <x:c r="E505" s="898" t="n">
        <x:v>44.48</x:v>
      </x:c>
      <x:c r="F505" s="901" t="n">
        <x:v>1996418</x:v>
      </x:c>
      <x:c r="G505" s="904" t="n">
        <x:v>1190.74</x:v>
      </x:c>
      <x:c r="H505" s="904" t="n">
        <x:v>1193.22</x:v>
      </x:c>
      <x:c r="I505" s="904" t="n">
        <x:v>1183.39</x:v>
      </x:c>
      <x:c r="J505" s="904" t="n">
        <x:v>1190.72</x:v>
      </x:c>
      <x:c r="K505" s="901" t="n">
        <x:v>960584502</x:v>
      </x:c>
      <x:c r="L505" s="907" t="str">
        <x:v>SRC-P404</x:v>
      </x:c>
      <x:c r="M505" s="907" t="str">
        <x:v>VNStock API actual</x:v>
      </x:c>
      <x:c r="N505" s="1032" t="n">
        <x:v>46229.241747685184</x:v>
      </x:c>
    </x:row>
    <x:row r="506">
      <x:c r="A506" s="895" t="n">
        <x:v>45132</x:v>
      </x:c>
      <x:c r="B506" s="898" t="n">
        <x:v>44.63</x:v>
      </x:c>
      <x:c r="C506" s="898" t="n">
        <x:v>44.86</x:v>
      </x:c>
      <x:c r="D506" s="898" t="n">
        <x:v>43.87</x:v>
      </x:c>
      <x:c r="E506" s="898" t="n">
        <x:v>44.17</x:v>
      </x:c>
      <x:c r="F506" s="901" t="n">
        <x:v>1103744</x:v>
      </x:c>
      <x:c r="G506" s="904" t="n">
        <x:v>1194.45</x:v>
      </x:c>
      <x:c r="H506" s="904" t="n">
        <x:v>1199.27</x:v>
      </x:c>
      <x:c r="I506" s="904" t="n">
        <x:v>1193.34</x:v>
      </x:c>
      <x:c r="J506" s="904" t="n">
        <x:v>1195.9</x:v>
      </x:c>
      <x:c r="K506" s="901" t="n">
        <x:v>884463624</x:v>
      </x:c>
      <x:c r="L506" s="907" t="str">
        <x:v>SRC-P404</x:v>
      </x:c>
      <x:c r="M506" s="907" t="str">
        <x:v>VNStock API actual</x:v>
      </x:c>
      <x:c r="N506" s="1032" t="n">
        <x:v>46229.241747685184</x:v>
      </x:c>
    </x:row>
    <x:row r="507">
      <x:c r="A507" s="895" t="n">
        <x:v>45133</x:v>
      </x:c>
      <x:c r="B507" s="898" t="n">
        <x:v>44.33</x:v>
      </x:c>
      <x:c r="C507" s="898" t="n">
        <x:v>44.33</x:v>
      </x:c>
      <x:c r="D507" s="898" t="n">
        <x:v>42.96</x:v>
      </x:c>
      <x:c r="E507" s="898" t="n">
        <x:v>43.04</x:v>
      </x:c>
      <x:c r="F507" s="901" t="n">
        <x:v>1323485</x:v>
      </x:c>
      <x:c r="G507" s="904" t="n">
        <x:v>1195.5</x:v>
      </x:c>
      <x:c r="H507" s="904" t="n">
        <x:v>1200.84</x:v>
      </x:c>
      <x:c r="I507" s="904" t="n">
        <x:v>1195.44</x:v>
      </x:c>
      <x:c r="J507" s="904" t="n">
        <x:v>1200.84</x:v>
      </x:c>
      <x:c r="K507" s="901" t="n">
        <x:v>816580555</x:v>
      </x:c>
      <x:c r="L507" s="907" t="str">
        <x:v>SRC-P404</x:v>
      </x:c>
      <x:c r="M507" s="907" t="str">
        <x:v>VNStock API actual</x:v>
      </x:c>
      <x:c r="N507" s="1032" t="n">
        <x:v>46229.241747685184</x:v>
      </x:c>
    </x:row>
    <x:row r="508">
      <x:c r="A508" s="895" t="n">
        <x:v>45134</x:v>
      </x:c>
      <x:c r="B508" s="898" t="n">
        <x:v>43.12</x:v>
      </x:c>
      <x:c r="C508" s="898" t="n">
        <x:v>43.64</x:v>
      </x:c>
      <x:c r="D508" s="898" t="n">
        <x:v>42.74</x:v>
      </x:c>
      <x:c r="E508" s="898" t="n">
        <x:v>43.49</x:v>
      </x:c>
      <x:c r="F508" s="901" t="n">
        <x:v>1277930</x:v>
      </x:c>
      <x:c r="G508" s="904" t="n">
        <x:v>1201.69</x:v>
      </x:c>
      <x:c r="H508" s="904" t="n">
        <x:v>1203.69</x:v>
      </x:c>
      <x:c r="I508" s="904" t="n">
        <x:v>1191.08</x:v>
      </x:c>
      <x:c r="J508" s="904" t="n">
        <x:v>1197.33</x:v>
      </x:c>
      <x:c r="K508" s="901" t="n">
        <x:v>1044856216</x:v>
      </x:c>
      <x:c r="L508" s="907" t="str">
        <x:v>SRC-P404</x:v>
      </x:c>
      <x:c r="M508" s="907" t="str">
        <x:v>VNStock API actual</x:v>
      </x:c>
      <x:c r="N508" s="1032" t="n">
        <x:v>46229.241747685184</x:v>
      </x:c>
    </x:row>
    <x:row r="509">
      <x:c r="A509" s="895" t="n">
        <x:v>45135</x:v>
      </x:c>
      <x:c r="B509" s="898" t="n">
        <x:v>43.8</x:v>
      </x:c>
      <x:c r="C509" s="898" t="n">
        <x:v>43.8</x:v>
      </x:c>
      <x:c r="D509" s="898" t="n">
        <x:v>43.12</x:v>
      </x:c>
      <x:c r="E509" s="898" t="n">
        <x:v>43.64</x:v>
      </x:c>
      <x:c r="F509" s="901" t="n">
        <x:v>958266</x:v>
      </x:c>
      <x:c r="G509" s="904" t="n">
        <x:v>1197.32</x:v>
      </x:c>
      <x:c r="H509" s="904" t="n">
        <x:v>1207.67</x:v>
      </x:c>
      <x:c r="I509" s="904" t="n">
        <x:v>1195.86</x:v>
      </x:c>
      <x:c r="J509" s="904" t="n">
        <x:v>1207.67</x:v>
      </x:c>
      <x:c r="K509" s="901" t="n">
        <x:v>1018968754</x:v>
      </x:c>
      <x:c r="L509" s="907" t="str">
        <x:v>SRC-P404</x:v>
      </x:c>
      <x:c r="M509" s="907" t="str">
        <x:v>VNStock API actual</x:v>
      </x:c>
      <x:c r="N509" s="1032" t="n">
        <x:v>46229.241747685184</x:v>
      </x:c>
    </x:row>
    <x:row r="510">
      <x:c r="A510" s="895" t="n">
        <x:v>45138</x:v>
      </x:c>
      <x:c r="B510" s="898" t="n">
        <x:v>45.69</x:v>
      </x:c>
      <x:c r="C510" s="898" t="n">
        <x:v>45.69</x:v>
      </x:c>
      <x:c r="D510" s="898" t="n">
        <x:v>43.87</x:v>
      </x:c>
      <x:c r="E510" s="898" t="n">
        <x:v>44.4</x:v>
      </x:c>
      <x:c r="F510" s="901" t="n">
        <x:v>2341217</x:v>
      </x:c>
      <x:c r="G510" s="904" t="n">
        <x:v>1219.66</x:v>
      </x:c>
      <x:c r="H510" s="904" t="n">
        <x:v>1224.81</x:v>
      </x:c>
      <x:c r="I510" s="904" t="n">
        <x:v>1212.81</x:v>
      </x:c>
      <x:c r="J510" s="904" t="n">
        <x:v>1222.9</x:v>
      </x:c>
      <x:c r="K510" s="901" t="n">
        <x:v>1076364086</x:v>
      </x:c>
      <x:c r="L510" s="907" t="str">
        <x:v>SRC-P404</x:v>
      </x:c>
      <x:c r="M510" s="907" t="str">
        <x:v>VNStock API actual</x:v>
      </x:c>
      <x:c r="N510" s="1032" t="n">
        <x:v>46229.241747685184</x:v>
      </x:c>
    </x:row>
    <x:row r="511">
      <x:c r="A511" s="895" t="n">
        <x:v>45139</x:v>
      </x:c>
      <x:c r="B511" s="898" t="n">
        <x:v>44.48</x:v>
      </x:c>
      <x:c r="C511" s="898" t="n">
        <x:v>44.48</x:v>
      </x:c>
      <x:c r="D511" s="898" t="n">
        <x:v>43.19</x:v>
      </x:c>
      <x:c r="E511" s="898" t="n">
        <x:v>43.19</x:v>
      </x:c>
      <x:c r="F511" s="901" t="n">
        <x:v>1324452</x:v>
      </x:c>
      <x:c r="G511" s="904" t="n">
        <x:v>1230.32</x:v>
      </x:c>
      <x:c r="H511" s="904" t="n">
        <x:v>1234.5</x:v>
      </x:c>
      <x:c r="I511" s="904" t="n">
        <x:v>1217.56</x:v>
      </x:c>
      <x:c r="J511" s="904" t="n">
        <x:v>1217.56</x:v>
      </x:c>
      <x:c r="K511" s="901" t="n">
        <x:v>1156851607</x:v>
      </x:c>
      <x:c r="L511" s="907" t="str">
        <x:v>SRC-P404</x:v>
      </x:c>
      <x:c r="M511" s="907" t="str">
        <x:v>VNStock API actual</x:v>
      </x:c>
      <x:c r="N511" s="1032" t="n">
        <x:v>46229.241747685184</x:v>
      </x:c>
    </x:row>
    <x:row r="512">
      <x:c r="A512" s="895" t="n">
        <x:v>45140</x:v>
      </x:c>
      <x:c r="B512" s="898" t="n">
        <x:v>43.12</x:v>
      </x:c>
      <x:c r="C512" s="898" t="n">
        <x:v>43.34</x:v>
      </x:c>
      <x:c r="D512" s="898" t="n">
        <x:v>42.59</x:v>
      </x:c>
      <x:c r="E512" s="898" t="n">
        <x:v>42.81</x:v>
      </x:c>
      <x:c r="F512" s="901" t="n">
        <x:v>1499912</x:v>
      </x:c>
      <x:c r="G512" s="904" t="n">
        <x:v>1217.17</x:v>
      </x:c>
      <x:c r="H512" s="904" t="n">
        <x:v>1223.04</x:v>
      </x:c>
      <x:c r="I512" s="904" t="n">
        <x:v>1213.18</x:v>
      </x:c>
      <x:c r="J512" s="904" t="n">
        <x:v>1220.43</x:v>
      </x:c>
      <x:c r="K512" s="901" t="n">
        <x:v>813384734</x:v>
      </x:c>
      <x:c r="L512" s="907" t="str">
        <x:v>SRC-P404</x:v>
      </x:c>
      <x:c r="M512" s="907" t="str">
        <x:v>VNStock API actual</x:v>
      </x:c>
      <x:c r="N512" s="1032" t="n">
        <x:v>46229.241747685184</x:v>
      </x:c>
    </x:row>
    <x:row r="513">
      <x:c r="A513" s="895" t="n">
        <x:v>45141</x:v>
      </x:c>
      <x:c r="B513" s="898" t="n">
        <x:v>42.81</x:v>
      </x:c>
      <x:c r="C513" s="898" t="n">
        <x:v>43.12</x:v>
      </x:c>
      <x:c r="D513" s="898" t="n">
        <x:v>42.51</x:v>
      </x:c>
      <x:c r="E513" s="898" t="n">
        <x:v>42.81</x:v>
      </x:c>
      <x:c r="F513" s="901" t="n">
        <x:v>959323</x:v>
      </x:c>
      <x:c r="G513" s="904" t="n">
        <x:v>1219.73</x:v>
      </x:c>
      <x:c r="H513" s="904" t="n">
        <x:v>1222.35</x:v>
      </x:c>
      <x:c r="I513" s="904" t="n">
        <x:v>1209.06</x:v>
      </x:c>
      <x:c r="J513" s="904" t="n">
        <x:v>1210.95</x:v>
      </x:c>
      <x:c r="K513" s="901" t="n">
        <x:v>935942395</x:v>
      </x:c>
      <x:c r="L513" s="907" t="str">
        <x:v>SRC-P404</x:v>
      </x:c>
      <x:c r="M513" s="907" t="str">
        <x:v>VNStock API actual</x:v>
      </x:c>
      <x:c r="N513" s="1032" t="n">
        <x:v>46229.241747685184</x:v>
      </x:c>
    </x:row>
    <x:row r="514">
      <x:c r="A514" s="895" t="n">
        <x:v>45142</x:v>
      </x:c>
      <x:c r="B514" s="898" t="n">
        <x:v>42.74</x:v>
      </x:c>
      <x:c r="C514" s="898" t="n">
        <x:v>43.87</x:v>
      </x:c>
      <x:c r="D514" s="898" t="n">
        <x:v>42.66</x:v>
      </x:c>
      <x:c r="E514" s="898" t="n">
        <x:v>43.87</x:v>
      </x:c>
      <x:c r="F514" s="901" t="n">
        <x:v>4239302</x:v>
      </x:c>
      <x:c r="G514" s="904" t="n">
        <x:v>1216.27</x:v>
      </x:c>
      <x:c r="H514" s="904" t="n">
        <x:v>1228.12</x:v>
      </x:c>
      <x:c r="I514" s="904" t="n">
        <x:v>1214.17</x:v>
      </x:c>
      <x:c r="J514" s="904" t="n">
        <x:v>1225.98</x:v>
      </x:c>
      <x:c r="K514" s="901" t="n">
        <x:v>1051204937</x:v>
      </x:c>
      <x:c r="L514" s="907" t="str">
        <x:v>SRC-P404</x:v>
      </x:c>
      <x:c r="M514" s="907" t="str">
        <x:v>VNStock API actual</x:v>
      </x:c>
      <x:c r="N514" s="1032" t="n">
        <x:v>46229.241747685184</x:v>
      </x:c>
    </x:row>
    <x:row r="515">
      <x:c r="A515" s="895" t="n">
        <x:v>45145</x:v>
      </x:c>
      <x:c r="B515" s="898" t="n">
        <x:v>44.63</x:v>
      </x:c>
      <x:c r="C515" s="898" t="n">
        <x:v>44.86</x:v>
      </x:c>
      <x:c r="D515" s="898" t="n">
        <x:v>43.8</x:v>
      </x:c>
      <x:c r="E515" s="898" t="n">
        <x:v>43.8</x:v>
      </x:c>
      <x:c r="F515" s="901" t="n">
        <x:v>1534120</x:v>
      </x:c>
      <x:c r="G515" s="904" t="n">
        <x:v>1233.1</x:v>
      </x:c>
      <x:c r="H515" s="904" t="n">
        <x:v>1241.42</x:v>
      </x:c>
      <x:c r="I515" s="904" t="n">
        <x:v>1230.38</x:v>
      </x:c>
      <x:c r="J515" s="904" t="n">
        <x:v>1241.42</x:v>
      </x:c>
      <x:c r="K515" s="901" t="n">
        <x:v>1069565143</x:v>
      </x:c>
      <x:c r="L515" s="907" t="str">
        <x:v>SRC-P404</x:v>
      </x:c>
      <x:c r="M515" s="907" t="str">
        <x:v>VNStock API actual</x:v>
      </x:c>
      <x:c r="N515" s="1032" t="n">
        <x:v>46229.241747685184</x:v>
      </x:c>
    </x:row>
    <x:row r="516">
      <x:c r="A516" s="895" t="n">
        <x:v>45146</x:v>
      </x:c>
      <x:c r="B516" s="898" t="n">
        <x:v>43.8</x:v>
      </x:c>
      <x:c r="C516" s="898" t="n">
        <x:v>44.55</x:v>
      </x:c>
      <x:c r="D516" s="898" t="n">
        <x:v>43.49</x:v>
      </x:c>
      <x:c r="E516" s="898" t="n">
        <x:v>44.25</x:v>
      </x:c>
      <x:c r="F516" s="901" t="n">
        <x:v>1591952</x:v>
      </x:c>
      <x:c r="G516" s="904" t="n">
        <x:v>1244.35</x:v>
      </x:c>
      <x:c r="H516" s="904" t="n">
        <x:v>1246.22</x:v>
      </x:c>
      <x:c r="I516" s="904" t="n">
        <x:v>1239.01</x:v>
      </x:c>
      <x:c r="J516" s="904" t="n">
        <x:v>1242.23</x:v>
      </x:c>
      <x:c r="K516" s="901" t="n">
        <x:v>1055127603</x:v>
      </x:c>
      <x:c r="L516" s="907" t="str">
        <x:v>SRC-P404</x:v>
      </x:c>
      <x:c r="M516" s="907" t="str">
        <x:v>VNStock API actual</x:v>
      </x:c>
      <x:c r="N516" s="1032" t="n">
        <x:v>46229.241747685184</x:v>
      </x:c>
    </x:row>
    <x:row r="517">
      <x:c r="A517" s="895" t="n">
        <x:v>45147</x:v>
      </x:c>
      <x:c r="B517" s="898" t="n">
        <x:v>44.25</x:v>
      </x:c>
      <x:c r="C517" s="898" t="n">
        <x:v>44.25</x:v>
      </x:c>
      <x:c r="D517" s="898" t="n">
        <x:v>43.42</x:v>
      </x:c>
      <x:c r="E517" s="898" t="n">
        <x:v>43.57</x:v>
      </x:c>
      <x:c r="F517" s="901" t="n">
        <x:v>965759</x:v>
      </x:c>
      <x:c r="G517" s="904" t="n">
        <x:v>1240.68</x:v>
      </x:c>
      <x:c r="H517" s="904" t="n">
        <x:v>1241.96</x:v>
      </x:c>
      <x:c r="I517" s="904" t="n">
        <x:v>1231.28</x:v>
      </x:c>
      <x:c r="J517" s="904" t="n">
        <x:v>1233.99</x:v>
      </x:c>
      <x:c r="K517" s="901" t="n">
        <x:v>963201423</x:v>
      </x:c>
      <x:c r="L517" s="907" t="str">
        <x:v>SRC-P404</x:v>
      </x:c>
      <x:c r="M517" s="907" t="str">
        <x:v>VNStock API actual</x:v>
      </x:c>
      <x:c r="N517" s="1032" t="n">
        <x:v>46229.241747685184</x:v>
      </x:c>
    </x:row>
    <x:row r="518">
      <x:c r="A518" s="895" t="n">
        <x:v>45148</x:v>
      </x:c>
      <x:c r="B518" s="898" t="n">
        <x:v>43.49</x:v>
      </x:c>
      <x:c r="C518" s="898" t="n">
        <x:v>43.49</x:v>
      </x:c>
      <x:c r="D518" s="898" t="n">
        <x:v>42.59</x:v>
      </x:c>
      <x:c r="E518" s="898" t="n">
        <x:v>42.59</x:v>
      </x:c>
      <x:c r="F518" s="901" t="n">
        <x:v>1399740</x:v>
      </x:c>
      <x:c r="G518" s="904" t="n">
        <x:v>1236.51</x:v>
      </x:c>
      <x:c r="H518" s="904" t="n">
        <x:v>1238.19</x:v>
      </x:c>
      <x:c r="I518" s="904" t="n">
        <x:v>1220.61</x:v>
      </x:c>
      <x:c r="J518" s="904" t="n">
        <x:v>1220.61</x:v>
      </x:c>
      <x:c r="K518" s="901" t="n">
        <x:v>932188428</x:v>
      </x:c>
      <x:c r="L518" s="907" t="str">
        <x:v>SRC-P404</x:v>
      </x:c>
      <x:c r="M518" s="907" t="str">
        <x:v>VNStock API actual</x:v>
      </x:c>
      <x:c r="N518" s="1032" t="n">
        <x:v>46229.241747685184</x:v>
      </x:c>
    </x:row>
    <x:row r="519">
      <x:c r="A519" s="895" t="n">
        <x:v>45149</x:v>
      </x:c>
      <x:c r="B519" s="898" t="n">
        <x:v>42.28</x:v>
      </x:c>
      <x:c r="C519" s="898" t="n">
        <x:v>42.81</x:v>
      </x:c>
      <x:c r="D519" s="898" t="n">
        <x:v>41.6</x:v>
      </x:c>
      <x:c r="E519" s="898" t="n">
        <x:v>41.75</x:v>
      </x:c>
      <x:c r="F519" s="901" t="n">
        <x:v>956696</x:v>
      </x:c>
      <x:c r="G519" s="904" t="n">
        <x:v>1228.92</x:v>
      </x:c>
      <x:c r="H519" s="904" t="n">
        <x:v>1232.21</x:v>
      </x:c>
      <x:c r="I519" s="904" t="n">
        <x:v>1213.37</x:v>
      </x:c>
      <x:c r="J519" s="904" t="n">
        <x:v>1232.21</x:v>
      </x:c>
      <x:c r="K519" s="901" t="n">
        <x:v>938402362</x:v>
      </x:c>
      <x:c r="L519" s="907" t="str">
        <x:v>SRC-P404</x:v>
      </x:c>
      <x:c r="M519" s="907" t="str">
        <x:v>VNStock API actual</x:v>
      </x:c>
      <x:c r="N519" s="1032" t="n">
        <x:v>46229.241747685184</x:v>
      </x:c>
    </x:row>
    <x:row r="520">
      <x:c r="A520" s="895" t="n">
        <x:v>45152</x:v>
      </x:c>
      <x:c r="B520" s="898" t="n">
        <x:v>41.75</x:v>
      </x:c>
      <x:c r="C520" s="898" t="n">
        <x:v>42.51</x:v>
      </x:c>
      <x:c r="D520" s="898" t="n">
        <x:v>41.75</x:v>
      </x:c>
      <x:c r="E520" s="898" t="n">
        <x:v>42.13</x:v>
      </x:c>
      <x:c r="F520" s="901" t="n">
        <x:v>695732</x:v>
      </x:c>
      <x:c r="G520" s="904" t="n">
        <x:v>1237.14</x:v>
      </x:c>
      <x:c r="H520" s="904" t="n">
        <x:v>1239.61</x:v>
      </x:c>
      <x:c r="I520" s="904" t="n">
        <x:v>1229.04</x:v>
      </x:c>
      <x:c r="J520" s="904" t="n">
        <x:v>1236.84</x:v>
      </x:c>
      <x:c r="K520" s="901" t="n">
        <x:v>993030302</x:v>
      </x:c>
      <x:c r="L520" s="907" t="str">
        <x:v>SRC-P404</x:v>
      </x:c>
      <x:c r="M520" s="907" t="str">
        <x:v>VNStock API actual</x:v>
      </x:c>
      <x:c r="N520" s="1032" t="n">
        <x:v>46229.241747685184</x:v>
      </x:c>
    </x:row>
    <x:row r="521">
      <x:c r="A521" s="895" t="n">
        <x:v>45153</x:v>
      </x:c>
      <x:c r="B521" s="898" t="n">
        <x:v>42.36</x:v>
      </x:c>
      <x:c r="C521" s="898" t="n">
        <x:v>42.66</x:v>
      </x:c>
      <x:c r="D521" s="898" t="n">
        <x:v>41.91</x:v>
      </x:c>
      <x:c r="E521" s="898" t="n">
        <x:v>42.36</x:v>
      </x:c>
      <x:c r="F521" s="901" t="n">
        <x:v>630380</x:v>
      </x:c>
      <x:c r="G521" s="904" t="n">
        <x:v>1239.42</x:v>
      </x:c>
      <x:c r="H521" s="904" t="n">
        <x:v>1239.42</x:v>
      </x:c>
      <x:c r="I521" s="904" t="n">
        <x:v>1230.58</x:v>
      </x:c>
      <x:c r="J521" s="904" t="n">
        <x:v>1234.05</x:v>
      </x:c>
      <x:c r="K521" s="901" t="n">
        <x:v>811761959</x:v>
      </x:c>
      <x:c r="L521" s="907" t="str">
        <x:v>SRC-P404</x:v>
      </x:c>
      <x:c r="M521" s="907" t="str">
        <x:v>VNStock API actual</x:v>
      </x:c>
      <x:c r="N521" s="1032" t="n">
        <x:v>46229.241747685184</x:v>
      </x:c>
    </x:row>
    <x:row r="522">
      <x:c r="A522" s="895" t="n">
        <x:v>45154</x:v>
      </x:c>
      <x:c r="B522" s="898" t="n">
        <x:v>42.36</x:v>
      </x:c>
      <x:c r="C522" s="898" t="n">
        <x:v>42.51</x:v>
      </x:c>
      <x:c r="D522" s="898" t="n">
        <x:v>42.13</x:v>
      </x:c>
      <x:c r="E522" s="898" t="n">
        <x:v>42.21</x:v>
      </x:c>
      <x:c r="F522" s="901" t="n">
        <x:v>580623</x:v>
      </x:c>
      <x:c r="G522" s="904" t="n">
        <x:v>1239.95</x:v>
      </x:c>
      <x:c r="H522" s="904" t="n">
        <x:v>1243.48</x:v>
      </x:c>
      <x:c r="I522" s="904" t="n">
        <x:v>1235.27</x:v>
      </x:c>
      <x:c r="J522" s="904" t="n">
        <x:v>1243.26</x:v>
      </x:c>
      <x:c r="K522" s="901" t="n">
        <x:v>816831815</x:v>
      </x:c>
      <x:c r="L522" s="907" t="str">
        <x:v>SRC-P404</x:v>
      </x:c>
      <x:c r="M522" s="907" t="str">
        <x:v>VNStock API actual</x:v>
      </x:c>
      <x:c r="N522" s="1032" t="n">
        <x:v>46229.241747685184</x:v>
      </x:c>
    </x:row>
    <x:row r="523">
      <x:c r="A523" s="895" t="n">
        <x:v>45155</x:v>
      </x:c>
      <x:c r="B523" s="898" t="n">
        <x:v>41.98</x:v>
      </x:c>
      <x:c r="C523" s="898" t="n">
        <x:v>42.28</x:v>
      </x:c>
      <x:c r="D523" s="898" t="n">
        <x:v>41.53</x:v>
      </x:c>
      <x:c r="E523" s="898" t="n">
        <x:v>41.75</x:v>
      </x:c>
      <x:c r="F523" s="901" t="n">
        <x:v>709370</x:v>
      </x:c>
      <x:c r="G523" s="904" t="n">
        <x:v>1242.58</x:v>
      </x:c>
      <x:c r="H523" s="904" t="n">
        <x:v>1243.98</x:v>
      </x:c>
      <x:c r="I523" s="904" t="n">
        <x:v>1233.48</x:v>
      </x:c>
      <x:c r="J523" s="904" t="n">
        <x:v>1233.48</x:v>
      </x:c>
      <x:c r="K523" s="901" t="n">
        <x:v>1011505421</x:v>
      </x:c>
      <x:c r="L523" s="907" t="str">
        <x:v>SRC-P404</x:v>
      </x:c>
      <x:c r="M523" s="907" t="str">
        <x:v>VNStock API actual</x:v>
      </x:c>
      <x:c r="N523" s="1032" t="n">
        <x:v>46229.241747685184</x:v>
      </x:c>
    </x:row>
    <x:row r="524">
      <x:c r="A524" s="895" t="n">
        <x:v>45156</x:v>
      </x:c>
      <x:c r="B524" s="898" t="n">
        <x:v>41.6</x:v>
      </x:c>
      <x:c r="C524" s="898" t="n">
        <x:v>41.75</x:v>
      </x:c>
      <x:c r="D524" s="898" t="n">
        <x:v>39.48</x:v>
      </x:c>
      <x:c r="E524" s="898" t="n">
        <x:v>39.48</x:v>
      </x:c>
      <x:c r="F524" s="901" t="n">
        <x:v>1711462</x:v>
      </x:c>
      <x:c r="G524" s="904" t="n">
        <x:v>1227.02</x:v>
      </x:c>
      <x:c r="H524" s="904" t="n">
        <x:v>1228.98</x:v>
      </x:c>
      <x:c r="I524" s="904" t="n">
        <x:v>1177.74</x:v>
      </x:c>
      <x:c r="J524" s="904" t="n">
        <x:v>1177.99</x:v>
      </x:c>
      <x:c r="K524" s="901" t="n">
        <x:v>1583522435</x:v>
      </x:c>
      <x:c r="L524" s="907" t="str">
        <x:v>SRC-P404</x:v>
      </x:c>
      <x:c r="M524" s="907" t="str">
        <x:v>VNStock API actual</x:v>
      </x:c>
      <x:c r="N524" s="1032" t="n">
        <x:v>46229.241747685184</x:v>
      </x:c>
    </x:row>
    <x:row r="525">
      <x:c r="A525" s="895" t="n">
        <x:v>45159</x:v>
      </x:c>
      <x:c r="B525" s="898" t="n">
        <x:v>38.73</x:v>
      </x:c>
      <x:c r="C525" s="898" t="n">
        <x:v>41.53</x:v>
      </x:c>
      <x:c r="D525" s="898" t="n">
        <x:v>38.73</x:v>
      </x:c>
      <x:c r="E525" s="898" t="n">
        <x:v>41</x:v>
      </x:c>
      <x:c r="F525" s="901" t="n">
        <x:v>1225367</x:v>
      </x:c>
      <x:c r="G525" s="904" t="n">
        <x:v>1177.01</x:v>
      </x:c>
      <x:c r="H525" s="904" t="n">
        <x:v>1188.16</x:v>
      </x:c>
      <x:c r="I525" s="904" t="n">
        <x:v>1164.63</x:v>
      </x:c>
      <x:c r="J525" s="904" t="n">
        <x:v>1179.76</x:v>
      </x:c>
      <x:c r="K525" s="901" t="n">
        <x:v>961714839</x:v>
      </x:c>
      <x:c r="L525" s="907" t="str">
        <x:v>SRC-P404</x:v>
      </x:c>
      <x:c r="M525" s="907" t="str">
        <x:v>VNStock API actual</x:v>
      </x:c>
      <x:c r="N525" s="1032" t="n">
        <x:v>46229.241747685184</x:v>
      </x:c>
    </x:row>
    <x:row r="526">
      <x:c r="A526" s="895" t="n">
        <x:v>45160</x:v>
      </x:c>
      <x:c r="B526" s="898" t="n">
        <x:v>41.38</x:v>
      </x:c>
      <x:c r="C526" s="898" t="n">
        <x:v>41.45</x:v>
      </x:c>
      <x:c r="D526" s="898" t="n">
        <x:v>40.17</x:v>
      </x:c>
      <x:c r="E526" s="898" t="n">
        <x:v>40.85</x:v>
      </x:c>
      <x:c r="F526" s="901" t="n">
        <x:v>1038013</x:v>
      </x:c>
      <x:c r="G526" s="904" t="n">
        <x:v>1183.92</x:v>
      </x:c>
      <x:c r="H526" s="904" t="n">
        <x:v>1184.43</x:v>
      </x:c>
      <x:c r="I526" s="904" t="n">
        <x:v>1149.13</x:v>
      </x:c>
      <x:c r="J526" s="904" t="n">
        <x:v>1180.49</x:v>
      </x:c>
      <x:c r="K526" s="901" t="n">
        <x:v>933784657</x:v>
      </x:c>
      <x:c r="L526" s="907" t="str">
        <x:v>SRC-P404</x:v>
      </x:c>
      <x:c r="M526" s="907" t="str">
        <x:v>VNStock API actual</x:v>
      </x:c>
      <x:c r="N526" s="1032" t="n">
        <x:v>46229.241747685184</x:v>
      </x:c>
    </x:row>
    <x:row r="527">
      <x:c r="A527" s="895" t="n">
        <x:v>45161</x:v>
      </x:c>
      <x:c r="B527" s="898" t="n">
        <x:v>41.22</x:v>
      </x:c>
      <x:c r="C527" s="898" t="n">
        <x:v>41.22</x:v>
      </x:c>
      <x:c r="D527" s="898" t="n">
        <x:v>40.62</x:v>
      </x:c>
      <x:c r="E527" s="898" t="n">
        <x:v>40.85</x:v>
      </x:c>
      <x:c r="F527" s="901" t="n">
        <x:v>376408</x:v>
      </x:c>
      <x:c r="G527" s="904" t="n">
        <x:v>1192.96</x:v>
      </x:c>
      <x:c r="H527" s="904" t="n">
        <x:v>1193.79</x:v>
      </x:c>
      <x:c r="I527" s="904" t="n">
        <x:v>1168.89</x:v>
      </x:c>
      <x:c r="J527" s="904" t="n">
        <x:v>1172.56</x:v>
      </x:c>
      <x:c r="K527" s="901" t="n">
        <x:v>620730150</x:v>
      </x:c>
      <x:c r="L527" s="907" t="str">
        <x:v>SRC-P404</x:v>
      </x:c>
      <x:c r="M527" s="907" t="str">
        <x:v>VNStock API actual</x:v>
      </x:c>
      <x:c r="N527" s="1032" t="n">
        <x:v>46229.241747685184</x:v>
      </x:c>
    </x:row>
    <x:row r="528">
      <x:c r="A528" s="895" t="n">
        <x:v>45162</x:v>
      </x:c>
      <x:c r="B528" s="898" t="n">
        <x:v>41.15</x:v>
      </x:c>
      <x:c r="C528" s="898" t="n">
        <x:v>41.98</x:v>
      </x:c>
      <x:c r="D528" s="898" t="n">
        <x:v>40.77</x:v>
      </x:c>
      <x:c r="E528" s="898" t="n">
        <x:v>41.98</x:v>
      </x:c>
      <x:c r="F528" s="901" t="n">
        <x:v>1072793</x:v>
      </x:c>
      <x:c r="G528" s="904" t="n">
        <x:v>1175.2</x:v>
      </x:c>
      <x:c r="H528" s="904" t="n">
        <x:v>1189.99</x:v>
      </x:c>
      <x:c r="I528" s="904" t="n">
        <x:v>1171.33</x:v>
      </x:c>
      <x:c r="J528" s="904" t="n">
        <x:v>1189.39</x:v>
      </x:c>
      <x:c r="K528" s="901" t="n">
        <x:v>737567928</x:v>
      </x:c>
      <x:c r="L528" s="907" t="str">
        <x:v>SRC-P404</x:v>
      </x:c>
      <x:c r="M528" s="907" t="str">
        <x:v>VNStock API actual</x:v>
      </x:c>
      <x:c r="N528" s="1032" t="n">
        <x:v>46229.241747685184</x:v>
      </x:c>
    </x:row>
    <x:row r="529">
      <x:c r="A529" s="895" t="n">
        <x:v>45163</x:v>
      </x:c>
      <x:c r="B529" s="898" t="n">
        <x:v>41.98</x:v>
      </x:c>
      <x:c r="C529" s="898" t="n">
        <x:v>42.06</x:v>
      </x:c>
      <x:c r="D529" s="898" t="n">
        <x:v>40.92</x:v>
      </x:c>
      <x:c r="E529" s="898" t="n">
        <x:v>41.83</x:v>
      </x:c>
      <x:c r="F529" s="901" t="n">
        <x:v>506233</x:v>
      </x:c>
      <x:c r="G529" s="904" t="n">
        <x:v>1188.99</x:v>
      </x:c>
      <x:c r="H529" s="904" t="n">
        <x:v>1192.59</x:v>
      </x:c>
      <x:c r="I529" s="904" t="n">
        <x:v>1181.6</x:v>
      </x:c>
      <x:c r="J529" s="904" t="n">
        <x:v>1183.37</x:v>
      </x:c>
      <x:c r="K529" s="901" t="n">
        <x:v>774848913</x:v>
      </x:c>
      <x:c r="L529" s="907" t="str">
        <x:v>SRC-P404</x:v>
      </x:c>
      <x:c r="M529" s="907" t="str">
        <x:v>VNStock API actual</x:v>
      </x:c>
      <x:c r="N529" s="1032" t="n">
        <x:v>46229.241747685184</x:v>
      </x:c>
    </x:row>
    <x:row r="530">
      <x:c r="A530" s="895" t="n">
        <x:v>45166</x:v>
      </x:c>
      <x:c r="B530" s="898" t="n">
        <x:v>41.91</x:v>
      </x:c>
      <x:c r="C530" s="898" t="n">
        <x:v>41.98</x:v>
      </x:c>
      <x:c r="D530" s="898" t="n">
        <x:v>41.3</x:v>
      </x:c>
      <x:c r="E530" s="898" t="n">
        <x:v>41.98</x:v>
      </x:c>
      <x:c r="F530" s="901" t="n">
        <x:v>499945</x:v>
      </x:c>
      <x:c r="G530" s="904" t="n">
        <x:v>1189.43</x:v>
      </x:c>
      <x:c r="H530" s="904" t="n">
        <x:v>1202.02</x:v>
      </x:c>
      <x:c r="I530" s="904" t="n">
        <x:v>1189.43</x:v>
      </x:c>
      <x:c r="J530" s="904" t="n">
        <x:v>1201.72</x:v>
      </x:c>
      <x:c r="K530" s="901" t="n">
        <x:v>713247349</x:v>
      </x:c>
      <x:c r="L530" s="907" t="str">
        <x:v>SRC-P404</x:v>
      </x:c>
      <x:c r="M530" s="907" t="str">
        <x:v>VNStock API actual</x:v>
      </x:c>
      <x:c r="N530" s="1032" t="n">
        <x:v>46229.241747685184</x:v>
      </x:c>
    </x:row>
    <x:row r="531">
      <x:c r="A531" s="895" t="n">
        <x:v>45167</x:v>
      </x:c>
      <x:c r="B531" s="898" t="n">
        <x:v>42.36</x:v>
      </x:c>
      <x:c r="C531" s="898" t="n">
        <x:v>42.74</x:v>
      </x:c>
      <x:c r="D531" s="898" t="n">
        <x:v>42.21</x:v>
      </x:c>
      <x:c r="E531" s="898" t="n">
        <x:v>42.74</x:v>
      </x:c>
      <x:c r="F531" s="901" t="n">
        <x:v>865566</x:v>
      </x:c>
      <x:c r="G531" s="904" t="n">
        <x:v>1204.75</x:v>
      </x:c>
      <x:c r="H531" s="904" t="n">
        <x:v>1208.78</x:v>
      </x:c>
      <x:c r="I531" s="904" t="n">
        <x:v>1197.57</x:v>
      </x:c>
      <x:c r="J531" s="904" t="n">
        <x:v>1204.43</x:v>
      </x:c>
      <x:c r="K531" s="901" t="n">
        <x:v>848040448</x:v>
      </x:c>
      <x:c r="L531" s="907" t="str">
        <x:v>SRC-P404</x:v>
      </x:c>
      <x:c r="M531" s="907" t="str">
        <x:v>VNStock API actual</x:v>
      </x:c>
      <x:c r="N531" s="1032" t="n">
        <x:v>46229.241747685184</x:v>
      </x:c>
    </x:row>
    <x:row r="532">
      <x:c r="A532" s="895" t="n">
        <x:v>45168</x:v>
      </x:c>
      <x:c r="B532" s="898" t="n">
        <x:v>43.04</x:v>
      </x:c>
      <x:c r="C532" s="898" t="n">
        <x:v>44.4</x:v>
      </x:c>
      <x:c r="D532" s="898" t="n">
        <x:v>42.74</x:v>
      </x:c>
      <x:c r="E532" s="898" t="n">
        <x:v>44.4</x:v>
      </x:c>
      <x:c r="F532" s="901" t="n">
        <x:v>2028080</x:v>
      </x:c>
      <x:c r="G532" s="904" t="n">
        <x:v>1206.1</x:v>
      </x:c>
      <x:c r="H532" s="904" t="n">
        <x:v>1213.52</x:v>
      </x:c>
      <x:c r="I532" s="904" t="n">
        <x:v>1203.51</x:v>
      </x:c>
      <x:c r="J532" s="904" t="n">
        <x:v>1213.16</x:v>
      </x:c>
      <x:c r="K532" s="901" t="n">
        <x:v>799265566</x:v>
      </x:c>
      <x:c r="L532" s="907" t="str">
        <x:v>SRC-P404</x:v>
      </x:c>
      <x:c r="M532" s="907" t="str">
        <x:v>VNStock API actual</x:v>
      </x:c>
      <x:c r="N532" s="1032" t="n">
        <x:v>46229.241747685184</x:v>
      </x:c>
    </x:row>
    <x:row r="533">
      <x:c r="A533" s="895" t="n">
        <x:v>45169</x:v>
      </x:c>
      <x:c r="B533" s="898" t="n">
        <x:v>44.86</x:v>
      </x:c>
      <x:c r="C533" s="898" t="n">
        <x:v>47.5</x:v>
      </x:c>
      <x:c r="D533" s="898" t="n">
        <x:v>44.63</x:v>
      </x:c>
      <x:c r="E533" s="898" t="n">
        <x:v>47.43</x:v>
      </x:c>
      <x:c r="F533" s="901" t="n">
        <x:v>6000398</x:v>
      </x:c>
      <x:c r="G533" s="904" t="n">
        <x:v>1216</x:v>
      </x:c>
      <x:c r="H533" s="904" t="n">
        <x:v>1224.84</x:v>
      </x:c>
      <x:c r="I533" s="904" t="n">
        <x:v>1214.39</x:v>
      </x:c>
      <x:c r="J533" s="904" t="n">
        <x:v>1224.05</x:v>
      </x:c>
      <x:c r="K533" s="901" t="n">
        <x:v>852855777</x:v>
      </x:c>
      <x:c r="L533" s="907" t="str">
        <x:v>SRC-P404</x:v>
      </x:c>
      <x:c r="M533" s="907" t="str">
        <x:v>VNStock API actual</x:v>
      </x:c>
      <x:c r="N533" s="1032" t="n">
        <x:v>46229.241747685184</x:v>
      </x:c>
    </x:row>
    <x:row r="534">
      <x:c r="A534" s="895" t="n">
        <x:v>45174</x:v>
      </x:c>
      <x:c r="B534" s="898" t="n">
        <x:v>47.43</x:v>
      </x:c>
      <x:c r="C534" s="898" t="n">
        <x:v>48.79</x:v>
      </x:c>
      <x:c r="D534" s="898" t="n">
        <x:v>46.82</x:v>
      </x:c>
      <x:c r="E534" s="898" t="n">
        <x:v>48.11</x:v>
      </x:c>
      <x:c r="F534" s="901" t="n">
        <x:v>2708200</x:v>
      </x:c>
      <x:c r="G534" s="904" t="n">
        <x:v>1231.43</x:v>
      </x:c>
      <x:c r="H534" s="904" t="n">
        <x:v>1236.21</x:v>
      </x:c>
      <x:c r="I534" s="904" t="n">
        <x:v>1228.7</x:v>
      </x:c>
      <x:c r="J534" s="904" t="n">
        <x:v>1234.98</x:v>
      </x:c>
      <x:c r="K534" s="901" t="n">
        <x:v>926699196</x:v>
      </x:c>
      <x:c r="L534" s="907" t="str">
        <x:v>SRC-P404</x:v>
      </x:c>
      <x:c r="M534" s="907" t="str">
        <x:v>VNStock API actual</x:v>
      </x:c>
      <x:c r="N534" s="1032" t="n">
        <x:v>46229.241747685184</x:v>
      </x:c>
    </x:row>
    <x:row r="535">
      <x:c r="A535" s="895" t="n">
        <x:v>45175</x:v>
      </x:c>
      <x:c r="B535" s="898" t="n">
        <x:v>48.41</x:v>
      </x:c>
      <x:c r="C535" s="898" t="n">
        <x:v>48.71</x:v>
      </x:c>
      <x:c r="D535" s="898" t="n">
        <x:v>47.65</x:v>
      </x:c>
      <x:c r="E535" s="898" t="n">
        <x:v>48.41</x:v>
      </x:c>
      <x:c r="F535" s="901" t="n">
        <x:v>1221981</x:v>
      </x:c>
      <x:c r="G535" s="904" t="n">
        <x:v>1237.07</x:v>
      </x:c>
      <x:c r="H535" s="904" t="n">
        <x:v>1245.5</x:v>
      </x:c>
      <x:c r="I535" s="904" t="n">
        <x:v>1229.89</x:v>
      </x:c>
      <x:c r="J535" s="904" t="n">
        <x:v>1245.5</x:v>
      </x:c>
      <x:c r="K535" s="901" t="n">
        <x:v>1009683101</x:v>
      </x:c>
      <x:c r="L535" s="907" t="str">
        <x:v>SRC-P404</x:v>
      </x:c>
      <x:c r="M535" s="907" t="str">
        <x:v>VNStock API actual</x:v>
      </x:c>
      <x:c r="N535" s="1032" t="n">
        <x:v>46229.241747685184</x:v>
      </x:c>
    </x:row>
    <x:row r="536">
      <x:c r="A536" s="895" t="n">
        <x:v>45176</x:v>
      </x:c>
      <x:c r="B536" s="898" t="n">
        <x:v>48.41</x:v>
      </x:c>
      <x:c r="C536" s="898" t="n">
        <x:v>49.17</x:v>
      </x:c>
      <x:c r="D536" s="898" t="n">
        <x:v>48.18</x:v>
      </x:c>
      <x:c r="E536" s="898" t="n">
        <x:v>48.33</x:v>
      </x:c>
      <x:c r="F536" s="901" t="n">
        <x:v>1729108</x:v>
      </x:c>
      <x:c r="G536" s="904" t="n">
        <x:v>1248.91</x:v>
      </x:c>
      <x:c r="H536" s="904" t="n">
        <x:v>1255.11</x:v>
      </x:c>
      <x:c r="I536" s="904" t="n">
        <x:v>1240.82</x:v>
      </x:c>
      <x:c r="J536" s="904" t="n">
        <x:v>1243.14</x:v>
      </x:c>
      <x:c r="K536" s="901" t="n">
        <x:v>1034363991</x:v>
      </x:c>
      <x:c r="L536" s="907" t="str">
        <x:v>SRC-P404</x:v>
      </x:c>
      <x:c r="M536" s="907" t="str">
        <x:v>VNStock API actual</x:v>
      </x:c>
      <x:c r="N536" s="1032" t="n">
        <x:v>46229.241747685184</x:v>
      </x:c>
    </x:row>
    <x:row r="537">
      <x:c r="A537" s="895" t="n">
        <x:v>45177</x:v>
      </x:c>
      <x:c r="B537" s="898" t="n">
        <x:v>48.33</x:v>
      </x:c>
      <x:c r="C537" s="898" t="n">
        <x:v>50.68</x:v>
      </x:c>
      <x:c r="D537" s="898" t="n">
        <x:v>47.65</x:v>
      </x:c>
      <x:c r="E537" s="898" t="n">
        <x:v>49.02</x:v>
      </x:c>
      <x:c r="F537" s="901" t="n">
        <x:v>2435099</x:v>
      </x:c>
      <x:c r="G537" s="904" t="n">
        <x:v>1242.28</x:v>
      </x:c>
      <x:c r="H537" s="904" t="n">
        <x:v>1248.1</x:v>
      </x:c>
      <x:c r="I537" s="904" t="n">
        <x:v>1240.15</x:v>
      </x:c>
      <x:c r="J537" s="904" t="n">
        <x:v>1241.48</x:v>
      </x:c>
      <x:c r="K537" s="901" t="n">
        <x:v>920806719</x:v>
      </x:c>
      <x:c r="L537" s="907" t="str">
        <x:v>SRC-P404</x:v>
      </x:c>
      <x:c r="M537" s="907" t="str">
        <x:v>VNStock API actual</x:v>
      </x:c>
      <x:c r="N537" s="1032" t="n">
        <x:v>46229.241747685184</x:v>
      </x:c>
    </x:row>
    <x:row r="538">
      <x:c r="A538" s="895" t="n">
        <x:v>45180</x:v>
      </x:c>
      <x:c r="B538" s="898" t="n">
        <x:v>50.07</x:v>
      </x:c>
      <x:c r="C538" s="898" t="n">
        <x:v>50.07</x:v>
      </x:c>
      <x:c r="D538" s="898" t="n">
        <x:v>47.65</x:v>
      </x:c>
      <x:c r="E538" s="898" t="n">
        <x:v>47.81</x:v>
      </x:c>
      <x:c r="F538" s="901" t="n">
        <x:v>1704689</x:v>
      </x:c>
      <x:c r="G538" s="904" t="n">
        <x:v>1250.48</x:v>
      </x:c>
      <x:c r="H538" s="904" t="n">
        <x:v>1251.37</x:v>
      </x:c>
      <x:c r="I538" s="904" t="n">
        <x:v>1223.33</x:v>
      </x:c>
      <x:c r="J538" s="904" t="n">
        <x:v>1223.63</x:v>
      </x:c>
      <x:c r="K538" s="901" t="n">
        <x:v>1242292544</x:v>
      </x:c>
      <x:c r="L538" s="907" t="str">
        <x:v>SRC-P404</x:v>
      </x:c>
      <x:c r="M538" s="907" t="str">
        <x:v>VNStock API actual</x:v>
      </x:c>
      <x:c r="N538" s="1032" t="n">
        <x:v>46229.241747685184</x:v>
      </x:c>
    </x:row>
    <x:row r="539">
      <x:c r="A539" s="895" t="n">
        <x:v>45181</x:v>
      </x:c>
      <x:c r="B539" s="898" t="n">
        <x:v>48.26</x:v>
      </x:c>
      <x:c r="C539" s="898" t="n">
        <x:v>48.86</x:v>
      </x:c>
      <x:c r="D539" s="898" t="n">
        <x:v>47.65</x:v>
      </x:c>
      <x:c r="E539" s="898" t="n">
        <x:v>48.86</x:v>
      </x:c>
      <x:c r="F539" s="901" t="n">
        <x:v>1410489</x:v>
      </x:c>
      <x:c r="G539" s="904" t="n">
        <x:v>1227.16</x:v>
      </x:c>
      <x:c r="H539" s="904" t="n">
        <x:v>1245.44</x:v>
      </x:c>
      <x:c r="I539" s="904" t="n">
        <x:v>1220.85</x:v>
      </x:c>
      <x:c r="J539" s="904" t="n">
        <x:v>1245.44</x:v>
      </x:c>
      <x:c r="K539" s="901" t="n">
        <x:v>832491088</x:v>
      </x:c>
      <x:c r="L539" s="907" t="str">
        <x:v>SRC-P404</x:v>
      </x:c>
      <x:c r="M539" s="907" t="str">
        <x:v>VNStock API actual</x:v>
      </x:c>
      <x:c r="N539" s="1032" t="n">
        <x:v>46229.241747685184</x:v>
      </x:c>
    </x:row>
    <x:row r="540">
      <x:c r="A540" s="895" t="n">
        <x:v>45182</x:v>
      </x:c>
      <x:c r="B540" s="898" t="n">
        <x:v>49.92</x:v>
      </x:c>
      <x:c r="C540" s="898" t="n">
        <x:v>50.6</x:v>
      </x:c>
      <x:c r="D540" s="898" t="n">
        <x:v>47.65</x:v>
      </x:c>
      <x:c r="E540" s="898" t="n">
        <x:v>49.62</x:v>
      </x:c>
      <x:c r="F540" s="901" t="n">
        <x:v>1897661</x:v>
      </x:c>
      <x:c r="G540" s="904" t="n">
        <x:v>1248.94</x:v>
      </x:c>
      <x:c r="H540" s="904" t="n">
        <x:v>1250.61</x:v>
      </x:c>
      <x:c r="I540" s="904" t="n">
        <x:v>1232.84</x:v>
      </x:c>
      <x:c r="J540" s="904" t="n">
        <x:v>1238.39</x:v>
      </x:c>
      <x:c r="K540" s="901" t="n">
        <x:v>1126481442</x:v>
      </x:c>
      <x:c r="L540" s="907" t="str">
        <x:v>SRC-P404</x:v>
      </x:c>
      <x:c r="M540" s="907" t="str">
        <x:v>VNStock API actual</x:v>
      </x:c>
      <x:c r="N540" s="1032" t="n">
        <x:v>46229.241747685184</x:v>
      </x:c>
    </x:row>
    <x:row r="541">
      <x:c r="A541" s="895" t="n">
        <x:v>45183</x:v>
      </x:c>
      <x:c r="B541" s="898" t="n">
        <x:v>50.3</x:v>
      </x:c>
      <x:c r="C541" s="898" t="n">
        <x:v>50.91</x:v>
      </x:c>
      <x:c r="D541" s="898" t="n">
        <x:v>48.26</x:v>
      </x:c>
      <x:c r="E541" s="898" t="n">
        <x:v>48.56</x:v>
      </x:c>
      <x:c r="F541" s="901" t="n">
        <x:v>1916795</x:v>
      </x:c>
      <x:c r="G541" s="904" t="n">
        <x:v>1238.19</x:v>
      </x:c>
      <x:c r="H541" s="904" t="n">
        <x:v>1244.21</x:v>
      </x:c>
      <x:c r="I541" s="904" t="n">
        <x:v>1223.03</x:v>
      </x:c>
      <x:c r="J541" s="904" t="n">
        <x:v>1223.81</x:v>
      </x:c>
      <x:c r="K541" s="901" t="n">
        <x:v>1110222861</x:v>
      </x:c>
      <x:c r="L541" s="907" t="str">
        <x:v>SRC-P404</x:v>
      </x:c>
      <x:c r="M541" s="907" t="str">
        <x:v>VNStock API actual</x:v>
      </x:c>
      <x:c r="N541" s="1032" t="n">
        <x:v>46229.241747685184</x:v>
      </x:c>
    </x:row>
    <x:row r="542">
      <x:c r="A542" s="895" t="n">
        <x:v>45184</x:v>
      </x:c>
      <x:c r="B542" s="898" t="n">
        <x:v>48.56</x:v>
      </x:c>
      <x:c r="C542" s="898" t="n">
        <x:v>49.09</x:v>
      </x:c>
      <x:c r="D542" s="898" t="n">
        <x:v>47.81</x:v>
      </x:c>
      <x:c r="E542" s="898" t="n">
        <x:v>48.41</x:v>
      </x:c>
      <x:c r="F542" s="901" t="n">
        <x:v>1472020</x:v>
      </x:c>
      <x:c r="G542" s="904" t="n">
        <x:v>1228.87</x:v>
      </x:c>
      <x:c r="H542" s="904" t="n">
        <x:v>1233.87</x:v>
      </x:c>
      <x:c r="I542" s="904" t="n">
        <x:v>1220.27</x:v>
      </x:c>
      <x:c r="J542" s="904" t="n">
        <x:v>1227.36</x:v>
      </x:c>
      <x:c r="K542" s="901" t="n">
        <x:v>822519558</x:v>
      </x:c>
      <x:c r="L542" s="907" t="str">
        <x:v>SRC-P404</x:v>
      </x:c>
      <x:c r="M542" s="907" t="str">
        <x:v>VNStock API actual</x:v>
      </x:c>
      <x:c r="N542" s="1032" t="n">
        <x:v>46229.241747685184</x:v>
      </x:c>
    </x:row>
    <x:row r="543">
      <x:c r="A543" s="895" t="n">
        <x:v>45187</x:v>
      </x:c>
      <x:c r="B543" s="898" t="n">
        <x:v>48.49</x:v>
      </x:c>
      <x:c r="C543" s="898" t="n">
        <x:v>49.17</x:v>
      </x:c>
      <x:c r="D543" s="898" t="n">
        <x:v>47.81</x:v>
      </x:c>
      <x:c r="E543" s="898" t="n">
        <x:v>47.81</x:v>
      </x:c>
      <x:c r="F543" s="901" t="n">
        <x:v>1380099</x:v>
      </x:c>
      <x:c r="G543" s="904" t="n">
        <x:v>1225.6</x:v>
      </x:c>
      <x:c r="H543" s="904" t="n">
        <x:v>1226.56</x:v>
      </x:c>
      <x:c r="I543" s="904" t="n">
        <x:v>1203.88</x:v>
      </x:c>
      <x:c r="J543" s="904" t="n">
        <x:v>1211.81</x:v>
      </x:c>
      <x:c r="K543" s="901" t="n">
        <x:v>716585507</x:v>
      </x:c>
      <x:c r="L543" s="907" t="str">
        <x:v>SRC-P404</x:v>
      </x:c>
      <x:c r="M543" s="907" t="str">
        <x:v>VNStock API actual</x:v>
      </x:c>
      <x:c r="N543" s="1032" t="n">
        <x:v>46229.241747685184</x:v>
      </x:c>
    </x:row>
    <x:row r="544">
      <x:c r="A544" s="895" t="n">
        <x:v>45188</x:v>
      </x:c>
      <x:c r="B544" s="898" t="n">
        <x:v>49.47</x:v>
      </x:c>
      <x:c r="C544" s="898" t="n">
        <x:v>49.85</x:v>
      </x:c>
      <x:c r="D544" s="898" t="n">
        <x:v>48.26</x:v>
      </x:c>
      <x:c r="E544" s="898" t="n">
        <x:v>48.64</x:v>
      </x:c>
      <x:c r="F544" s="901" t="n">
        <x:v>2704432</x:v>
      </x:c>
      <x:c r="G544" s="904" t="n">
        <x:v>1215.96</x:v>
      </x:c>
      <x:c r="H544" s="904" t="n">
        <x:v>1219.57</x:v>
      </x:c>
      <x:c r="I544" s="904" t="n">
        <x:v>1199.85</x:v>
      </x:c>
      <x:c r="J544" s="904" t="n">
        <x:v>1211.5</x:v>
      </x:c>
      <x:c r="K544" s="901" t="n">
        <x:v>831441539</x:v>
      </x:c>
      <x:c r="L544" s="907" t="str">
        <x:v>SRC-P404</x:v>
      </x:c>
      <x:c r="M544" s="907" t="str">
        <x:v>VNStock API actual</x:v>
      </x:c>
      <x:c r="N544" s="1032" t="n">
        <x:v>46229.241747685184</x:v>
      </x:c>
    </x:row>
    <x:row r="545">
      <x:c r="A545" s="895" t="n">
        <x:v>45189</x:v>
      </x:c>
      <x:c r="B545" s="898" t="n">
        <x:v>49.47</x:v>
      </x:c>
      <x:c r="C545" s="898" t="n">
        <x:v>50.68</x:v>
      </x:c>
      <x:c r="D545" s="898" t="n">
        <x:v>49.17</x:v>
      </x:c>
      <x:c r="E545" s="898" t="n">
        <x:v>50</x:v>
      </x:c>
      <x:c r="F545" s="901" t="n">
        <x:v>1785214</x:v>
      </x:c>
      <x:c r="G545" s="904" t="n">
        <x:v>1212.7</x:v>
      </x:c>
      <x:c r="H545" s="904" t="n">
        <x:v>1226.11</x:v>
      </x:c>
      <x:c r="I545" s="904" t="n">
        <x:v>1209.46</x:v>
      </x:c>
      <x:c r="J545" s="904" t="n">
        <x:v>1226.11</x:v>
      </x:c>
      <x:c r="K545" s="901" t="n">
        <x:v>722191241</x:v>
      </x:c>
      <x:c r="L545" s="907" t="str">
        <x:v>SRC-P404</x:v>
      </x:c>
      <x:c r="M545" s="907" t="str">
        <x:v>VNStock API actual</x:v>
      </x:c>
      <x:c r="N545" s="1032" t="n">
        <x:v>46229.241747685184</x:v>
      </x:c>
    </x:row>
    <x:row r="546">
      <x:c r="A546" s="895" t="n">
        <x:v>45190</x:v>
      </x:c>
      <x:c r="B546" s="898" t="n">
        <x:v>50.16</x:v>
      </x:c>
      <x:c r="C546" s="898" t="n">
        <x:v>50.78</x:v>
      </x:c>
      <x:c r="D546" s="898" t="n">
        <x:v>49.69</x:v>
      </x:c>
      <x:c r="E546" s="898" t="n">
        <x:v>50.7</x:v>
      </x:c>
      <x:c r="F546" s="901" t="n">
        <x:v>1509306</x:v>
      </x:c>
      <x:c r="G546" s="904" t="n">
        <x:v>1226.79</x:v>
      </x:c>
      <x:c r="H546" s="904" t="n">
        <x:v>1227.88</x:v>
      </x:c>
      <x:c r="I546" s="904" t="n">
        <x:v>1211.65</x:v>
      </x:c>
      <x:c r="J546" s="904" t="n">
        <x:v>1212.74</x:v>
      </x:c>
      <x:c r="K546" s="901" t="n">
        <x:v>863512780</x:v>
      </x:c>
      <x:c r="L546" s="907" t="str">
        <x:v>SRC-P404</x:v>
      </x:c>
      <x:c r="M546" s="907" t="str">
        <x:v>VNStock API actual</x:v>
      </x:c>
      <x:c r="N546" s="1032" t="n">
        <x:v>46229.241747685184</x:v>
      </x:c>
    </x:row>
    <x:row r="547">
      <x:c r="A547" s="895" t="n">
        <x:v>45191</x:v>
      </x:c>
      <x:c r="B547" s="898" t="n">
        <x:v>49.53</x:v>
      </x:c>
      <x:c r="C547" s="898" t="n">
        <x:v>50.23</x:v>
      </x:c>
      <x:c r="D547" s="898" t="n">
        <x:v>48.91</x:v>
      </x:c>
      <x:c r="E547" s="898" t="n">
        <x:v>49.92</x:v>
      </x:c>
      <x:c r="F547" s="901" t="n">
        <x:v>2135908</x:v>
      </x:c>
      <x:c r="G547" s="904" t="n">
        <x:v>1197.49</x:v>
      </x:c>
      <x:c r="H547" s="904" t="n">
        <x:v>1199.13</x:v>
      </x:c>
      <x:c r="I547" s="904" t="n">
        <x:v>1174.57</x:v>
      </x:c>
      <x:c r="J547" s="904" t="n">
        <x:v>1193.05</x:v>
      </x:c>
      <x:c r="K547" s="901" t="n">
        <x:v>1236490782</x:v>
      </x:c>
      <x:c r="L547" s="907" t="str">
        <x:v>SRC-P404</x:v>
      </x:c>
      <x:c r="M547" s="907" t="str">
        <x:v>VNStock API actual</x:v>
      </x:c>
      <x:c r="N547" s="1032" t="n">
        <x:v>46229.241747685184</x:v>
      </x:c>
    </x:row>
    <x:row r="548">
      <x:c r="A548" s="895" t="n">
        <x:v>45194</x:v>
      </x:c>
      <x:c r="B548" s="898" t="n">
        <x:v>49.14</x:v>
      </x:c>
      <x:c r="C548" s="898" t="n">
        <x:v>50.16</x:v>
      </x:c>
      <x:c r="D548" s="898" t="n">
        <x:v>46.88</x:v>
      </x:c>
      <x:c r="E548" s="898" t="n">
        <x:v>46.88</x:v>
      </x:c>
      <x:c r="F548" s="901" t="n">
        <x:v>1880902</x:v>
      </x:c>
      <x:c r="G548" s="904" t="n">
        <x:v>1190.58</x:v>
      </x:c>
      <x:c r="H548" s="904" t="n">
        <x:v>1195.62</x:v>
      </x:c>
      <x:c r="I548" s="904" t="n">
        <x:v>1153.2</x:v>
      </x:c>
      <x:c r="J548" s="904" t="n">
        <x:v>1153.2</x:v>
      </x:c>
      <x:c r="K548" s="901" t="n">
        <x:v>936520475</x:v>
      </x:c>
      <x:c r="L548" s="907" t="str">
        <x:v>SRC-P404</x:v>
      </x:c>
      <x:c r="M548" s="907" t="str">
        <x:v>VNStock API actual</x:v>
      </x:c>
      <x:c r="N548" s="1032" t="n">
        <x:v>46229.241747685184</x:v>
      </x:c>
    </x:row>
    <x:row r="549">
      <x:c r="A549" s="895" t="n">
        <x:v>45195</x:v>
      </x:c>
      <x:c r="B549" s="898" t="n">
        <x:v>46.57</x:v>
      </x:c>
      <x:c r="C549" s="898" t="n">
        <x:v>48.44</x:v>
      </x:c>
      <x:c r="D549" s="898" t="n">
        <x:v>46.57</x:v>
      </x:c>
      <x:c r="E549" s="898" t="n">
        <x:v>47.35</x:v>
      </x:c>
      <x:c r="F549" s="901" t="n">
        <x:v>1237142</x:v>
      </x:c>
      <x:c r="G549" s="904" t="n">
        <x:v>1150.94</x:v>
      </x:c>
      <x:c r="H549" s="904" t="n">
        <x:v>1163.52</x:v>
      </x:c>
      <x:c r="I549" s="904" t="n">
        <x:v>1137.96</x:v>
      </x:c>
      <x:c r="J549" s="904" t="n">
        <x:v>1137.96</x:v>
      </x:c>
      <x:c r="K549" s="901" t="n">
        <x:v>897032340</x:v>
      </x:c>
      <x:c r="L549" s="907" t="str">
        <x:v>SRC-P404</x:v>
      </x:c>
      <x:c r="M549" s="907" t="str">
        <x:v>VNStock API actual</x:v>
      </x:c>
      <x:c r="N549" s="1032" t="n">
        <x:v>46229.241747685184</x:v>
      </x:c>
    </x:row>
    <x:row r="550">
      <x:c r="A550" s="895" t="n">
        <x:v>45196</x:v>
      </x:c>
      <x:c r="B550" s="898" t="n">
        <x:v>47.66</x:v>
      </x:c>
      <x:c r="C550" s="898" t="n">
        <x:v>49.92</x:v>
      </x:c>
      <x:c r="D550" s="898" t="n">
        <x:v>47.11</x:v>
      </x:c>
      <x:c r="E550" s="898" t="n">
        <x:v>49.92</x:v>
      </x:c>
      <x:c r="F550" s="901" t="n">
        <x:v>1675444</x:v>
      </x:c>
      <x:c r="G550" s="904" t="n">
        <x:v>1139.76</x:v>
      </x:c>
      <x:c r="H550" s="904" t="n">
        <x:v>1153.85</x:v>
      </x:c>
      <x:c r="I550" s="904" t="n">
        <x:v>1126.36</x:v>
      </x:c>
      <x:c r="J550" s="904" t="n">
        <x:v>1153.85</x:v>
      </x:c>
      <x:c r="K550" s="901" t="n">
        <x:v>719877728</x:v>
      </x:c>
      <x:c r="L550" s="907" t="str">
        <x:v>SRC-P404</x:v>
      </x:c>
      <x:c r="M550" s="907" t="str">
        <x:v>VNStock API actual</x:v>
      </x:c>
      <x:c r="N550" s="1032" t="n">
        <x:v>46229.241747685184</x:v>
      </x:c>
    </x:row>
    <x:row r="551">
      <x:c r="A551" s="895" t="n">
        <x:v>45197</x:v>
      </x:c>
      <x:c r="B551" s="898" t="n">
        <x:v>50.08</x:v>
      </x:c>
      <x:c r="C551" s="898" t="n">
        <x:v>53.04</x:v>
      </x:c>
      <x:c r="D551" s="898" t="n">
        <x:v>49.53</x:v>
      </x:c>
      <x:c r="E551" s="898" t="n">
        <x:v>51.33</x:v>
      </x:c>
      <x:c r="F551" s="901" t="n">
        <x:v>3328037</x:v>
      </x:c>
      <x:c r="G551" s="904" t="n">
        <x:v>1153.74</x:v>
      </x:c>
      <x:c r="H551" s="904" t="n">
        <x:v>1155.39</x:v>
      </x:c>
      <x:c r="I551" s="904" t="n">
        <x:v>1136.99</x:v>
      </x:c>
      <x:c r="J551" s="904" t="n">
        <x:v>1152.43</x:v>
      </x:c>
      <x:c r="K551" s="901" t="n">
        <x:v>603271137</x:v>
      </x:c>
      <x:c r="L551" s="907" t="str">
        <x:v>SRC-P404</x:v>
      </x:c>
      <x:c r="M551" s="907" t="str">
        <x:v>VNStock API actual</x:v>
      </x:c>
      <x:c r="N551" s="1032" t="n">
        <x:v>46229.241747685184</x:v>
      </x:c>
    </x:row>
    <x:row r="552">
      <x:c r="A552" s="895" t="n">
        <x:v>45198</x:v>
      </x:c>
      <x:c r="B552" s="898" t="n">
        <x:v>51.72</x:v>
      </x:c>
      <x:c r="C552" s="898" t="n">
        <x:v>52.42</x:v>
      </x:c>
      <x:c r="D552" s="898" t="n">
        <x:v>50.39</x:v>
      </x:c>
      <x:c r="E552" s="898" t="n">
        <x:v>51.72</x:v>
      </x:c>
      <x:c r="F552" s="901" t="n">
        <x:v>1407226</x:v>
      </x:c>
      <x:c r="G552" s="904" t="n">
        <x:v>1157.76</x:v>
      </x:c>
      <x:c r="H552" s="904" t="n">
        <x:v>1163.88</x:v>
      </x:c>
      <x:c r="I552" s="904" t="n">
        <x:v>1152.45</x:v>
      </x:c>
      <x:c r="J552" s="904" t="n">
        <x:v>1154.15</x:v>
      </x:c>
      <x:c r="K552" s="901" t="n">
        <x:v>490698501</x:v>
      </x:c>
      <x:c r="L552" s="907" t="str">
        <x:v>SRC-P404</x:v>
      </x:c>
      <x:c r="M552" s="907" t="str">
        <x:v>VNStock API actual</x:v>
      </x:c>
      <x:c r="N552" s="1032" t="n">
        <x:v>46229.241747685184</x:v>
      </x:c>
    </x:row>
    <x:row r="553">
      <x:c r="A553" s="895" t="n">
        <x:v>45201</x:v>
      </x:c>
      <x:c r="B553" s="898" t="n">
        <x:v>51.72</x:v>
      </x:c>
      <x:c r="C553" s="898" t="n">
        <x:v>53.04</x:v>
      </x:c>
      <x:c r="D553" s="898" t="n">
        <x:v>50.78</x:v>
      </x:c>
      <x:c r="E553" s="898" t="n">
        <x:v>50.94</x:v>
      </x:c>
      <x:c r="F553" s="901" t="n">
        <x:v>1395849</x:v>
      </x:c>
      <x:c r="G553" s="904" t="n">
        <x:v>1155.07</x:v>
      </x:c>
      <x:c r="H553" s="904" t="n">
        <x:v>1161.48</x:v>
      </x:c>
      <x:c r="I553" s="904" t="n">
        <x:v>1149.63</x:v>
      </x:c>
      <x:c r="J553" s="904" t="n">
        <x:v>1155.25</x:v>
      </x:c>
      <x:c r="K553" s="901" t="n">
        <x:v>432841811</x:v>
      </x:c>
      <x:c r="L553" s="907" t="str">
        <x:v>SRC-P404</x:v>
      </x:c>
      <x:c r="M553" s="907" t="str">
        <x:v>VNStock API actual</x:v>
      </x:c>
      <x:c r="N553" s="1032" t="n">
        <x:v>46229.241747685184</x:v>
      </x:c>
    </x:row>
    <x:row r="554">
      <x:c r="A554" s="895" t="n">
        <x:v>45202</x:v>
      </x:c>
      <x:c r="B554" s="898" t="n">
        <x:v>50.62</x:v>
      </x:c>
      <x:c r="C554" s="898" t="n">
        <x:v>50.62</x:v>
      </x:c>
      <x:c r="D554" s="898" t="n">
        <x:v>48.36</x:v>
      </x:c>
      <x:c r="E554" s="898" t="n">
        <x:v>48.75</x:v>
      </x:c>
      <x:c r="F554" s="901" t="n">
        <x:v>2320697</x:v>
      </x:c>
      <x:c r="G554" s="904" t="n">
        <x:v>1145.85</x:v>
      </x:c>
      <x:c r="H554" s="904" t="n">
        <x:v>1146.59</x:v>
      </x:c>
      <x:c r="I554" s="904" t="n">
        <x:v>1117.28</x:v>
      </x:c>
      <x:c r="J554" s="904" t="n">
        <x:v>1118.1</x:v>
      </x:c>
      <x:c r="K554" s="901" t="n">
        <x:v>879751841</x:v>
      </x:c>
      <x:c r="L554" s="907" t="str">
        <x:v>SRC-P404</x:v>
      </x:c>
      <x:c r="M554" s="907" t="str">
        <x:v>VNStock API actual</x:v>
      </x:c>
      <x:c r="N554" s="1032" t="n">
        <x:v>46229.241747685184</x:v>
      </x:c>
    </x:row>
    <x:row r="555">
      <x:c r="A555" s="895" t="n">
        <x:v>45203</x:v>
      </x:c>
      <x:c r="B555" s="898" t="n">
        <x:v>47.66</x:v>
      </x:c>
      <x:c r="C555" s="898" t="n">
        <x:v>51.56</x:v>
      </x:c>
      <x:c r="D555" s="898" t="n">
        <x:v>47.66</x:v>
      </x:c>
      <x:c r="E555" s="898" t="n">
        <x:v>50</x:v>
      </x:c>
      <x:c r="F555" s="901" t="n">
        <x:v>1956958</x:v>
      </x:c>
      <x:c r="G555" s="904" t="n">
        <x:v>1106.61</x:v>
      </x:c>
      <x:c r="H555" s="904" t="n">
        <x:v>1133.79</x:v>
      </x:c>
      <x:c r="I555" s="904" t="n">
        <x:v>1106.4</x:v>
      </x:c>
      <x:c r="J555" s="904" t="n">
        <x:v>1128.67</x:v>
      </x:c>
      <x:c r="K555" s="901" t="n">
        <x:v>609105878</x:v>
      </x:c>
      <x:c r="L555" s="907" t="str">
        <x:v>SRC-P404</x:v>
      </x:c>
      <x:c r="M555" s="907" t="str">
        <x:v>VNStock API actual</x:v>
      </x:c>
      <x:c r="N555" s="1032" t="n">
        <x:v>46229.241747685184</x:v>
      </x:c>
    </x:row>
    <x:row r="556">
      <x:c r="A556" s="895" t="n">
        <x:v>45204</x:v>
      </x:c>
      <x:c r="B556" s="898" t="n">
        <x:v>50.94</x:v>
      </x:c>
      <x:c r="C556" s="898" t="n">
        <x:v>51.4</x:v>
      </x:c>
      <x:c r="D556" s="898" t="n">
        <x:v>49.69</x:v>
      </x:c>
      <x:c r="E556" s="898" t="n">
        <x:v>50.16</x:v>
      </x:c>
      <x:c r="F556" s="901" t="n">
        <x:v>1235204</x:v>
      </x:c>
      <x:c r="G556" s="904" t="n">
        <x:v>1131.29</x:v>
      </x:c>
      <x:c r="H556" s="904" t="n">
        <x:v>1133.12</x:v>
      </x:c>
      <x:c r="I556" s="904" t="n">
        <x:v>1113.89</x:v>
      </x:c>
      <x:c r="J556" s="904" t="n">
        <x:v>1113.89</x:v>
      </x:c>
      <x:c r="K556" s="901" t="n">
        <x:v>512428619</x:v>
      </x:c>
      <x:c r="L556" s="907" t="str">
        <x:v>SRC-P404</x:v>
      </x:c>
      <x:c r="M556" s="907" t="str">
        <x:v>VNStock API actual</x:v>
      </x:c>
      <x:c r="N556" s="1032" t="n">
        <x:v>46229.241747685184</x:v>
      </x:c>
    </x:row>
    <x:row r="557">
      <x:c r="A557" s="895" t="n">
        <x:v>45205</x:v>
      </x:c>
      <x:c r="B557" s="898" t="n">
        <x:v>49.69</x:v>
      </x:c>
      <x:c r="C557" s="898" t="n">
        <x:v>51.4</x:v>
      </x:c>
      <x:c r="D557" s="898" t="n">
        <x:v>49.38</x:v>
      </x:c>
      <x:c r="E557" s="898" t="n">
        <x:v>50.7</x:v>
      </x:c>
      <x:c r="F557" s="901" t="n">
        <x:v>882856</x:v>
      </x:c>
      <x:c r="G557" s="904" t="n">
        <x:v>1115.23</x:v>
      </x:c>
      <x:c r="H557" s="904" t="n">
        <x:v>1129.13</x:v>
      </x:c>
      <x:c r="I557" s="904" t="n">
        <x:v>1107.4</x:v>
      </x:c>
      <x:c r="J557" s="904" t="n">
        <x:v>1128.54</x:v>
      </x:c>
      <x:c r="K557" s="901" t="n">
        <x:v>539729169</x:v>
      </x:c>
      <x:c r="L557" s="907" t="str">
        <x:v>SRC-P404</x:v>
      </x:c>
      <x:c r="M557" s="907" t="str">
        <x:v>VNStock API actual</x:v>
      </x:c>
      <x:c r="N557" s="1032" t="n">
        <x:v>46229.241747685184</x:v>
      </x:c>
    </x:row>
    <x:row r="558">
      <x:c r="A558" s="895" t="n">
        <x:v>45208</x:v>
      </x:c>
      <x:c r="B558" s="898" t="n">
        <x:v>50.7</x:v>
      </x:c>
      <x:c r="C558" s="898" t="n">
        <x:v>51.64</x:v>
      </x:c>
      <x:c r="D558" s="898" t="n">
        <x:v>50.7</x:v>
      </x:c>
      <x:c r="E558" s="898" t="n">
        <x:v>51.56</x:v>
      </x:c>
      <x:c r="F558" s="901" t="n">
        <x:v>1621151</x:v>
      </x:c>
      <x:c r="G558" s="904" t="n">
        <x:v>1130.25</x:v>
      </x:c>
      <x:c r="H558" s="904" t="n">
        <x:v>1137.36</x:v>
      </x:c>
      <x:c r="I558" s="904" t="n">
        <x:v>1127.03</x:v>
      </x:c>
      <x:c r="J558" s="904" t="n">
        <x:v>1137.36</x:v>
      </x:c>
      <x:c r="K558" s="901" t="n">
        <x:v>512236036</x:v>
      </x:c>
      <x:c r="L558" s="907" t="str">
        <x:v>SRC-P404</x:v>
      </x:c>
      <x:c r="M558" s="907" t="str">
        <x:v>VNStock API actual</x:v>
      </x:c>
      <x:c r="N558" s="1032" t="n">
        <x:v>46229.241747685184</x:v>
      </x:c>
    </x:row>
    <x:row r="559">
      <x:c r="A559" s="895" t="n">
        <x:v>45209</x:v>
      </x:c>
      <x:c r="B559" s="898" t="n">
        <x:v>52.18</x:v>
      </x:c>
      <x:c r="C559" s="898" t="n">
        <x:v>52.96</x:v>
      </x:c>
      <x:c r="D559" s="898" t="n">
        <x:v>51.64</x:v>
      </x:c>
      <x:c r="E559" s="898" t="n">
        <x:v>51.64</x:v>
      </x:c>
      <x:c r="F559" s="901" t="n">
        <x:v>1696345</x:v>
      </x:c>
      <x:c r="G559" s="904" t="n">
        <x:v>1143.6</x:v>
      </x:c>
      <x:c r="H559" s="904" t="n">
        <x:v>1150.34</x:v>
      </x:c>
      <x:c r="I559" s="904" t="n">
        <x:v>1141.97</x:v>
      </x:c>
      <x:c r="J559" s="904" t="n">
        <x:v>1143.69</x:v>
      </x:c>
      <x:c r="K559" s="901" t="n">
        <x:v>593794892</x:v>
      </x:c>
      <x:c r="L559" s="907" t="str">
        <x:v>SRC-P404</x:v>
      </x:c>
      <x:c r="M559" s="907" t="str">
        <x:v>VNStock API actual</x:v>
      </x:c>
      <x:c r="N559" s="1032" t="n">
        <x:v>46229.241747685184</x:v>
      </x:c>
    </x:row>
    <x:row r="560">
      <x:c r="A560" s="895" t="n">
        <x:v>45210</x:v>
      </x:c>
      <x:c r="B560" s="898" t="n">
        <x:v>52.03</x:v>
      </x:c>
      <x:c r="C560" s="898" t="n">
        <x:v>52.03</x:v>
      </x:c>
      <x:c r="D560" s="898" t="n">
        <x:v>50</x:v>
      </x:c>
      <x:c r="E560" s="898" t="n">
        <x:v>51.72</x:v>
      </x:c>
      <x:c r="F560" s="901" t="n">
        <x:v>861291</x:v>
      </x:c>
      <x:c r="G560" s="904" t="n">
        <x:v>1146.2</x:v>
      </x:c>
      <x:c r="H560" s="904" t="n">
        <x:v>1150.81</x:v>
      </x:c>
      <x:c r="I560" s="904" t="n">
        <x:v>1138.22</x:v>
      </x:c>
      <x:c r="J560" s="904" t="n">
        <x:v>1150.81</x:v>
      </x:c>
      <x:c r="K560" s="901" t="n">
        <x:v>466190895</x:v>
      </x:c>
      <x:c r="L560" s="907" t="str">
        <x:v>SRC-P404</x:v>
      </x:c>
      <x:c r="M560" s="907" t="str">
        <x:v>VNStock API actual</x:v>
      </x:c>
      <x:c r="N560" s="1032" t="n">
        <x:v>46229.241747685184</x:v>
      </x:c>
    </x:row>
    <x:row r="561">
      <x:c r="A561" s="895" t="n">
        <x:v>45211</x:v>
      </x:c>
      <x:c r="B561" s="898" t="n">
        <x:v>51.79</x:v>
      </x:c>
      <x:c r="C561" s="898" t="n">
        <x:v>52.18</x:v>
      </x:c>
      <x:c r="D561" s="898" t="n">
        <x:v>50.94</x:v>
      </x:c>
      <x:c r="E561" s="898" t="n">
        <x:v>51.09</x:v>
      </x:c>
      <x:c r="F561" s="901" t="n">
        <x:v>1323603</x:v>
      </x:c>
      <x:c r="G561" s="904" t="n">
        <x:v>1155.12</x:v>
      </x:c>
      <x:c r="H561" s="904" t="n">
        <x:v>1156.73</x:v>
      </x:c>
      <x:c r="I561" s="904" t="n">
        <x:v>1148.11</x:v>
      </x:c>
      <x:c r="J561" s="904" t="n">
        <x:v>1151.61</x:v>
      </x:c>
      <x:c r="K561" s="901" t="n">
        <x:v>573657380</x:v>
      </x:c>
      <x:c r="L561" s="907" t="str">
        <x:v>SRC-P404</x:v>
      </x:c>
      <x:c r="M561" s="907" t="str">
        <x:v>VNStock API actual</x:v>
      </x:c>
      <x:c r="N561" s="1032" t="n">
        <x:v>46229.241747685184</x:v>
      </x:c>
    </x:row>
    <x:row r="562">
      <x:c r="A562" s="895" t="n">
        <x:v>45212</x:v>
      </x:c>
      <x:c r="B562" s="898" t="n">
        <x:v>50.55</x:v>
      </x:c>
      <x:c r="C562" s="898" t="n">
        <x:v>51.87</x:v>
      </x:c>
      <x:c r="D562" s="898" t="n">
        <x:v>50.47</x:v>
      </x:c>
      <x:c r="E562" s="898" t="n">
        <x:v>51.56</x:v>
      </x:c>
      <x:c r="F562" s="901" t="n">
        <x:v>1086622</x:v>
      </x:c>
      <x:c r="G562" s="904" t="n">
        <x:v>1145.03</x:v>
      </x:c>
      <x:c r="H562" s="904" t="n">
        <x:v>1155.1</x:v>
      </x:c>
      <x:c r="I562" s="904" t="n">
        <x:v>1138.99</x:v>
      </x:c>
      <x:c r="J562" s="904" t="n">
        <x:v>1154.73</x:v>
      </x:c>
      <x:c r="K562" s="901" t="n">
        <x:v>550270198</x:v>
      </x:c>
      <x:c r="L562" s="907" t="str">
        <x:v>SRC-P404</x:v>
      </x:c>
      <x:c r="M562" s="907" t="str">
        <x:v>VNStock API actual</x:v>
      </x:c>
      <x:c r="N562" s="1032" t="n">
        <x:v>46229.241747685184</x:v>
      </x:c>
    </x:row>
    <x:row r="563">
      <x:c r="A563" s="895" t="n">
        <x:v>45215</x:v>
      </x:c>
      <x:c r="B563" s="898" t="n">
        <x:v>51.64</x:v>
      </x:c>
      <x:c r="C563" s="898" t="n">
        <x:v>52.03</x:v>
      </x:c>
      <x:c r="D563" s="898" t="n">
        <x:v>51.01</x:v>
      </x:c>
      <x:c r="E563" s="898" t="n">
        <x:v>51.01</x:v>
      </x:c>
      <x:c r="F563" s="901" t="n">
        <x:v>1065394</x:v>
      </x:c>
      <x:c r="G563" s="904" t="n">
        <x:v>1152.69</x:v>
      </x:c>
      <x:c r="H563" s="904" t="n">
        <x:v>1157.46</x:v>
      </x:c>
      <x:c r="I563" s="904" t="n">
        <x:v>1140.64</x:v>
      </x:c>
      <x:c r="J563" s="904" t="n">
        <x:v>1141.42</x:v>
      </x:c>
      <x:c r="K563" s="901" t="n">
        <x:v>579368110</x:v>
      </x:c>
      <x:c r="L563" s="907" t="str">
        <x:v>SRC-P404</x:v>
      </x:c>
      <x:c r="M563" s="907" t="str">
        <x:v>VNStock API actual</x:v>
      </x:c>
      <x:c r="N563" s="1032" t="n">
        <x:v>46229.241747685184</x:v>
      </x:c>
    </x:row>
    <x:row r="564">
      <x:c r="A564" s="895" t="n">
        <x:v>45216</x:v>
      </x:c>
      <x:c r="B564" s="898" t="n">
        <x:v>51.56</x:v>
      </x:c>
      <x:c r="C564" s="898" t="n">
        <x:v>52.89</x:v>
      </x:c>
      <x:c r="D564" s="898" t="n">
        <x:v>50</x:v>
      </x:c>
      <x:c r="E564" s="898" t="n">
        <x:v>50</x:v>
      </x:c>
      <x:c r="F564" s="901" t="n">
        <x:v>1482842</x:v>
      </x:c>
      <x:c r="G564" s="904" t="n">
        <x:v>1145.34</x:v>
      </x:c>
      <x:c r="H564" s="904" t="n">
        <x:v>1147.89</x:v>
      </x:c>
      <x:c r="I564" s="904" t="n">
        <x:v>1121.65</x:v>
      </x:c>
      <x:c r="J564" s="904" t="n">
        <x:v>1121.65</x:v>
      </x:c>
      <x:c r="K564" s="901" t="n">
        <x:v>526675209</x:v>
      </x:c>
      <x:c r="L564" s="907" t="str">
        <x:v>SRC-P404</x:v>
      </x:c>
      <x:c r="M564" s="907" t="str">
        <x:v>VNStock API actual</x:v>
      </x:c>
      <x:c r="N564" s="1032" t="n">
        <x:v>46229.241747685184</x:v>
      </x:c>
    </x:row>
    <x:row r="565">
      <x:c r="A565" s="895" t="n">
        <x:v>45217</x:v>
      </x:c>
      <x:c r="B565" s="898" t="n">
        <x:v>50.78</x:v>
      </x:c>
      <x:c r="C565" s="898" t="n">
        <x:v>51.4</x:v>
      </x:c>
      <x:c r="D565" s="898" t="n">
        <x:v>49.14</x:v>
      </x:c>
      <x:c r="E565" s="898" t="n">
        <x:v>50.55</x:v>
      </x:c>
      <x:c r="F565" s="901" t="n">
        <x:v>2750737</x:v>
      </x:c>
      <x:c r="G565" s="904" t="n">
        <x:v>1123.73</x:v>
      </x:c>
      <x:c r="H565" s="904" t="n">
        <x:v>1125.27</x:v>
      </x:c>
      <x:c r="I565" s="904" t="n">
        <x:v>1088.87</x:v>
      </x:c>
      <x:c r="J565" s="904" t="n">
        <x:v>1103.4</x:v>
      </x:c>
      <x:c r="K565" s="901" t="n">
        <x:v>869615115</x:v>
      </x:c>
      <x:c r="L565" s="907" t="str">
        <x:v>SRC-P404</x:v>
      </x:c>
      <x:c r="M565" s="907" t="str">
        <x:v>VNStock API actual</x:v>
      </x:c>
      <x:c r="N565" s="1032" t="n">
        <x:v>46229.241747685184</x:v>
      </x:c>
    </x:row>
    <x:row r="566">
      <x:c r="A566" s="895" t="n">
        <x:v>45218</x:v>
      </x:c>
      <x:c r="B566" s="898" t="n">
        <x:v>50.86</x:v>
      </x:c>
      <x:c r="C566" s="898" t="n">
        <x:v>51.95</x:v>
      </x:c>
      <x:c r="D566" s="898" t="n">
        <x:v>49.92</x:v>
      </x:c>
      <x:c r="E566" s="898" t="n">
        <x:v>50.62</x:v>
      </x:c>
      <x:c r="F566" s="901" t="n">
        <x:v>1061089</x:v>
      </x:c>
      <x:c r="G566" s="904" t="n">
        <x:v>1102.93</x:v>
      </x:c>
      <x:c r="H566" s="904" t="n">
        <x:v>1103.65</x:v>
      </x:c>
      <x:c r="I566" s="904" t="n">
        <x:v>1087.85</x:v>
      </x:c>
      <x:c r="J566" s="904" t="n">
        <x:v>1087.85</x:v>
      </x:c>
      <x:c r="K566" s="901" t="n">
        <x:v>565321311</x:v>
      </x:c>
      <x:c r="L566" s="907" t="str">
        <x:v>SRC-P404</x:v>
      </x:c>
      <x:c r="M566" s="907" t="str">
        <x:v>VNStock API actual</x:v>
      </x:c>
      <x:c r="N566" s="1032" t="n">
        <x:v>46229.241747685184</x:v>
      </x:c>
    </x:row>
    <x:row r="567">
      <x:c r="A567" s="895" t="n">
        <x:v>45219</x:v>
      </x:c>
      <x:c r="B567" s="898" t="n">
        <x:v>50.7</x:v>
      </x:c>
      <x:c r="C567" s="898" t="n">
        <x:v>50.7</x:v>
      </x:c>
      <x:c r="D567" s="898" t="n">
        <x:v>47.11</x:v>
      </x:c>
      <x:c r="E567" s="898" t="n">
        <x:v>49.92</x:v>
      </x:c>
      <x:c r="F567" s="901" t="n">
        <x:v>3200262</x:v>
      </x:c>
      <x:c r="G567" s="904" t="n">
        <x:v>1085.83</x:v>
      </x:c>
      <x:c r="H567" s="904" t="n">
        <x:v>1108.16</x:v>
      </x:c>
      <x:c r="I567" s="904" t="n">
        <x:v>1073.73</x:v>
      </x:c>
      <x:c r="J567" s="904" t="n">
        <x:v>1108.03</x:v>
      </x:c>
      <x:c r="K567" s="901" t="n">
        <x:v>551429250</x:v>
      </x:c>
      <x:c r="L567" s="907" t="str">
        <x:v>SRC-P404</x:v>
      </x:c>
      <x:c r="M567" s="907" t="str">
        <x:v>VNStock API actual</x:v>
      </x:c>
      <x:c r="N567" s="1032" t="n">
        <x:v>46229.241747685184</x:v>
      </x:c>
    </x:row>
    <x:row r="568">
      <x:c r="A568" s="895" t="n">
        <x:v>45222</x:v>
      </x:c>
      <x:c r="B568" s="898" t="n">
        <x:v>48.75</x:v>
      </x:c>
      <x:c r="C568" s="898" t="n">
        <x:v>49.84</x:v>
      </x:c>
      <x:c r="D568" s="898" t="n">
        <x:v>47.66</x:v>
      </x:c>
      <x:c r="E568" s="898" t="n">
        <x:v>48.28</x:v>
      </x:c>
      <x:c r="F568" s="901" t="n">
        <x:v>753921</x:v>
      </x:c>
      <x:c r="G568" s="904" t="n">
        <x:v>1106.56</x:v>
      </x:c>
      <x:c r="H568" s="904" t="n">
        <x:v>1106.8</x:v>
      </x:c>
      <x:c r="I568" s="904" t="n">
        <x:v>1086.54</x:v>
      </x:c>
      <x:c r="J568" s="904" t="n">
        <x:v>1093.53</x:v>
      </x:c>
      <x:c r="K568" s="901" t="n">
        <x:v>454989854</x:v>
      </x:c>
      <x:c r="L568" s="907" t="str">
        <x:v>SRC-P404</x:v>
      </x:c>
      <x:c r="M568" s="907" t="str">
        <x:v>VNStock API actual</x:v>
      </x:c>
      <x:c r="N568" s="1032" t="n">
        <x:v>46229.241747685184</x:v>
      </x:c>
    </x:row>
    <x:row r="569">
      <x:c r="A569" s="895" t="n">
        <x:v>45223</x:v>
      </x:c>
      <x:c r="B569" s="898" t="n">
        <x:v>48.36</x:v>
      </x:c>
      <x:c r="C569" s="898" t="n">
        <x:v>48.6</x:v>
      </x:c>
      <x:c r="D569" s="898" t="n">
        <x:v>47.35</x:v>
      </x:c>
      <x:c r="E569" s="898" t="n">
        <x:v>47.89</x:v>
      </x:c>
      <x:c r="F569" s="901" t="n">
        <x:v>745657</x:v>
      </x:c>
      <x:c r="G569" s="904" t="n">
        <x:v>1095.42</x:v>
      </x:c>
      <x:c r="H569" s="904" t="n">
        <x:v>1107.3</x:v>
      </x:c>
      <x:c r="I569" s="904" t="n">
        <x:v>1088.17</x:v>
      </x:c>
      <x:c r="J569" s="904" t="n">
        <x:v>1105.9</x:v>
      </x:c>
      <x:c r="K569" s="901" t="n">
        <x:v>402534037</x:v>
      </x:c>
      <x:c r="L569" s="907" t="str">
        <x:v>SRC-P404</x:v>
      </x:c>
      <x:c r="M569" s="907" t="str">
        <x:v>VNStock API actual</x:v>
      </x:c>
      <x:c r="N569" s="1032" t="n">
        <x:v>46229.241747685184</x:v>
      </x:c>
    </x:row>
    <x:row r="570">
      <x:c r="A570" s="895" t="n">
        <x:v>45224</x:v>
      </x:c>
      <x:c r="B570" s="898" t="n">
        <x:v>47.74</x:v>
      </x:c>
      <x:c r="C570" s="898" t="n">
        <x:v>48.99</x:v>
      </x:c>
      <x:c r="D570" s="898" t="n">
        <x:v>47.43</x:v>
      </x:c>
      <x:c r="E570" s="898" t="n">
        <x:v>48.13</x:v>
      </x:c>
      <x:c r="F570" s="901" t="n">
        <x:v>632039</x:v>
      </x:c>
      <x:c r="G570" s="904" t="n">
        <x:v>1106.41</x:v>
      </x:c>
      <x:c r="H570" s="904" t="n">
        <x:v>1111.39</x:v>
      </x:c>
      <x:c r="I570" s="904" t="n">
        <x:v>1100.64</x:v>
      </x:c>
      <x:c r="J570" s="904" t="n">
        <x:v>1101.66</x:v>
      </x:c>
      <x:c r="K570" s="901" t="n">
        <x:v>439725814</x:v>
      </x:c>
      <x:c r="L570" s="907" t="str">
        <x:v>SRC-P404</x:v>
      </x:c>
      <x:c r="M570" s="907" t="str">
        <x:v>VNStock API actual</x:v>
      </x:c>
      <x:c r="N570" s="1032" t="n">
        <x:v>46229.241747685184</x:v>
      </x:c>
    </x:row>
    <x:row r="571">
      <x:c r="A571" s="895" t="n">
        <x:v>45225</x:v>
      </x:c>
      <x:c r="B571" s="898" t="n">
        <x:v>47.27</x:v>
      </x:c>
      <x:c r="C571" s="898" t="n">
        <x:v>47.35</x:v>
      </x:c>
      <x:c r="D571" s="898" t="n">
        <x:v>44.77</x:v>
      </x:c>
      <x:c r="E571" s="898" t="n">
        <x:v>46.02</x:v>
      </x:c>
      <x:c r="F571" s="901" t="n">
        <x:v>2660026</x:v>
      </x:c>
      <x:c r="G571" s="904" t="n">
        <x:v>1082.8</x:v>
      </x:c>
      <x:c r="H571" s="904" t="n">
        <x:v>1083.22</x:v>
      </x:c>
      <x:c r="I571" s="904" t="n">
        <x:v>1049.71</x:v>
      </x:c>
      <x:c r="J571" s="904" t="n">
        <x:v>1055.45</x:v>
      </x:c>
      <x:c r="K571" s="901" t="n">
        <x:v>1039942289</x:v>
      </x:c>
      <x:c r="L571" s="907" t="str">
        <x:v>SRC-P404</x:v>
      </x:c>
      <x:c r="M571" s="907" t="str">
        <x:v>VNStock API actual</x:v>
      </x:c>
      <x:c r="N571" s="1032" t="n">
        <x:v>46229.241747685184</x:v>
      </x:c>
    </x:row>
    <x:row r="572">
      <x:c r="A572" s="895" t="n">
        <x:v>45226</x:v>
      </x:c>
      <x:c r="B572" s="898" t="n">
        <x:v>46.02</x:v>
      </x:c>
      <x:c r="C572" s="898" t="n">
        <x:v>48.75</x:v>
      </x:c>
      <x:c r="D572" s="898" t="n">
        <x:v>45.55</x:v>
      </x:c>
      <x:c r="E572" s="898" t="n">
        <x:v>48.75</x:v>
      </x:c>
      <x:c r="F572" s="901" t="n">
        <x:v>1075339</x:v>
      </x:c>
      <x:c r="G572" s="904" t="n">
        <x:v>1059.41</x:v>
      </x:c>
      <x:c r="H572" s="904" t="n">
        <x:v>1061.87</x:v>
      </x:c>
      <x:c r="I572" s="904" t="n">
        <x:v>1037.46</x:v>
      </x:c>
      <x:c r="J572" s="904" t="n">
        <x:v>1060.62</x:v>
      </x:c>
      <x:c r="K572" s="901" t="n">
        <x:v>578821510</x:v>
      </x:c>
      <x:c r="L572" s="907" t="str">
        <x:v>SRC-P404</x:v>
      </x:c>
      <x:c r="M572" s="907" t="str">
        <x:v>VNStock API actual</x:v>
      </x:c>
      <x:c r="N572" s="1032" t="n">
        <x:v>46229.241747685184</x:v>
      </x:c>
    </x:row>
    <x:row r="573">
      <x:c r="A573" s="895" t="n">
        <x:v>45229</x:v>
      </x:c>
      <x:c r="B573" s="898" t="n">
        <x:v>48.67</x:v>
      </x:c>
      <x:c r="C573" s="898" t="n">
        <x:v>48.67</x:v>
      </x:c>
      <x:c r="D573" s="898" t="n">
        <x:v>47.19</x:v>
      </x:c>
      <x:c r="E573" s="898" t="n">
        <x:v>47.19</x:v>
      </x:c>
      <x:c r="F573" s="901" t="n">
        <x:v>262025</x:v>
      </x:c>
      <x:c r="G573" s="904" t="n">
        <x:v>1054.03</x:v>
      </x:c>
      <x:c r="H573" s="904" t="n">
        <x:v>1060.39</x:v>
      </x:c>
      <x:c r="I573" s="904" t="n">
        <x:v>1042.4</x:v>
      </x:c>
      <x:c r="J573" s="904" t="n">
        <x:v>1042.4</x:v>
      </x:c>
      <x:c r="K573" s="901" t="n">
        <x:v>415365664</x:v>
      </x:c>
      <x:c r="L573" s="907" t="str">
        <x:v>SRC-P404</x:v>
      </x:c>
      <x:c r="M573" s="907" t="str">
        <x:v>VNStock API actual</x:v>
      </x:c>
      <x:c r="N573" s="1032" t="n">
        <x:v>46229.241747685184</x:v>
      </x:c>
    </x:row>
    <x:row r="574">
      <x:c r="A574" s="895" t="n">
        <x:v>45230</x:v>
      </x:c>
      <x:c r="B574" s="898" t="n">
        <x:v>48.05</x:v>
      </x:c>
      <x:c r="C574" s="898" t="n">
        <x:v>48.13</x:v>
      </x:c>
      <x:c r="D574" s="898" t="n">
        <x:v>46.02</x:v>
      </x:c>
      <x:c r="E574" s="898" t="n">
        <x:v>46.02</x:v>
      </x:c>
      <x:c r="F574" s="901" t="n">
        <x:v>1041062</x:v>
      </x:c>
      <x:c r="G574" s="904" t="n">
        <x:v>1045.6</x:v>
      </x:c>
      <x:c r="H574" s="904" t="n">
        <x:v>1046.17</x:v>
      </x:c>
      <x:c r="I574" s="904" t="n">
        <x:v>1025.03</x:v>
      </x:c>
      <x:c r="J574" s="904" t="n">
        <x:v>1028.19</x:v>
      </x:c>
      <x:c r="K574" s="901" t="n">
        <x:v>648004448</x:v>
      </x:c>
      <x:c r="L574" s="907" t="str">
        <x:v>SRC-P404</x:v>
      </x:c>
      <x:c r="M574" s="907" t="str">
        <x:v>VNStock API actual</x:v>
      </x:c>
      <x:c r="N574" s="1032" t="n">
        <x:v>46229.241747685184</x:v>
      </x:c>
    </x:row>
    <x:row r="575">
      <x:c r="A575" s="895" t="n">
        <x:v>45231</x:v>
      </x:c>
      <x:c r="B575" s="898" t="n">
        <x:v>46.41</x:v>
      </x:c>
      <x:c r="C575" s="898" t="n">
        <x:v>48.21</x:v>
      </x:c>
      <x:c r="D575" s="898" t="n">
        <x:v>46.1</x:v>
      </x:c>
      <x:c r="E575" s="898" t="n">
        <x:v>48.21</x:v>
      </x:c>
      <x:c r="F575" s="901" t="n">
        <x:v>729015</x:v>
      </x:c>
      <x:c r="G575" s="904" t="n">
        <x:v>1029</x:v>
      </x:c>
      <x:c r="H575" s="904" t="n">
        <x:v>1039.66</x:v>
      </x:c>
      <x:c r="I575" s="904" t="n">
        <x:v>1020.01</x:v>
      </x:c>
      <x:c r="J575" s="904" t="n">
        <x:v>1039.66</x:v>
      </x:c>
      <x:c r="K575" s="901" t="n">
        <x:v>539972091</x:v>
      </x:c>
      <x:c r="L575" s="907" t="str">
        <x:v>SRC-P404</x:v>
      </x:c>
      <x:c r="M575" s="907" t="str">
        <x:v>VNStock API actual</x:v>
      </x:c>
      <x:c r="N575" s="1032" t="n">
        <x:v>46229.241747685184</x:v>
      </x:c>
    </x:row>
    <x:row r="576">
      <x:c r="A576" s="895" t="n">
        <x:v>45232</x:v>
      </x:c>
      <x:c r="B576" s="898" t="n">
        <x:v>48.83</x:v>
      </x:c>
      <x:c r="C576" s="898" t="n">
        <x:v>49.92</x:v>
      </x:c>
      <x:c r="D576" s="898" t="n">
        <x:v>48.28</x:v>
      </x:c>
      <x:c r="E576" s="898" t="n">
        <x:v>49.53</x:v>
      </x:c>
      <x:c r="F576" s="901" t="n">
        <x:v>977685</x:v>
      </x:c>
      <x:c r="G576" s="904" t="n">
        <x:v>1048.62</x:v>
      </x:c>
      <x:c r="H576" s="904" t="n">
        <x:v>1075.47</x:v>
      </x:c>
      <x:c r="I576" s="904" t="n">
        <x:v>1045.14</x:v>
      </x:c>
      <x:c r="J576" s="904" t="n">
        <x:v>1075.47</x:v>
      </x:c>
      <x:c r="K576" s="901" t="n">
        <x:v>667009654</x:v>
      </x:c>
      <x:c r="L576" s="907" t="str">
        <x:v>SRC-P404</x:v>
      </x:c>
      <x:c r="M576" s="907" t="str">
        <x:v>VNStock API actual</x:v>
      </x:c>
      <x:c r="N576" s="1032" t="n">
        <x:v>46229.241747685184</x:v>
      </x:c>
    </x:row>
    <x:row r="577">
      <x:c r="A577" s="895" t="n">
        <x:v>45233</x:v>
      </x:c>
      <x:c r="B577" s="898" t="n">
        <x:v>49.61</x:v>
      </x:c>
      <x:c r="C577" s="898" t="n">
        <x:v>50.7</x:v>
      </x:c>
      <x:c r="D577" s="898" t="n">
        <x:v>49.53</x:v>
      </x:c>
      <x:c r="E577" s="898" t="n">
        <x:v>50.7</x:v>
      </x:c>
      <x:c r="F577" s="901" t="n">
        <x:v>2182319</x:v>
      </x:c>
      <x:c r="G577" s="904" t="n">
        <x:v>1081.35</x:v>
      </x:c>
      <x:c r="H577" s="904" t="n">
        <x:v>1082.23</x:v>
      </x:c>
      <x:c r="I577" s="904" t="n">
        <x:v>1071.11</x:v>
      </x:c>
      <x:c r="J577" s="904" t="n">
        <x:v>1076.78</x:v>
      </x:c>
      <x:c r="K577" s="901" t="n">
        <x:v>649923945</x:v>
      </x:c>
      <x:c r="L577" s="907" t="str">
        <x:v>SRC-P404</x:v>
      </x:c>
      <x:c r="M577" s="907" t="str">
        <x:v>VNStock API actual</x:v>
      </x:c>
      <x:c r="N577" s="1032" t="n">
        <x:v>46229.241747685184</x:v>
      </x:c>
    </x:row>
    <x:row r="578">
      <x:c r="A578" s="895" t="n">
        <x:v>45236</x:v>
      </x:c>
      <x:c r="B578" s="898" t="n">
        <x:v>50.7</x:v>
      </x:c>
      <x:c r="C578" s="898" t="n">
        <x:v>51.72</x:v>
      </x:c>
      <x:c r="D578" s="898" t="n">
        <x:v>49.84</x:v>
      </x:c>
      <x:c r="E578" s="898" t="n">
        <x:v>51.48</x:v>
      </x:c>
      <x:c r="F578" s="901" t="n">
        <x:v>1796295</x:v>
      </x:c>
      <x:c r="G578" s="904" t="n">
        <x:v>1082.21</x:v>
      </x:c>
      <x:c r="H578" s="904" t="n">
        <x:v>1089.66</x:v>
      </x:c>
      <x:c r="I578" s="904" t="n">
        <x:v>1081.01</x:v>
      </x:c>
      <x:c r="J578" s="904" t="n">
        <x:v>1089.66</x:v>
      </x:c>
      <x:c r="K578" s="901" t="n">
        <x:v>508936305</x:v>
      </x:c>
      <x:c r="L578" s="907" t="str">
        <x:v>SRC-P404</x:v>
      </x:c>
      <x:c r="M578" s="907" t="str">
        <x:v>VNStock API actual</x:v>
      </x:c>
      <x:c r="N578" s="1032" t="n">
        <x:v>46229.241747685184</x:v>
      </x:c>
    </x:row>
    <x:row r="579">
      <x:c r="A579" s="895" t="n">
        <x:v>45237</x:v>
      </x:c>
      <x:c r="B579" s="898" t="n">
        <x:v>51.33</x:v>
      </x:c>
      <x:c r="C579" s="898" t="n">
        <x:v>52.89</x:v>
      </x:c>
      <x:c r="D579" s="898" t="n">
        <x:v>50.78</x:v>
      </x:c>
      <x:c r="E579" s="898" t="n">
        <x:v>51.56</x:v>
      </x:c>
      <x:c r="F579" s="901" t="n">
        <x:v>1651496</x:v>
      </x:c>
      <x:c r="G579" s="904" t="n">
        <x:v>1086.68</x:v>
      </x:c>
      <x:c r="H579" s="904" t="n">
        <x:v>1089.89</x:v>
      </x:c>
      <x:c r="I579" s="904" t="n">
        <x:v>1079.42</x:v>
      </x:c>
      <x:c r="J579" s="904" t="n">
        <x:v>1080.29</x:v>
      </x:c>
      <x:c r="K579" s="901" t="n">
        <x:v>480141780</x:v>
      </x:c>
      <x:c r="L579" s="907" t="str">
        <x:v>SRC-P404</x:v>
      </x:c>
      <x:c r="M579" s="907" t="str">
        <x:v>VNStock API actual</x:v>
      </x:c>
      <x:c r="N579" s="1032" t="n">
        <x:v>46229.241747685184</x:v>
      </x:c>
    </x:row>
    <x:row r="580">
      <x:c r="A580" s="895" t="n">
        <x:v>45238</x:v>
      </x:c>
      <x:c r="B580" s="898" t="n">
        <x:v>51.56</x:v>
      </x:c>
      <x:c r="C580" s="898" t="n">
        <x:v>53.04</x:v>
      </x:c>
      <x:c r="D580" s="898" t="n">
        <x:v>51.56</x:v>
      </x:c>
      <x:c r="E580" s="898" t="n">
        <x:v>52.89</x:v>
      </x:c>
      <x:c r="F580" s="901" t="n">
        <x:v>1719698</x:v>
      </x:c>
      <x:c r="G580" s="904" t="n">
        <x:v>1079.14</x:v>
      </x:c>
      <x:c r="H580" s="904" t="n">
        <x:v>1113.43</x:v>
      </x:c>
      <x:c r="I580" s="904" t="n">
        <x:v>1075.8</x:v>
      </x:c>
      <x:c r="J580" s="904" t="n">
        <x:v>1113.43</x:v>
      </x:c>
      <x:c r="K580" s="901" t="n">
        <x:v>800215243</x:v>
      </x:c>
      <x:c r="L580" s="907" t="str">
        <x:v>SRC-P404</x:v>
      </x:c>
      <x:c r="M580" s="907" t="str">
        <x:v>VNStock API actual</x:v>
      </x:c>
      <x:c r="N580" s="1032" t="n">
        <x:v>46229.241747685184</x:v>
      </x:c>
    </x:row>
    <x:row r="581">
      <x:c r="A581" s="895" t="n">
        <x:v>45239</x:v>
      </x:c>
      <x:c r="B581" s="898" t="n">
        <x:v>53.82</x:v>
      </x:c>
      <x:c r="C581" s="898" t="n">
        <x:v>54.84</x:v>
      </x:c>
      <x:c r="D581" s="898" t="n">
        <x:v>53.59</x:v>
      </x:c>
      <x:c r="E581" s="898" t="n">
        <x:v>53.59</x:v>
      </x:c>
      <x:c r="F581" s="901" t="n">
        <x:v>1907063</x:v>
      </x:c>
      <x:c r="G581" s="904" t="n">
        <x:v>1116.42</x:v>
      </x:c>
      <x:c r="H581" s="904" t="n">
        <x:v>1124.78</x:v>
      </x:c>
      <x:c r="I581" s="904" t="n">
        <x:v>1112.13</x:v>
      </x:c>
      <x:c r="J581" s="904" t="n">
        <x:v>1113.89</x:v>
      </x:c>
      <x:c r="K581" s="901" t="n">
        <x:v>928460378</x:v>
      </x:c>
      <x:c r="L581" s="907" t="str">
        <x:v>SRC-P404</x:v>
      </x:c>
      <x:c r="M581" s="907" t="str">
        <x:v>VNStock API actual</x:v>
      </x:c>
      <x:c r="N581" s="1032" t="n">
        <x:v>46229.241747685184</x:v>
      </x:c>
    </x:row>
    <x:row r="582">
      <x:c r="A582" s="895" t="n">
        <x:v>45240</x:v>
      </x:c>
      <x:c r="B582" s="898" t="n">
        <x:v>53.51</x:v>
      </x:c>
      <x:c r="C582" s="898" t="n">
        <x:v>54.53</x:v>
      </x:c>
      <x:c r="D582" s="898" t="n">
        <x:v>53.2</x:v>
      </x:c>
      <x:c r="E582" s="898" t="n">
        <x:v>53.75</x:v>
      </x:c>
      <x:c r="F582" s="901" t="n">
        <x:v>1265393</x:v>
      </x:c>
      <x:c r="G582" s="904" t="n">
        <x:v>1105.75</x:v>
      </x:c>
      <x:c r="H582" s="904" t="n">
        <x:v>1116.02</x:v>
      </x:c>
      <x:c r="I582" s="904" t="n">
        <x:v>1101.23</x:v>
      </x:c>
      <x:c r="J582" s="904" t="n">
        <x:v>1101.68</x:v>
      </x:c>
      <x:c r="K582" s="901" t="n">
        <x:v>877008662</x:v>
      </x:c>
      <x:c r="L582" s="907" t="str">
        <x:v>SRC-P404</x:v>
      </x:c>
      <x:c r="M582" s="907" t="str">
        <x:v>VNStock API actual</x:v>
      </x:c>
      <x:c r="N582" s="1032" t="n">
        <x:v>46229.241747685184</x:v>
      </x:c>
    </x:row>
    <x:row r="583">
      <x:c r="A583" s="895" t="n">
        <x:v>45243</x:v>
      </x:c>
      <x:c r="B583" s="898" t="n">
        <x:v>53.82</x:v>
      </x:c>
      <x:c r="C583" s="898" t="n">
        <x:v>54.68</x:v>
      </x:c>
      <x:c r="D583" s="898" t="n">
        <x:v>52.73</x:v>
      </x:c>
      <x:c r="E583" s="898" t="n">
        <x:v>53.51</x:v>
      </x:c>
      <x:c r="F583" s="901" t="n">
        <x:v>1244704</x:v>
      </x:c>
      <x:c r="G583" s="904" t="n">
        <x:v>1103.66</x:v>
      </x:c>
      <x:c r="H583" s="904" t="n">
        <x:v>1107.91</x:v>
      </x:c>
      <x:c r="I583" s="904" t="n">
        <x:v>1093.19</x:v>
      </x:c>
      <x:c r="J583" s="904" t="n">
        <x:v>1100.07</x:v>
      </x:c>
      <x:c r="K583" s="901" t="n">
        <x:v>663473944</x:v>
      </x:c>
      <x:c r="L583" s="907" t="str">
        <x:v>SRC-P404</x:v>
      </x:c>
      <x:c r="M583" s="907" t="str">
        <x:v>VNStock API actual</x:v>
      </x:c>
      <x:c r="N583" s="1032" t="n">
        <x:v>46229.241747685184</x:v>
      </x:c>
    </x:row>
    <x:row r="584">
      <x:c r="A584" s="895" t="n">
        <x:v>45244</x:v>
      </x:c>
      <x:c r="B584" s="898" t="n">
        <x:v>54.21</x:v>
      </x:c>
      <x:c r="C584" s="898" t="n">
        <x:v>56.32</x:v>
      </x:c>
      <x:c r="D584" s="898" t="n">
        <x:v>53.98</x:v>
      </x:c>
      <x:c r="E584" s="898" t="n">
        <x:v>55.38</x:v>
      </x:c>
      <x:c r="F584" s="901" t="n">
        <x:v>1697945</x:v>
      </x:c>
      <x:c r="G584" s="904" t="n">
        <x:v>1109.08</x:v>
      </x:c>
      <x:c r="H584" s="904" t="n">
        <x:v>1115.6</x:v>
      </x:c>
      <x:c r="I584" s="904" t="n">
        <x:v>1101.67</x:v>
      </x:c>
      <x:c r="J584" s="904" t="n">
        <x:v>1109.73</x:v>
      </x:c>
      <x:c r="K584" s="901" t="n">
        <x:v>703358836</x:v>
      </x:c>
      <x:c r="L584" s="907" t="str">
        <x:v>SRC-P404</x:v>
      </x:c>
      <x:c r="M584" s="907" t="str">
        <x:v>VNStock API actual</x:v>
      </x:c>
      <x:c r="N584" s="1032" t="n">
        <x:v>46229.241747685184</x:v>
      </x:c>
    </x:row>
    <x:row r="585">
      <x:c r="A585" s="895" t="n">
        <x:v>45245</x:v>
      </x:c>
      <x:c r="B585" s="898" t="n">
        <x:v>56.55</x:v>
      </x:c>
      <x:c r="C585" s="898" t="n">
        <x:v>57.18</x:v>
      </x:c>
      <x:c r="D585" s="898" t="n">
        <x:v>55.23</x:v>
      </x:c>
      <x:c r="E585" s="898" t="n">
        <x:v>55.46</x:v>
      </x:c>
      <x:c r="F585" s="901" t="n">
        <x:v>995824</x:v>
      </x:c>
      <x:c r="G585" s="904" t="n">
        <x:v>1124.56</x:v>
      </x:c>
      <x:c r="H585" s="904" t="n">
        <x:v>1132.75</x:v>
      </x:c>
      <x:c r="I585" s="904" t="n">
        <x:v>1118.74</x:v>
      </x:c>
      <x:c r="J585" s="904" t="n">
        <x:v>1122.5</x:v>
      </x:c>
      <x:c r="K585" s="901" t="n">
        <x:v>800661750</x:v>
      </x:c>
      <x:c r="L585" s="907" t="str">
        <x:v>SRC-P404</x:v>
      </x:c>
      <x:c r="M585" s="907" t="str">
        <x:v>VNStock API actual</x:v>
      </x:c>
      <x:c r="N585" s="1032" t="n">
        <x:v>46229.241747685184</x:v>
      </x:c>
    </x:row>
    <x:row r="586">
      <x:c r="A586" s="895" t="n">
        <x:v>45246</x:v>
      </x:c>
      <x:c r="B586" s="898" t="n">
        <x:v>55.46</x:v>
      </x:c>
      <x:c r="C586" s="898" t="n">
        <x:v>56.55</x:v>
      </x:c>
      <x:c r="D586" s="898" t="n">
        <x:v>55.31</x:v>
      </x:c>
      <x:c r="E586" s="898" t="n">
        <x:v>55.46</x:v>
      </x:c>
      <x:c r="F586" s="901" t="n">
        <x:v>647050</x:v>
      </x:c>
      <x:c r="G586" s="904" t="n">
        <x:v>1119.98</x:v>
      </x:c>
      <x:c r="H586" s="904" t="n">
        <x:v>1125.53</x:v>
      </x:c>
      <x:c r="I586" s="904" t="n">
        <x:v>1114.97</x:v>
      </x:c>
      <x:c r="J586" s="904" t="n">
        <x:v>1125.53</x:v>
      </x:c>
      <x:c r="K586" s="901" t="n">
        <x:v>555157978</x:v>
      </x:c>
      <x:c r="L586" s="907" t="str">
        <x:v>SRC-P404</x:v>
      </x:c>
      <x:c r="M586" s="907" t="str">
        <x:v>VNStock API actual</x:v>
      </x:c>
      <x:c r="N586" s="1032" t="n">
        <x:v>46229.241747685184</x:v>
      </x:c>
    </x:row>
    <x:row r="587">
      <x:c r="A587" s="895" t="n">
        <x:v>45247</x:v>
      </x:c>
      <x:c r="B587" s="898" t="n">
        <x:v>54.84</x:v>
      </x:c>
      <x:c r="C587" s="898" t="n">
        <x:v>56.09</x:v>
      </x:c>
      <x:c r="D587" s="898" t="n">
        <x:v>54.6</x:v>
      </x:c>
      <x:c r="E587" s="898" t="n">
        <x:v>54.6</x:v>
      </x:c>
      <x:c r="F587" s="901" t="n">
        <x:v>1054316</x:v>
      </x:c>
      <x:c r="G587" s="904" t="n">
        <x:v>1128.14</x:v>
      </x:c>
      <x:c r="H587" s="904" t="n">
        <x:v>1129.84</x:v>
      </x:c>
      <x:c r="I587" s="904" t="n">
        <x:v>1096.16</x:v>
      </x:c>
      <x:c r="J587" s="904" t="n">
        <x:v>1101.19</x:v>
      </x:c>
      <x:c r="K587" s="901" t="n">
        <x:v>1066006039</x:v>
      </x:c>
      <x:c r="L587" s="907" t="str">
        <x:v>SRC-P404</x:v>
      </x:c>
      <x:c r="M587" s="907" t="str">
        <x:v>VNStock API actual</x:v>
      </x:c>
      <x:c r="N587" s="1032" t="n">
        <x:v>46229.241747685184</x:v>
      </x:c>
    </x:row>
    <x:row r="588">
      <x:c r="A588" s="895" t="n">
        <x:v>45250</x:v>
      </x:c>
      <x:c r="B588" s="898" t="n">
        <x:v>53.82</x:v>
      </x:c>
      <x:c r="C588" s="898" t="n">
        <x:v>54.99</x:v>
      </x:c>
      <x:c r="D588" s="898" t="n">
        <x:v>53.82</x:v>
      </x:c>
      <x:c r="E588" s="898" t="n">
        <x:v>54.29</x:v>
      </x:c>
      <x:c r="F588" s="901" t="n">
        <x:v>608615</x:v>
      </x:c>
      <x:c r="G588" s="904" t="n">
        <x:v>1085.4</x:v>
      </x:c>
      <x:c r="H588" s="904" t="n">
        <x:v>1111.26</x:v>
      </x:c>
      <x:c r="I588" s="904" t="n">
        <x:v>1085.32</x:v>
      </x:c>
      <x:c r="J588" s="904" t="n">
        <x:v>1103.66</x:v>
      </x:c>
      <x:c r="K588" s="901" t="n">
        <x:v>688468182</x:v>
      </x:c>
      <x:c r="L588" s="907" t="str">
        <x:v>SRC-P404</x:v>
      </x:c>
      <x:c r="M588" s="907" t="str">
        <x:v>VNStock API actual</x:v>
      </x:c>
      <x:c r="N588" s="1032" t="n">
        <x:v>46229.241747685184</x:v>
      </x:c>
    </x:row>
    <x:row r="589">
      <x:c r="A589" s="895" t="n">
        <x:v>45251</x:v>
      </x:c>
      <x:c r="B589" s="898" t="n">
        <x:v>54.53</x:v>
      </x:c>
      <x:c r="C589" s="898" t="n">
        <x:v>54.99</x:v>
      </x:c>
      <x:c r="D589" s="898" t="n">
        <x:v>53.82</x:v>
      </x:c>
      <x:c r="E589" s="898" t="n">
        <x:v>54.6</x:v>
      </x:c>
      <x:c r="F589" s="901" t="n">
        <x:v>774545</x:v>
      </x:c>
      <x:c r="G589" s="904" t="n">
        <x:v>1112.61</x:v>
      </x:c>
      <x:c r="H589" s="904" t="n">
        <x:v>1112.77</x:v>
      </x:c>
      <x:c r="I589" s="904" t="n">
        <x:v>1103.79</x:v>
      </x:c>
      <x:c r="J589" s="904" t="n">
        <x:v>1110.46</x:v>
      </x:c>
      <x:c r="K589" s="901" t="n">
        <x:v>552332579</x:v>
      </x:c>
      <x:c r="L589" s="907" t="str">
        <x:v>SRC-P404</x:v>
      </x:c>
      <x:c r="M589" s="907" t="str">
        <x:v>VNStock API actual</x:v>
      </x:c>
      <x:c r="N589" s="1032" t="n">
        <x:v>46229.241747685184</x:v>
      </x:c>
    </x:row>
    <x:row r="590">
      <x:c r="A590" s="895" t="n">
        <x:v>45252</x:v>
      </x:c>
      <x:c r="B590" s="898" t="n">
        <x:v>54.6</x:v>
      </x:c>
      <x:c r="C590" s="898" t="n">
        <x:v>55.31</x:v>
      </x:c>
      <x:c r="D590" s="898" t="n">
        <x:v>54.21</x:v>
      </x:c>
      <x:c r="E590" s="898" t="n">
        <x:v>54.92</x:v>
      </x:c>
      <x:c r="F590" s="901" t="n">
        <x:v>499075</x:v>
      </x:c>
      <x:c r="G590" s="904" t="n">
        <x:v>1111.35</x:v>
      </x:c>
      <x:c r="H590" s="904" t="n">
        <x:v>1115.47</x:v>
      </x:c>
      <x:c r="I590" s="904" t="n">
        <x:v>1103.26</x:v>
      </x:c>
      <x:c r="J590" s="904" t="n">
        <x:v>1113.82</x:v>
      </x:c>
      <x:c r="K590" s="901" t="n">
        <x:v>755210854</x:v>
      </x:c>
      <x:c r="L590" s="907" t="str">
        <x:v>SRC-P404</x:v>
      </x:c>
      <x:c r="M590" s="907" t="str">
        <x:v>VNStock API actual</x:v>
      </x:c>
      <x:c r="N590" s="1032" t="n">
        <x:v>46229.241747685184</x:v>
      </x:c>
    </x:row>
    <x:row r="591">
      <x:c r="A591" s="895" t="n">
        <x:v>45253</x:v>
      </x:c>
      <x:c r="B591" s="898" t="n">
        <x:v>54.99</x:v>
      </x:c>
      <x:c r="C591" s="898" t="n">
        <x:v>54.99</x:v>
      </x:c>
      <x:c r="D591" s="898" t="n">
        <x:v>54.21</x:v>
      </x:c>
      <x:c r="E591" s="898" t="n">
        <x:v>54.37</x:v>
      </x:c>
      <x:c r="F591" s="901" t="n">
        <x:v>870909</x:v>
      </x:c>
      <x:c r="G591" s="904" t="n">
        <x:v>1117.71</x:v>
      </x:c>
      <x:c r="H591" s="904" t="n">
        <x:v>1118.54</x:v>
      </x:c>
      <x:c r="I591" s="904" t="n">
        <x:v>1088.49</x:v>
      </x:c>
      <x:c r="J591" s="904" t="n">
        <x:v>1088.49</x:v>
      </x:c>
      <x:c r="K591" s="901" t="n">
        <x:v>899564966</x:v>
      </x:c>
      <x:c r="L591" s="907" t="str">
        <x:v>SRC-P404</x:v>
      </x:c>
      <x:c r="M591" s="907" t="str">
        <x:v>VNStock API actual</x:v>
      </x:c>
      <x:c r="N591" s="1032" t="n">
        <x:v>46229.241747685184</x:v>
      </x:c>
    </x:row>
    <x:row r="592">
      <x:c r="A592" s="895" t="n">
        <x:v>45254</x:v>
      </x:c>
      <x:c r="B592" s="898" t="n">
        <x:v>54.21</x:v>
      </x:c>
      <x:c r="C592" s="898" t="n">
        <x:v>54.21</x:v>
      </x:c>
      <x:c r="D592" s="898" t="n">
        <x:v>51.87</x:v>
      </x:c>
      <x:c r="E592" s="898" t="n">
        <x:v>53.75</x:v>
      </x:c>
      <x:c r="F592" s="901" t="n">
        <x:v>1703895</x:v>
      </x:c>
      <x:c r="G592" s="904" t="n">
        <x:v>1090.97</x:v>
      </x:c>
      <x:c r="H592" s="904" t="n">
        <x:v>1095.61</x:v>
      </x:c>
      <x:c r="I592" s="904" t="n">
        <x:v>1073.31</x:v>
      </x:c>
      <x:c r="J592" s="904" t="n">
        <x:v>1095.61</x:v>
      </x:c>
      <x:c r="K592" s="901" t="n">
        <x:v>821052812</x:v>
      </x:c>
      <x:c r="L592" s="907" t="str">
        <x:v>SRC-P404</x:v>
      </x:c>
      <x:c r="M592" s="907" t="str">
        <x:v>VNStock API actual</x:v>
      </x:c>
      <x:c r="N592" s="1032" t="n">
        <x:v>46229.241747685184</x:v>
      </x:c>
    </x:row>
    <x:row r="593">
      <x:c r="A593" s="895" t="n">
        <x:v>45257</x:v>
      </x:c>
      <x:c r="B593" s="898" t="n">
        <x:v>53.82</x:v>
      </x:c>
      <x:c r="C593" s="898" t="n">
        <x:v>54.37</x:v>
      </x:c>
      <x:c r="D593" s="898" t="n">
        <x:v>52.26</x:v>
      </x:c>
      <x:c r="E593" s="898" t="n">
        <x:v>52.26</x:v>
      </x:c>
      <x:c r="F593" s="901" t="n">
        <x:v>456269</x:v>
      </x:c>
      <x:c r="G593" s="904" t="n">
        <x:v>1095.59</x:v>
      </x:c>
      <x:c r="H593" s="904" t="n">
        <x:v>1096.84</x:v>
      </x:c>
      <x:c r="I593" s="904" t="n">
        <x:v>1085.69</x:v>
      </x:c>
      <x:c r="J593" s="904" t="n">
        <x:v>1088.06</x:v>
      </x:c>
      <x:c r="K593" s="901" t="n">
        <x:v>462595978</x:v>
      </x:c>
      <x:c r="L593" s="907" t="str">
        <x:v>SRC-P404</x:v>
      </x:c>
      <x:c r="M593" s="907" t="str">
        <x:v>VNStock API actual</x:v>
      </x:c>
      <x:c r="N593" s="1032" t="n">
        <x:v>46229.241747685184</x:v>
      </x:c>
    </x:row>
    <x:row r="594">
      <x:c r="A594" s="895" t="n">
        <x:v>45258</x:v>
      </x:c>
      <x:c r="B594" s="898" t="n">
        <x:v>52.26</x:v>
      </x:c>
      <x:c r="C594" s="898" t="n">
        <x:v>53.28</x:v>
      </x:c>
      <x:c r="D594" s="898" t="n">
        <x:v>52.11</x:v>
      </x:c>
      <x:c r="E594" s="898" t="n">
        <x:v>52.65</x:v>
      </x:c>
      <x:c r="F594" s="901" t="n">
        <x:v>915203</x:v>
      </x:c>
      <x:c r="G594" s="904" t="n">
        <x:v>1088.6</x:v>
      </x:c>
      <x:c r="H594" s="904" t="n">
        <x:v>1095.43</x:v>
      </x:c>
      <x:c r="I594" s="904" t="n">
        <x:v>1076.45</x:v>
      </x:c>
      <x:c r="J594" s="904" t="n">
        <x:v>1095.43</x:v>
      </x:c>
      <x:c r="K594" s="901" t="n">
        <x:v>548105206</x:v>
      </x:c>
      <x:c r="L594" s="907" t="str">
        <x:v>SRC-P404</x:v>
      </x:c>
      <x:c r="M594" s="907" t="str">
        <x:v>VNStock API actual</x:v>
      </x:c>
      <x:c r="N594" s="1032" t="n">
        <x:v>46229.241747685184</x:v>
      </x:c>
    </x:row>
    <x:row r="595">
      <x:c r="A595" s="895" t="n">
        <x:v>45259</x:v>
      </x:c>
      <x:c r="B595" s="898" t="n">
        <x:v>53.43</x:v>
      </x:c>
      <x:c r="C595" s="898" t="n">
        <x:v>54.6</x:v>
      </x:c>
      <x:c r="D595" s="898" t="n">
        <x:v>52.65</x:v>
      </x:c>
      <x:c r="E595" s="898" t="n">
        <x:v>54.6</x:v>
      </x:c>
      <x:c r="F595" s="901" t="n">
        <x:v>704420</x:v>
      </x:c>
      <x:c r="G595" s="904" t="n">
        <x:v>1097.28</x:v>
      </x:c>
      <x:c r="H595" s="904" t="n">
        <x:v>1105.28</x:v>
      </x:c>
      <x:c r="I595" s="904" t="n">
        <x:v>1096.33</x:v>
      </x:c>
      <x:c r="J595" s="904" t="n">
        <x:v>1102.8</x:v>
      </x:c>
      <x:c r="K595" s="901" t="n">
        <x:v>514743500</x:v>
      </x:c>
      <x:c r="L595" s="907" t="str">
        <x:v>SRC-P404</x:v>
      </x:c>
      <x:c r="M595" s="907" t="str">
        <x:v>VNStock API actual</x:v>
      </x:c>
      <x:c r="N595" s="1032" t="n">
        <x:v>46229.241747685184</x:v>
      </x:c>
    </x:row>
    <x:row r="596">
      <x:c r="A596" s="895" t="n">
        <x:v>45260</x:v>
      </x:c>
      <x:c r="B596" s="898" t="n">
        <x:v>54.6</x:v>
      </x:c>
      <x:c r="C596" s="898" t="n">
        <x:v>55.23</x:v>
      </x:c>
      <x:c r="D596" s="898" t="n">
        <x:v>54.14</x:v>
      </x:c>
      <x:c r="E596" s="898" t="n">
        <x:v>54.76</x:v>
      </x:c>
      <x:c r="F596" s="901" t="n">
        <x:v>412330</x:v>
      </x:c>
      <x:c r="G596" s="904" t="n">
        <x:v>1101.75</x:v>
      </x:c>
      <x:c r="H596" s="904" t="n">
        <x:v>1107.45</x:v>
      </x:c>
      <x:c r="I596" s="904" t="n">
        <x:v>1094.13</x:v>
      </x:c>
      <x:c r="J596" s="904" t="n">
        <x:v>1094.13</x:v>
      </x:c>
      <x:c r="K596" s="901" t="n">
        <x:v>606826839</x:v>
      </x:c>
      <x:c r="L596" s="907" t="str">
        <x:v>SRC-P404</x:v>
      </x:c>
      <x:c r="M596" s="907" t="str">
        <x:v>VNStock API actual</x:v>
      </x:c>
      <x:c r="N596" s="1032" t="n">
        <x:v>46229.241747685184</x:v>
      </x:c>
    </x:row>
    <x:row r="597">
      <x:c r="A597" s="895" t="n">
        <x:v>45261</x:v>
      </x:c>
      <x:c r="B597" s="898" t="n">
        <x:v>54.84</x:v>
      </x:c>
      <x:c r="C597" s="898" t="n">
        <x:v>54.99</x:v>
      </x:c>
      <x:c r="D597" s="898" t="n">
        <x:v>53.9</x:v>
      </x:c>
      <x:c r="E597" s="898" t="n">
        <x:v>54.76</x:v>
      </x:c>
      <x:c r="F597" s="901" t="n">
        <x:v>623129</x:v>
      </x:c>
      <x:c r="G597" s="904" t="n">
        <x:v>1099.18</x:v>
      </x:c>
      <x:c r="H597" s="904" t="n">
        <x:v>1102.2</x:v>
      </x:c>
      <x:c r="I597" s="904" t="n">
        <x:v>1090.08</x:v>
      </x:c>
      <x:c r="J597" s="904" t="n">
        <x:v>1102.16</x:v>
      </x:c>
      <x:c r="K597" s="901" t="n">
        <x:v>518711253</x:v>
      </x:c>
      <x:c r="L597" s="907" t="str">
        <x:v>SRC-P404</x:v>
      </x:c>
      <x:c r="M597" s="907" t="str">
        <x:v>VNStock API actual</x:v>
      </x:c>
      <x:c r="N597" s="1032" t="n">
        <x:v>46229.241747685184</x:v>
      </x:c>
    </x:row>
    <x:row r="598">
      <x:c r="A598" s="895" t="n">
        <x:v>45264</x:v>
      </x:c>
      <x:c r="B598" s="898" t="n">
        <x:v>55.07</x:v>
      </x:c>
      <x:c r="C598" s="898" t="n">
        <x:v>55.54</x:v>
      </x:c>
      <x:c r="D598" s="898" t="n">
        <x:v>54.21</x:v>
      </x:c>
      <x:c r="E598" s="898" t="n">
        <x:v>55.07</x:v>
      </x:c>
      <x:c r="F598" s="901" t="n">
        <x:v>1156614</x:v>
      </x:c>
      <x:c r="G598" s="904" t="n">
        <x:v>1107.74</x:v>
      </x:c>
      <x:c r="H598" s="904" t="n">
        <x:v>1123.96</x:v>
      </x:c>
      <x:c r="I598" s="904" t="n">
        <x:v>1106.62</x:v>
      </x:c>
      <x:c r="J598" s="904" t="n">
        <x:v>1120.49</x:v>
      </x:c>
      <x:c r="K598" s="901" t="n">
        <x:v>984773992</x:v>
      </x:c>
      <x:c r="L598" s="907" t="str">
        <x:v>SRC-P404</x:v>
      </x:c>
      <x:c r="M598" s="907" t="str">
        <x:v>VNStock API actual</x:v>
      </x:c>
      <x:c r="N598" s="1032" t="n">
        <x:v>46229.241747685184</x:v>
      </x:c>
    </x:row>
    <x:row r="599">
      <x:c r="A599" s="895" t="n">
        <x:v>45265</x:v>
      </x:c>
      <x:c r="B599" s="898" t="n">
        <x:v>55.38</x:v>
      </x:c>
      <x:c r="C599" s="898" t="n">
        <x:v>55.93</x:v>
      </x:c>
      <x:c r="D599" s="898" t="n">
        <x:v>54.21</x:v>
      </x:c>
      <x:c r="E599" s="898" t="n">
        <x:v>54.76</x:v>
      </x:c>
      <x:c r="F599" s="901" t="n">
        <x:v>948738</x:v>
      </x:c>
      <x:c r="G599" s="904" t="n">
        <x:v>1122.28</x:v>
      </x:c>
      <x:c r="H599" s="904" t="n">
        <x:v>1124.11</x:v>
      </x:c>
      <x:c r="I599" s="904" t="n">
        <x:v>1113.55</x:v>
      </x:c>
      <x:c r="J599" s="904" t="n">
        <x:v>1115.97</x:v>
      </x:c>
      <x:c r="K599" s="901" t="n">
        <x:v>707845758</x:v>
      </x:c>
      <x:c r="L599" s="907" t="str">
        <x:v>SRC-P404</x:v>
      </x:c>
      <x:c r="M599" s="907" t="str">
        <x:v>VNStock API actual</x:v>
      </x:c>
      <x:c r="N599" s="1032" t="n">
        <x:v>46229.241747685184</x:v>
      </x:c>
    </x:row>
    <x:row r="600">
      <x:c r="A600" s="895" t="n">
        <x:v>45266</x:v>
      </x:c>
      <x:c r="B600" s="898" t="n">
        <x:v>54.92</x:v>
      </x:c>
      <x:c r="C600" s="898" t="n">
        <x:v>55.54</x:v>
      </x:c>
      <x:c r="D600" s="898" t="n">
        <x:v>54.21</x:v>
      </x:c>
      <x:c r="E600" s="898" t="n">
        <x:v>54.99</x:v>
      </x:c>
      <x:c r="F600" s="901" t="n">
        <x:v>731207</x:v>
      </x:c>
      <x:c r="G600" s="904" t="n">
        <x:v>1118.06</x:v>
      </x:c>
      <x:c r="H600" s="904" t="n">
        <x:v>1126.43</x:v>
      </x:c>
      <x:c r="I600" s="904" t="n">
        <x:v>1116.03</x:v>
      </x:c>
      <x:c r="J600" s="904" t="n">
        <x:v>1126.43</x:v>
      </x:c>
      <x:c r="K600" s="901" t="n">
        <x:v>738707669</x:v>
      </x:c>
      <x:c r="L600" s="907" t="str">
        <x:v>SRC-P404</x:v>
      </x:c>
      <x:c r="M600" s="907" t="str">
        <x:v>VNStock API actual</x:v>
      </x:c>
      <x:c r="N600" s="1032" t="n">
        <x:v>46229.241747685184</x:v>
      </x:c>
    </x:row>
    <x:row r="601">
      <x:c r="A601" s="895" t="n">
        <x:v>45267</x:v>
      </x:c>
      <x:c r="B601" s="898" t="n">
        <x:v>54.99</x:v>
      </x:c>
      <x:c r="C601" s="898" t="n">
        <x:v>54.99</x:v>
      </x:c>
      <x:c r="D601" s="898" t="n">
        <x:v>53.43</x:v>
      </x:c>
      <x:c r="E601" s="898" t="n">
        <x:v>54.92</x:v>
      </x:c>
      <x:c r="F601" s="901" t="n">
        <x:v>949585</x:v>
      </x:c>
      <x:c r="G601" s="904" t="n">
        <x:v>1128.67</x:v>
      </x:c>
      <x:c r="H601" s="904" t="n">
        <x:v>1129.83</x:v>
      </x:c>
      <x:c r="I601" s="904" t="n">
        <x:v>1109.51</x:v>
      </x:c>
      <x:c r="J601" s="904" t="n">
        <x:v>1121.49</x:v>
      </x:c>
      <x:c r="K601" s="901" t="n">
        <x:v>1221764657</x:v>
      </x:c>
      <x:c r="L601" s="907" t="str">
        <x:v>SRC-P404</x:v>
      </x:c>
      <x:c r="M601" s="907" t="str">
        <x:v>VNStock API actual</x:v>
      </x:c>
      <x:c r="N601" s="1032" t="n">
        <x:v>46229.241747685184</x:v>
      </x:c>
    </x:row>
    <x:row r="602">
      <x:c r="A602" s="895" t="n">
        <x:v>45268</x:v>
      </x:c>
      <x:c r="B602" s="898" t="n">
        <x:v>54.6</x:v>
      </x:c>
      <x:c r="C602" s="898" t="n">
        <x:v>54.99</x:v>
      </x:c>
      <x:c r="D602" s="898" t="n">
        <x:v>53.43</x:v>
      </x:c>
      <x:c r="E602" s="898" t="n">
        <x:v>54.92</x:v>
      </x:c>
      <x:c r="F602" s="901" t="n">
        <x:v>589295</x:v>
      </x:c>
      <x:c r="G602" s="904" t="n">
        <x:v>1122.09</x:v>
      </x:c>
      <x:c r="H602" s="904" t="n">
        <x:v>1127.46</x:v>
      </x:c>
      <x:c r="I602" s="904" t="n">
        <x:v>1119.43</x:v>
      </x:c>
      <x:c r="J602" s="904" t="n">
        <x:v>1124.44</x:v>
      </x:c>
      <x:c r="K602" s="901" t="n">
        <x:v>689966264</x:v>
      </x:c>
      <x:c r="L602" s="907" t="str">
        <x:v>SRC-P404</x:v>
      </x:c>
      <x:c r="M602" s="907" t="str">
        <x:v>VNStock API actual</x:v>
      </x:c>
      <x:c r="N602" s="1032" t="n">
        <x:v>46229.241747685184</x:v>
      </x:c>
    </x:row>
    <x:row r="603">
      <x:c r="A603" s="895" t="n">
        <x:v>45271</x:v>
      </x:c>
      <x:c r="B603" s="898" t="n">
        <x:v>54.92</x:v>
      </x:c>
      <x:c r="C603" s="898" t="n">
        <x:v>55.38</x:v>
      </x:c>
      <x:c r="D603" s="898" t="n">
        <x:v>54.68</x:v>
      </x:c>
      <x:c r="E603" s="898" t="n">
        <x:v>54.99</x:v>
      </x:c>
      <x:c r="F603" s="901" t="n">
        <x:v>644017</x:v>
      </x:c>
      <x:c r="G603" s="904" t="n">
        <x:v>1127.92</x:v>
      </x:c>
      <x:c r="H603" s="904" t="n">
        <x:v>1129.15</x:v>
      </x:c>
      <x:c r="I603" s="904" t="n">
        <x:v>1120.32</x:v>
      </x:c>
      <x:c r="J603" s="904" t="n">
        <x:v>1125.5</x:v>
      </x:c>
      <x:c r="K603" s="901" t="n">
        <x:v>570094573</x:v>
      </x:c>
      <x:c r="L603" s="907" t="str">
        <x:v>SRC-P404</x:v>
      </x:c>
      <x:c r="M603" s="907" t="str">
        <x:v>VNStock API actual</x:v>
      </x:c>
      <x:c r="N603" s="1032" t="n">
        <x:v>46229.241747685184</x:v>
      </x:c>
    </x:row>
    <x:row r="604">
      <x:c r="A604" s="895" t="n">
        <x:v>45272</x:v>
      </x:c>
      <x:c r="B604" s="898" t="n">
        <x:v>54.99</x:v>
      </x:c>
      <x:c r="C604" s="898" t="n">
        <x:v>55.23</x:v>
      </x:c>
      <x:c r="D604" s="898" t="n">
        <x:v>54.37</x:v>
      </x:c>
      <x:c r="E604" s="898" t="n">
        <x:v>55.07</x:v>
      </x:c>
      <x:c r="F604" s="901" t="n">
        <x:v>466119</x:v>
      </x:c>
      <x:c r="G604" s="904" t="n">
        <x:v>1127.55</x:v>
      </x:c>
      <x:c r="H604" s="904" t="n">
        <x:v>1129.77</x:v>
      </x:c>
      <x:c r="I604" s="904" t="n">
        <x:v>1123.35</x:v>
      </x:c>
      <x:c r="J604" s="904" t="n">
        <x:v>1127.63</x:v>
      </x:c>
      <x:c r="K604" s="901" t="n">
        <x:v>498413736</x:v>
      </x:c>
      <x:c r="L604" s="907" t="str">
        <x:v>SRC-P404</x:v>
      </x:c>
      <x:c r="M604" s="907" t="str">
        <x:v>VNStock API actual</x:v>
      </x:c>
      <x:c r="N604" s="1032" t="n">
        <x:v>46229.241747685184</x:v>
      </x:c>
    </x:row>
    <x:row r="605">
      <x:c r="A605" s="895" t="n">
        <x:v>45273</x:v>
      </x:c>
      <x:c r="B605" s="898" t="n">
        <x:v>55.07</x:v>
      </x:c>
      <x:c r="C605" s="898" t="n">
        <x:v>55.07</x:v>
      </x:c>
      <x:c r="D605" s="898" t="n">
        <x:v>53.75</x:v>
      </x:c>
      <x:c r="E605" s="898" t="n">
        <x:v>53.75</x:v>
      </x:c>
      <x:c r="F605" s="901" t="n">
        <x:v>634655</x:v>
      </x:c>
      <x:c r="G605" s="904" t="n">
        <x:v>1129.94</x:v>
      </x:c>
      <x:c r="H605" s="904" t="n">
        <x:v>1131.21</x:v>
      </x:c>
      <x:c r="I605" s="904" t="n">
        <x:v>1112.08</x:v>
      </x:c>
      <x:c r="J605" s="904" t="n">
        <x:v>1114.2</x:v>
      </x:c>
      <x:c r="K605" s="901" t="n">
        <x:v>714276741</x:v>
      </x:c>
      <x:c r="L605" s="907" t="str">
        <x:v>SRC-P404</x:v>
      </x:c>
      <x:c r="M605" s="907" t="str">
        <x:v>VNStock API actual</x:v>
      </x:c>
      <x:c r="N605" s="1032" t="n">
        <x:v>46229.241747685184</x:v>
      </x:c>
    </x:row>
    <x:row r="606">
      <x:c r="A606" s="895" t="n">
        <x:v>45274</x:v>
      </x:c>
      <x:c r="B606" s="898" t="n">
        <x:v>54.21</x:v>
      </x:c>
      <x:c r="C606" s="898" t="n">
        <x:v>54.21</x:v>
      </x:c>
      <x:c r="D606" s="898" t="n">
        <x:v>52.89</x:v>
      </x:c>
      <x:c r="E606" s="898" t="n">
        <x:v>53.2</x:v>
      </x:c>
      <x:c r="F606" s="901" t="n">
        <x:v>799266</x:v>
      </x:c>
      <x:c r="G606" s="904" t="n">
        <x:v>1119.62</x:v>
      </x:c>
      <x:c r="H606" s="904" t="n">
        <x:v>1120.36</x:v>
      </x:c>
      <x:c r="I606" s="904" t="n">
        <x:v>1107.86</x:v>
      </x:c>
      <x:c r="J606" s="904" t="n">
        <x:v>1110.13</x:v>
      </x:c>
      <x:c r="K606" s="901" t="n">
        <x:v>559832758</x:v>
      </x:c>
      <x:c r="L606" s="907" t="str">
        <x:v>SRC-P404</x:v>
      </x:c>
      <x:c r="M606" s="907" t="str">
        <x:v>VNStock API actual</x:v>
      </x:c>
      <x:c r="N606" s="1032" t="n">
        <x:v>46229.241747685184</x:v>
      </x:c>
    </x:row>
    <x:row r="607">
      <x:c r="A607" s="895" t="n">
        <x:v>45275</x:v>
      </x:c>
      <x:c r="B607" s="898" t="n">
        <x:v>53.2</x:v>
      </x:c>
      <x:c r="C607" s="898" t="n">
        <x:v>53.35</x:v>
      </x:c>
      <x:c r="D607" s="898" t="n">
        <x:v>52.34</x:v>
      </x:c>
      <x:c r="E607" s="898" t="n">
        <x:v>53.04</x:v>
      </x:c>
      <x:c r="F607" s="901" t="n">
        <x:v>698152</x:v>
      </x:c>
      <x:c r="G607" s="904" t="n">
        <x:v>1109.51</x:v>
      </x:c>
      <x:c r="H607" s="904" t="n">
        <x:v>1112.79</x:v>
      </x:c>
      <x:c r="I607" s="904" t="n">
        <x:v>1102.3</x:v>
      </x:c>
      <x:c r="J607" s="904" t="n">
        <x:v>1102.3</x:v>
      </x:c>
      <x:c r="K607" s="901" t="n">
        <x:v>641927289</x:v>
      </x:c>
      <x:c r="L607" s="907" t="str">
        <x:v>SRC-P404</x:v>
      </x:c>
      <x:c r="M607" s="907" t="str">
        <x:v>VNStock API actual</x:v>
      </x:c>
      <x:c r="N607" s="1032" t="n">
        <x:v>46229.241747685184</x:v>
      </x:c>
    </x:row>
    <x:row r="608">
      <x:c r="A608" s="895" t="n">
        <x:v>45278</x:v>
      </x:c>
      <x:c r="B608" s="898" t="n">
        <x:v>53.2</x:v>
      </x:c>
      <x:c r="C608" s="898" t="n">
        <x:v>53.43</x:v>
      </x:c>
      <x:c r="D608" s="898" t="n">
        <x:v>52.34</x:v>
      </x:c>
      <x:c r="E608" s="898" t="n">
        <x:v>53.43</x:v>
      </x:c>
      <x:c r="F608" s="901" t="n">
        <x:v>580322</x:v>
      </x:c>
      <x:c r="G608" s="904" t="n">
        <x:v>1103.43</x:v>
      </x:c>
      <x:c r="H608" s="904" t="n">
        <x:v>1103.74</x:v>
      </x:c>
      <x:c r="I608" s="904" t="n">
        <x:v>1091.45</x:v>
      </x:c>
      <x:c r="J608" s="904" t="n">
        <x:v>1091.88</x:v>
      </x:c>
      <x:c r="K608" s="901" t="n">
        <x:v>485967620</x:v>
      </x:c>
      <x:c r="L608" s="907" t="str">
        <x:v>SRC-P404</x:v>
      </x:c>
      <x:c r="M608" s="907" t="str">
        <x:v>VNStock API actual</x:v>
      </x:c>
      <x:c r="N608" s="1032" t="n">
        <x:v>46229.241747685184</x:v>
      </x:c>
    </x:row>
    <x:row r="609">
      <x:c r="A609" s="895" t="n">
        <x:v>45279</x:v>
      </x:c>
      <x:c r="B609" s="898" t="n">
        <x:v>53.67</x:v>
      </x:c>
      <x:c r="C609" s="898" t="n">
        <x:v>53.67</x:v>
      </x:c>
      <x:c r="D609" s="898" t="n">
        <x:v>53.04</x:v>
      </x:c>
      <x:c r="E609" s="898" t="n">
        <x:v>53.43</x:v>
      </x:c>
      <x:c r="F609" s="901" t="n">
        <x:v>261313</x:v>
      </x:c>
      <x:c r="G609" s="904" t="n">
        <x:v>1091.26</x:v>
      </x:c>
      <x:c r="H609" s="904" t="n">
        <x:v>1096.3</x:v>
      </x:c>
      <x:c r="I609" s="904" t="n">
        <x:v>1082.29</x:v>
      </x:c>
      <x:c r="J609" s="904" t="n">
        <x:v>1096.3</x:v>
      </x:c>
      <x:c r="K609" s="901" t="n">
        <x:v>513256942</x:v>
      </x:c>
      <x:c r="L609" s="907" t="str">
        <x:v>SRC-P404</x:v>
      </x:c>
      <x:c r="M609" s="907" t="str">
        <x:v>VNStock API actual</x:v>
      </x:c>
      <x:c r="N609" s="1032" t="n">
        <x:v>46229.241747685184</x:v>
      </x:c>
    </x:row>
    <x:row r="610">
      <x:c r="A610" s="895" t="n">
        <x:v>45280</x:v>
      </x:c>
      <x:c r="B610" s="898" t="n">
        <x:v>53.43</x:v>
      </x:c>
      <x:c r="C610" s="898" t="n">
        <x:v>53.82</x:v>
      </x:c>
      <x:c r="D610" s="898" t="n">
        <x:v>52.89</x:v>
      </x:c>
      <x:c r="E610" s="898" t="n">
        <x:v>53.43</x:v>
      </x:c>
      <x:c r="F610" s="901" t="n">
        <x:v>617459</x:v>
      </x:c>
      <x:c r="G610" s="904" t="n">
        <x:v>1098.1</x:v>
      </x:c>
      <x:c r="H610" s="904" t="n">
        <x:v>1102.27</x:v>
      </x:c>
      <x:c r="I610" s="904" t="n">
        <x:v>1093.38</x:v>
      </x:c>
      <x:c r="J610" s="904" t="n">
        <x:v>1100.76</x:v>
      </x:c>
      <x:c r="K610" s="901" t="n">
        <x:v>433798180</x:v>
      </x:c>
      <x:c r="L610" s="907" t="str">
        <x:v>SRC-P404</x:v>
      </x:c>
      <x:c r="M610" s="907" t="str">
        <x:v>VNStock API actual</x:v>
      </x:c>
      <x:c r="N610" s="1032" t="n">
        <x:v>46229.241747685184</x:v>
      </x:c>
    </x:row>
    <x:row r="611">
      <x:c r="A611" s="895" t="n">
        <x:v>45281</x:v>
      </x:c>
      <x:c r="B611" s="898" t="n">
        <x:v>53.59</x:v>
      </x:c>
      <x:c r="C611" s="898" t="n">
        <x:v>53.82</x:v>
      </x:c>
      <x:c r="D611" s="898" t="n">
        <x:v>53.04</x:v>
      </x:c>
      <x:c r="E611" s="898" t="n">
        <x:v>53.04</x:v>
      </x:c>
      <x:c r="F611" s="901" t="n">
        <x:v>563105</x:v>
      </x:c>
      <x:c r="G611" s="904" t="n">
        <x:v>1096.22</x:v>
      </x:c>
      <x:c r="H611" s="904" t="n">
        <x:v>1102.43</x:v>
      </x:c>
      <x:c r="I611" s="904" t="n">
        <x:v>1094.47</x:v>
      </x:c>
      <x:c r="J611" s="904" t="n">
        <x:v>1102.43</x:v>
      </x:c>
      <x:c r="K611" s="901" t="n">
        <x:v>411137272</x:v>
      </x:c>
      <x:c r="L611" s="907" t="str">
        <x:v>SRC-P404</x:v>
      </x:c>
      <x:c r="M611" s="907" t="str">
        <x:v>VNStock API actual</x:v>
      </x:c>
      <x:c r="N611" s="1032" t="n">
        <x:v>46229.241747685184</x:v>
      </x:c>
    </x:row>
    <x:row r="612">
      <x:c r="A612" s="895" t="n">
        <x:v>45282</x:v>
      </x:c>
      <x:c r="B612" s="898" t="n">
        <x:v>53.04</x:v>
      </x:c>
      <x:c r="C612" s="898" t="n">
        <x:v>53.59</x:v>
      </x:c>
      <x:c r="D612" s="898" t="n">
        <x:v>53.04</x:v>
      </x:c>
      <x:c r="E612" s="898" t="n">
        <x:v>53.28</x:v>
      </x:c>
      <x:c r="F612" s="901" t="n">
        <x:v>378068</x:v>
      </x:c>
      <x:c r="G612" s="904" t="n">
        <x:v>1103.08</x:v>
      </x:c>
      <x:c r="H612" s="904" t="n">
        <x:v>1104.65</x:v>
      </x:c>
      <x:c r="I612" s="904" t="n">
        <x:v>1099.32</x:v>
      </x:c>
      <x:c r="J612" s="904" t="n">
        <x:v>1103.06</x:v>
      </x:c>
      <x:c r="K612" s="901" t="n">
        <x:v>457342945</x:v>
      </x:c>
      <x:c r="L612" s="907" t="str">
        <x:v>SRC-P404</x:v>
      </x:c>
      <x:c r="M612" s="907" t="str">
        <x:v>VNStock API actual</x:v>
      </x:c>
      <x:c r="N612" s="1032" t="n">
        <x:v>46229.241747685184</x:v>
      </x:c>
    </x:row>
    <x:row r="613">
      <x:c r="A613" s="895" t="n">
        <x:v>45285</x:v>
      </x:c>
      <x:c r="B613" s="898" t="n">
        <x:v>53.59</x:v>
      </x:c>
      <x:c r="C613" s="898" t="n">
        <x:v>56.94</x:v>
      </x:c>
      <x:c r="D613" s="898" t="n">
        <x:v>53.43</x:v>
      </x:c>
      <x:c r="E613" s="898" t="n">
        <x:v>56.94</x:v>
      </x:c>
      <x:c r="F613" s="901" t="n">
        <x:v>2435652</x:v>
      </x:c>
      <x:c r="G613" s="904" t="n">
        <x:v>1104.27</x:v>
      </x:c>
      <x:c r="H613" s="904" t="n">
        <x:v>1118.31</x:v>
      </x:c>
      <x:c r="I613" s="904" t="n">
        <x:v>1104.27</x:v>
      </x:c>
      <x:c r="J613" s="904" t="n">
        <x:v>1117.66</x:v>
      </x:c>
      <x:c r="K613" s="901" t="n">
        <x:v>513367086</x:v>
      </x:c>
      <x:c r="L613" s="907" t="str">
        <x:v>SRC-P404</x:v>
      </x:c>
      <x:c r="M613" s="907" t="str">
        <x:v>VNStock API actual</x:v>
      </x:c>
      <x:c r="N613" s="1032" t="n">
        <x:v>46229.241747685184</x:v>
      </x:c>
    </x:row>
    <x:row r="614">
      <x:c r="A614" s="895" t="n">
        <x:v>45286</x:v>
      </x:c>
      <x:c r="B614" s="898" t="n">
        <x:v>56.94</x:v>
      </x:c>
      <x:c r="C614" s="898" t="n">
        <x:v>57.57</x:v>
      </x:c>
      <x:c r="D614" s="898" t="n">
        <x:v>55.77</x:v>
      </x:c>
      <x:c r="E614" s="898" t="n">
        <x:v>55.77</x:v>
      </x:c>
      <x:c r="F614" s="901" t="n">
        <x:v>1166767</x:v>
      </x:c>
      <x:c r="G614" s="904" t="n">
        <x:v>1120.11</x:v>
      </x:c>
      <x:c r="H614" s="904" t="n">
        <x:v>1123.11</x:v>
      </x:c>
      <x:c r="I614" s="904" t="n">
        <x:v>1117.93</x:v>
      </x:c>
      <x:c r="J614" s="904" t="n">
        <x:v>1122.25</x:v>
      </x:c>
      <x:c r="K614" s="901" t="n">
        <x:v>526323287</x:v>
      </x:c>
      <x:c r="L614" s="907" t="str">
        <x:v>SRC-P404</x:v>
      </x:c>
      <x:c r="M614" s="907" t="str">
        <x:v>VNStock API actual</x:v>
      </x:c>
      <x:c r="N614" s="1032" t="n">
        <x:v>46229.241747685184</x:v>
      </x:c>
    </x:row>
    <x:row r="615">
      <x:c r="A615" s="895" t="n">
        <x:v>45287</x:v>
      </x:c>
      <x:c r="B615" s="898" t="n">
        <x:v>56.55</x:v>
      </x:c>
      <x:c r="C615" s="898" t="n">
        <x:v>56.55</x:v>
      </x:c>
      <x:c r="D615" s="898" t="n">
        <x:v>55.7</x:v>
      </x:c>
      <x:c r="E615" s="898" t="n">
        <x:v>56.01</x:v>
      </x:c>
      <x:c r="F615" s="901" t="n">
        <x:v>1056368</x:v>
      </x:c>
      <x:c r="G615" s="904" t="n">
        <x:v>1123.28</x:v>
      </x:c>
      <x:c r="H615" s="904" t="n">
        <x:v>1126.47</x:v>
      </x:c>
      <x:c r="I615" s="904" t="n">
        <x:v>1121.99</x:v>
      </x:c>
      <x:c r="J615" s="904" t="n">
        <x:v>1121.99</x:v>
      </x:c>
      <x:c r="K615" s="901" t="n">
        <x:v>526146731</x:v>
      </x:c>
      <x:c r="L615" s="907" t="str">
        <x:v>SRC-P404</x:v>
      </x:c>
      <x:c r="M615" s="907" t="str">
        <x:v>VNStock API actual</x:v>
      </x:c>
      <x:c r="N615" s="1032" t="n">
        <x:v>46229.241747685184</x:v>
      </x:c>
    </x:row>
    <x:row r="616">
      <x:c r="A616" s="895" t="n">
        <x:v>45288</x:v>
      </x:c>
      <x:c r="B616" s="898" t="n">
        <x:v>56.01</x:v>
      </x:c>
      <x:c r="C616" s="898" t="n">
        <x:v>57.18</x:v>
      </x:c>
      <x:c r="D616" s="898" t="n">
        <x:v>55.85</x:v>
      </x:c>
      <x:c r="E616" s="898" t="n">
        <x:v>56.16</x:v>
      </x:c>
      <x:c r="F616" s="901" t="n">
        <x:v>1437489</x:v>
      </x:c>
      <x:c r="G616" s="904" t="n">
        <x:v>1122.77</x:v>
      </x:c>
      <x:c r="H616" s="904" t="n">
        <x:v>1130.58</x:v>
      </x:c>
      <x:c r="I616" s="904" t="n">
        <x:v>1120.5</x:v>
      </x:c>
      <x:c r="J616" s="904" t="n">
        <x:v>1128.93</x:v>
      </x:c>
      <x:c r="K616" s="901" t="n">
        <x:v>558386951</x:v>
      </x:c>
      <x:c r="L616" s="907" t="str">
        <x:v>SRC-P404</x:v>
      </x:c>
      <x:c r="M616" s="907" t="str">
        <x:v>VNStock API actual</x:v>
      </x:c>
      <x:c r="N616" s="1032" t="n">
        <x:v>46229.241747685184</x:v>
      </x:c>
    </x:row>
    <x:row r="617">
      <x:c r="A617" s="895" t="n">
        <x:v>45289</x:v>
      </x:c>
      <x:c r="B617" s="898" t="n">
        <x:v>56.48</x:v>
      </x:c>
      <x:c r="C617" s="898" t="n">
        <x:v>56.48</x:v>
      </x:c>
      <x:c r="D617" s="898" t="n">
        <x:v>54.99</x:v>
      </x:c>
      <x:c r="E617" s="898" t="n">
        <x:v>54.99</x:v>
      </x:c>
      <x:c r="F617" s="901" t="n">
        <x:v>1460972</x:v>
      </x:c>
      <x:c r="G617" s="904" t="n">
        <x:v>1131.75</x:v>
      </x:c>
      <x:c r="H617" s="904" t="n">
        <x:v>1135.05</x:v>
      </x:c>
      <x:c r="I617" s="904" t="n">
        <x:v>1129.93</x:v>
      </x:c>
      <x:c r="J617" s="904" t="n">
        <x:v>1129.93</x:v>
      </x:c>
      <x:c r="K617" s="901" t="n">
        <x:v>569745860</x:v>
      </x:c>
      <x:c r="L617" s="907" t="str">
        <x:v>SRC-P404</x:v>
      </x:c>
      <x:c r="M617" s="907" t="str">
        <x:v>VNStock API actual</x:v>
      </x:c>
      <x:c r="N617" s="1032" t="n">
        <x:v>46229.241747685184</x:v>
      </x:c>
    </x:row>
    <x:row r="618">
      <x:c r="A618" s="895" t="n">
        <x:v>45293</x:v>
      </x:c>
      <x:c r="B618" s="898" t="n">
        <x:v>55.23</x:v>
      </x:c>
      <x:c r="C618" s="898" t="n">
        <x:v>56.32</x:v>
      </x:c>
      <x:c r="D618" s="898" t="n">
        <x:v>55.15</x:v>
      </x:c>
      <x:c r="E618" s="898" t="n">
        <x:v>55.93</x:v>
      </x:c>
      <x:c r="F618" s="901" t="n">
        <x:v>930860</x:v>
      </x:c>
      <x:c r="G618" s="904" t="n">
        <x:v>1136.39</x:v>
      </x:c>
      <x:c r="H618" s="904" t="n">
        <x:v>1139.71</x:v>
      </x:c>
      <x:c r="I618" s="904" t="n">
        <x:v>1128.69</x:v>
      </x:c>
      <x:c r="J618" s="904" t="n">
        <x:v>1131.72</x:v>
      </x:c>
      <x:c r="K618" s="901" t="n">
        <x:v>723494585</x:v>
      </x:c>
      <x:c r="L618" s="907" t="str">
        <x:v>SRC-P404</x:v>
      </x:c>
      <x:c r="M618" s="907" t="str">
        <x:v>VNStock API actual</x:v>
      </x:c>
      <x:c r="N618" s="1032" t="n">
        <x:v>46229.241747685184</x:v>
      </x:c>
    </x:row>
    <x:row r="619">
      <x:c r="A619" s="895" t="n">
        <x:v>45294</x:v>
      </x:c>
      <x:c r="B619" s="898" t="n">
        <x:v>56.16</x:v>
      </x:c>
      <x:c r="C619" s="898" t="n">
        <x:v>56.4</x:v>
      </x:c>
      <x:c r="D619" s="898" t="n">
        <x:v>55.54</x:v>
      </x:c>
      <x:c r="E619" s="898" t="n">
        <x:v>56.16</x:v>
      </x:c>
      <x:c r="F619" s="901" t="n">
        <x:v>750544</x:v>
      </x:c>
      <x:c r="G619" s="904" t="n">
        <x:v>1130.53</x:v>
      </x:c>
      <x:c r="H619" s="904" t="n">
        <x:v>1144.17</x:v>
      </x:c>
      <x:c r="I619" s="904" t="n">
        <x:v>1128.32</x:v>
      </x:c>
      <x:c r="J619" s="904" t="n">
        <x:v>1144.17</x:v>
      </x:c>
      <x:c r="K619" s="901" t="n">
        <x:v>614573860</x:v>
      </x:c>
      <x:c r="L619" s="907" t="str">
        <x:v>SRC-P404</x:v>
      </x:c>
      <x:c r="M619" s="907" t="str">
        <x:v>VNStock API actual</x:v>
      </x:c>
      <x:c r="N619" s="1032" t="n">
        <x:v>46229.241747685184</x:v>
      </x:c>
    </x:row>
    <x:row r="620">
      <x:c r="A620" s="895" t="n">
        <x:v>45295</x:v>
      </x:c>
      <x:c r="B620" s="898" t="n">
        <x:v>56.48</x:v>
      </x:c>
      <x:c r="C620" s="898" t="n">
        <x:v>56.71</x:v>
      </x:c>
      <x:c r="D620" s="898" t="n">
        <x:v>55.46</x:v>
      </x:c>
      <x:c r="E620" s="898" t="n">
        <x:v>55.93</x:v>
      </x:c>
      <x:c r="F620" s="901" t="n">
        <x:v>1233472</x:v>
      </x:c>
      <x:c r="G620" s="904" t="n">
        <x:v>1145.49</x:v>
      </x:c>
      <x:c r="H620" s="904" t="n">
        <x:v>1160.08</x:v>
      </x:c>
      <x:c r="I620" s="904" t="n">
        <x:v>1144.32</x:v>
      </x:c>
      <x:c r="J620" s="904" t="n">
        <x:v>1150.72</x:v>
      </x:c>
      <x:c r="K620" s="901" t="n">
        <x:v>1071028753</x:v>
      </x:c>
      <x:c r="L620" s="907" t="str">
        <x:v>SRC-P404</x:v>
      </x:c>
      <x:c r="M620" s="907" t="str">
        <x:v>VNStock API actual</x:v>
      </x:c>
      <x:c r="N620" s="1032" t="n">
        <x:v>46229.241747685184</x:v>
      </x:c>
    </x:row>
    <x:row r="621">
      <x:c r="A621" s="895" t="n">
        <x:v>45296</x:v>
      </x:c>
      <x:c r="B621" s="898" t="n">
        <x:v>55.7</x:v>
      </x:c>
      <x:c r="C621" s="898" t="n">
        <x:v>55.85</x:v>
      </x:c>
      <x:c r="D621" s="898" t="n">
        <x:v>55.31</x:v>
      </x:c>
      <x:c r="E621" s="898" t="n">
        <x:v>55.46</x:v>
      </x:c>
      <x:c r="F621" s="901" t="n">
        <x:v>781004</x:v>
      </x:c>
      <x:c r="G621" s="904" t="n">
        <x:v>1152.37</x:v>
      </x:c>
      <x:c r="H621" s="904" t="n">
        <x:v>1155.84</x:v>
      </x:c>
      <x:c r="I621" s="904" t="n">
        <x:v>1149.08</x:v>
      </x:c>
      <x:c r="J621" s="904" t="n">
        <x:v>1154.68</x:v>
      </x:c>
      <x:c r="K621" s="901" t="n">
        <x:v>699280159</x:v>
      </x:c>
      <x:c r="L621" s="907" t="str">
        <x:v>SRC-P404</x:v>
      </x:c>
      <x:c r="M621" s="907" t="str">
        <x:v>VNStock API actual</x:v>
      </x:c>
      <x:c r="N621" s="1032" t="n">
        <x:v>46229.241747685184</x:v>
      </x:c>
    </x:row>
    <x:row r="622">
      <x:c r="A622" s="895" t="n">
        <x:v>45299</x:v>
      </x:c>
      <x:c r="B622" s="898" t="n">
        <x:v>55.54</x:v>
      </x:c>
      <x:c r="C622" s="898" t="n">
        <x:v>56.16</x:v>
      </x:c>
      <x:c r="D622" s="898" t="n">
        <x:v>55.31</x:v>
      </x:c>
      <x:c r="E622" s="898" t="n">
        <x:v>55.93</x:v>
      </x:c>
      <x:c r="F622" s="901" t="n">
        <x:v>648067</x:v>
      </x:c>
      <x:c r="G622" s="904" t="n">
        <x:v>1159.42</x:v>
      </x:c>
      <x:c r="H622" s="904" t="n">
        <x:v>1162.56</x:v>
      </x:c>
      <x:c r="I622" s="904" t="n">
        <x:v>1155.48</x:v>
      </x:c>
      <x:c r="J622" s="904" t="n">
        <x:v>1160.19</x:v>
      </x:c>
      <x:c r="K622" s="901" t="n">
        <x:v>753445865</x:v>
      </x:c>
      <x:c r="L622" s="907" t="str">
        <x:v>SRC-P404</x:v>
      </x:c>
      <x:c r="M622" s="907" t="str">
        <x:v>VNStock API actual</x:v>
      </x:c>
      <x:c r="N622" s="1032" t="n">
        <x:v>46229.241747685184</x:v>
      </x:c>
    </x:row>
    <x:row r="623">
      <x:c r="A623" s="895" t="n">
        <x:v>45300</x:v>
      </x:c>
      <x:c r="B623" s="898" t="n">
        <x:v>56.32</x:v>
      </x:c>
      <x:c r="C623" s="898" t="n">
        <x:v>56.4</x:v>
      </x:c>
      <x:c r="D623" s="898" t="n">
        <x:v>55.62</x:v>
      </x:c>
      <x:c r="E623" s="898" t="n">
        <x:v>55.93</x:v>
      </x:c>
      <x:c r="F623" s="901" t="n">
        <x:v>751061</x:v>
      </x:c>
      <x:c r="G623" s="904" t="n">
        <x:v>1161.71</x:v>
      </x:c>
      <x:c r="H623" s="904" t="n">
        <x:v>1162.83</x:v>
      </x:c>
      <x:c r="I623" s="904" t="n">
        <x:v>1155.46</x:v>
      </x:c>
      <x:c r="J623" s="904" t="n">
        <x:v>1158.59</x:v>
      </x:c>
      <x:c r="K623" s="901" t="n">
        <x:v>740754627</x:v>
      </x:c>
      <x:c r="L623" s="907" t="str">
        <x:v>SRC-P404</x:v>
      </x:c>
      <x:c r="M623" s="907" t="str">
        <x:v>VNStock API actual</x:v>
      </x:c>
      <x:c r="N623" s="1032" t="n">
        <x:v>46229.241747685184</x:v>
      </x:c>
    </x:row>
    <x:row r="624">
      <x:c r="A624" s="895" t="n">
        <x:v>45301</x:v>
      </x:c>
      <x:c r="B624" s="898" t="n">
        <x:v>55.93</x:v>
      </x:c>
      <x:c r="C624" s="898" t="n">
        <x:v>57.49</x:v>
      </x:c>
      <x:c r="D624" s="898" t="n">
        <x:v>55.46</x:v>
      </x:c>
      <x:c r="E624" s="898" t="n">
        <x:v>55.85</x:v>
      </x:c>
      <x:c r="F624" s="901" t="n">
        <x:v>1488172</x:v>
      </x:c>
      <x:c r="G624" s="904" t="n">
        <x:v>1158.79</x:v>
      </x:c>
      <x:c r="H624" s="904" t="n">
        <x:v>1166.1</x:v>
      </x:c>
      <x:c r="I624" s="904" t="n">
        <x:v>1155.94</x:v>
      </x:c>
      <x:c r="J624" s="904" t="n">
        <x:v>1161.54</x:v>
      </x:c>
      <x:c r="K624" s="901" t="n">
        <x:v>865218394</x:v>
      </x:c>
      <x:c r="L624" s="907" t="str">
        <x:v>SRC-P404</x:v>
      </x:c>
      <x:c r="M624" s="907" t="str">
        <x:v>VNStock API actual</x:v>
      </x:c>
      <x:c r="N624" s="1032" t="n">
        <x:v>46229.241747685184</x:v>
      </x:c>
    </x:row>
    <x:row r="625">
      <x:c r="A625" s="895" t="n">
        <x:v>45302</x:v>
      </x:c>
      <x:c r="B625" s="898" t="n">
        <x:v>56.16</x:v>
      </x:c>
      <x:c r="C625" s="898" t="n">
        <x:v>56.16</x:v>
      </x:c>
      <x:c r="D625" s="898" t="n">
        <x:v>55.23</x:v>
      </x:c>
      <x:c r="E625" s="898" t="n">
        <x:v>55.77</x:v>
      </x:c>
      <x:c r="F625" s="901" t="n">
        <x:v>813828</x:v>
      </x:c>
      <x:c r="G625" s="904" t="n">
        <x:v>1162.49</x:v>
      </x:c>
      <x:c r="H625" s="904" t="n">
        <x:v>1169.1</x:v>
      </x:c>
      <x:c r="I625" s="904" t="n">
        <x:v>1157.43</x:v>
      </x:c>
      <x:c r="J625" s="904" t="n">
        <x:v>1162.22</x:v>
      </x:c>
      <x:c r="K625" s="901" t="n">
        <x:v>721808488</x:v>
      </x:c>
      <x:c r="L625" s="907" t="str">
        <x:v>SRC-P404</x:v>
      </x:c>
      <x:c r="M625" s="907" t="str">
        <x:v>VNStock API actual</x:v>
      </x:c>
      <x:c r="N625" s="1032" t="n">
        <x:v>46229.241747685184</x:v>
      </x:c>
    </x:row>
    <x:row r="626">
      <x:c r="A626" s="895" t="n">
        <x:v>45303</x:v>
      </x:c>
      <x:c r="B626" s="898" t="n">
        <x:v>55.77</x:v>
      </x:c>
      <x:c r="C626" s="898" t="n">
        <x:v>55.77</x:v>
      </x:c>
      <x:c r="D626" s="898" t="n">
        <x:v>54.21</x:v>
      </x:c>
      <x:c r="E626" s="898" t="n">
        <x:v>54.84</x:v>
      </x:c>
      <x:c r="F626" s="901" t="n">
        <x:v>1621012</x:v>
      </x:c>
      <x:c r="G626" s="904" t="n">
        <x:v>1159.25</x:v>
      </x:c>
      <x:c r="H626" s="904" t="n">
        <x:v>1161.91</x:v>
      </x:c>
      <x:c r="I626" s="904" t="n">
        <x:v>1146.75</x:v>
      </x:c>
      <x:c r="J626" s="904" t="n">
        <x:v>1154.7</x:v>
      </x:c>
      <x:c r="K626" s="901" t="n">
        <x:v>972347634</x:v>
      </x:c>
      <x:c r="L626" s="907" t="str">
        <x:v>SRC-P404</x:v>
      </x:c>
      <x:c r="M626" s="907" t="str">
        <x:v>VNStock API actual</x:v>
      </x:c>
      <x:c r="N626" s="1032" t="n">
        <x:v>46229.241747685184</x:v>
      </x:c>
    </x:row>
    <x:row r="627">
      <x:c r="A627" s="895" t="n">
        <x:v>45306</x:v>
      </x:c>
      <x:c r="B627" s="898" t="n">
        <x:v>54.84</x:v>
      </x:c>
      <x:c r="C627" s="898" t="n">
        <x:v>55.15</x:v>
      </x:c>
      <x:c r="D627" s="898" t="n">
        <x:v>53.98</x:v>
      </x:c>
      <x:c r="E627" s="898" t="n">
        <x:v>53.98</x:v>
      </x:c>
      <x:c r="F627" s="901" t="n">
        <x:v>975769</x:v>
      </x:c>
      <x:c r="G627" s="904" t="n">
        <x:v>1159.37</x:v>
      </x:c>
      <x:c r="H627" s="904" t="n">
        <x:v>1163.75</x:v>
      </x:c>
      <x:c r="I627" s="904" t="n">
        <x:v>1154.12</x:v>
      </x:c>
      <x:c r="J627" s="904" t="n">
        <x:v>1154.12</x:v>
      </x:c>
      <x:c r="K627" s="901" t="n">
        <x:v>513403043</x:v>
      </x:c>
      <x:c r="L627" s="907" t="str">
        <x:v>SRC-P404</x:v>
      </x:c>
      <x:c r="M627" s="907" t="str">
        <x:v>VNStock API actual</x:v>
      </x:c>
      <x:c r="N627" s="1032" t="n">
        <x:v>46229.241747685184</x:v>
      </x:c>
    </x:row>
    <x:row r="628">
      <x:c r="A628" s="895" t="n">
        <x:v>45307</x:v>
      </x:c>
      <x:c r="B628" s="898" t="n">
        <x:v>53.98</x:v>
      </x:c>
      <x:c r="C628" s="898" t="n">
        <x:v>53.98</x:v>
      </x:c>
      <x:c r="D628" s="898" t="n">
        <x:v>52.96</x:v>
      </x:c>
      <x:c r="E628" s="898" t="n">
        <x:v>53.67</x:v>
      </x:c>
      <x:c r="F628" s="901" t="n">
        <x:v>1140441</x:v>
      </x:c>
      <x:c r="G628" s="904" t="n">
        <x:v>1150.31</x:v>
      </x:c>
      <x:c r="H628" s="904" t="n">
        <x:v>1163.12</x:v>
      </x:c>
      <x:c r="I628" s="904" t="n">
        <x:v>1147.71</x:v>
      </x:c>
      <x:c r="J628" s="904" t="n">
        <x:v>1163.12</x:v>
      </x:c>
      <x:c r="K628" s="901" t="n">
        <x:v>520993518</x:v>
      </x:c>
      <x:c r="L628" s="907" t="str">
        <x:v>SRC-P404</x:v>
      </x:c>
      <x:c r="M628" s="907" t="str">
        <x:v>VNStock API actual</x:v>
      </x:c>
      <x:c r="N628" s="1032" t="n">
        <x:v>46229.241747685184</x:v>
      </x:c>
    </x:row>
    <x:row r="629">
      <x:c r="A629" s="895" t="n">
        <x:v>45308</x:v>
      </x:c>
      <x:c r="B629" s="898" t="n">
        <x:v>54.06</x:v>
      </x:c>
      <x:c r="C629" s="898" t="n">
        <x:v>55.07</x:v>
      </x:c>
      <x:c r="D629" s="898" t="n">
        <x:v>53.75</x:v>
      </x:c>
      <x:c r="E629" s="898" t="n">
        <x:v>54.37</x:v>
      </x:c>
      <x:c r="F629" s="901" t="n">
        <x:v>531060</x:v>
      </x:c>
      <x:c r="G629" s="904" t="n">
        <x:v>1161.95</x:v>
      </x:c>
      <x:c r="H629" s="904" t="n">
        <x:v>1168.46</x:v>
      </x:c>
      <x:c r="I629" s="904" t="n">
        <x:v>1160.45</x:v>
      </x:c>
      <x:c r="J629" s="904" t="n">
        <x:v>1162.53</x:v>
      </x:c>
      <x:c r="K629" s="901" t="n">
        <x:v>637645718</x:v>
      </x:c>
      <x:c r="L629" s="907" t="str">
        <x:v>SRC-P404</x:v>
      </x:c>
      <x:c r="M629" s="907" t="str">
        <x:v>VNStock API actual</x:v>
      </x:c>
      <x:c r="N629" s="1032" t="n">
        <x:v>46229.241747685184</x:v>
      </x:c>
    </x:row>
    <x:row r="630">
      <x:c r="A630" s="895" t="n">
        <x:v>45309</x:v>
      </x:c>
      <x:c r="B630" s="898" t="n">
        <x:v>54.29</x:v>
      </x:c>
      <x:c r="C630" s="898" t="n">
        <x:v>54.37</x:v>
      </x:c>
      <x:c r="D630" s="898" t="n">
        <x:v>53.43</x:v>
      </x:c>
      <x:c r="E630" s="898" t="n">
        <x:v>54.14</x:v>
      </x:c>
      <x:c r="F630" s="901" t="n">
        <x:v>999875</x:v>
      </x:c>
      <x:c r="G630" s="904" t="n">
        <x:v>1164.32</x:v>
      </x:c>
      <x:c r="H630" s="904" t="n">
        <x:v>1169.73</x:v>
      </x:c>
      <x:c r="I630" s="904" t="n">
        <x:v>1162.62</x:v>
      </x:c>
      <x:c r="J630" s="904" t="n">
        <x:v>1169.06</x:v>
      </x:c>
      <x:c r="K630" s="901" t="n">
        <x:v>523948655</x:v>
      </x:c>
      <x:c r="L630" s="907" t="str">
        <x:v>SRC-P404</x:v>
      </x:c>
      <x:c r="M630" s="907" t="str">
        <x:v>VNStock API actual</x:v>
      </x:c>
      <x:c r="N630" s="1032" t="n">
        <x:v>46229.241747685184</x:v>
      </x:c>
    </x:row>
    <x:row r="631">
      <x:c r="A631" s="895" t="n">
        <x:v>45310</x:v>
      </x:c>
      <x:c r="B631" s="898" t="n">
        <x:v>54.29</x:v>
      </x:c>
      <x:c r="C631" s="898" t="n">
        <x:v>54.29</x:v>
      </x:c>
      <x:c r="D631" s="898" t="n">
        <x:v>53.67</x:v>
      </x:c>
      <x:c r="E631" s="898" t="n">
        <x:v>54.06</x:v>
      </x:c>
      <x:c r="F631" s="901" t="n">
        <x:v>914489</x:v>
      </x:c>
      <x:c r="G631" s="904" t="n">
        <x:v>1171.5</x:v>
      </x:c>
      <x:c r="H631" s="904" t="n">
        <x:v>1181.5</x:v>
      </x:c>
      <x:c r="I631" s="904" t="n">
        <x:v>1171.47</x:v>
      </x:c>
      <x:c r="J631" s="904" t="n">
        <x:v>1181.5</x:v>
      </x:c>
      <x:c r="K631" s="901" t="n">
        <x:v>578206561</x:v>
      </x:c>
      <x:c r="L631" s="907" t="str">
        <x:v>SRC-P404</x:v>
      </x:c>
      <x:c r="M631" s="907" t="str">
        <x:v>VNStock API actual</x:v>
      </x:c>
      <x:c r="N631" s="1032" t="n">
        <x:v>46229.241747685184</x:v>
      </x:c>
    </x:row>
    <x:row r="632">
      <x:c r="A632" s="895" t="n">
        <x:v>45313</x:v>
      </x:c>
      <x:c r="B632" s="898" t="n">
        <x:v>53.59</x:v>
      </x:c>
      <x:c r="C632" s="898" t="n">
        <x:v>54.06</x:v>
      </x:c>
      <x:c r="D632" s="898" t="n">
        <x:v>53.59</x:v>
      </x:c>
      <x:c r="E632" s="898" t="n">
        <x:v>53.75</x:v>
      </x:c>
      <x:c r="F632" s="901" t="n">
        <x:v>598571</x:v>
      </x:c>
      <x:c r="G632" s="904" t="n">
        <x:v>1186.29</x:v>
      </x:c>
      <x:c r="H632" s="904" t="n">
        <x:v>1186.96</x:v>
      </x:c>
      <x:c r="I632" s="904" t="n">
        <x:v>1175.54</x:v>
      </x:c>
      <x:c r="J632" s="904" t="n">
        <x:v>1182.86</x:v>
      </x:c>
      <x:c r="K632" s="901" t="n">
        <x:v>695005662</x:v>
      </x:c>
      <x:c r="L632" s="907" t="str">
        <x:v>SRC-P404</x:v>
      </x:c>
      <x:c r="M632" s="907" t="str">
        <x:v>VNStock API actual</x:v>
      </x:c>
      <x:c r="N632" s="1032" t="n">
        <x:v>46229.241747685184</x:v>
      </x:c>
    </x:row>
    <x:row r="633">
      <x:c r="A633" s="895" t="n">
        <x:v>45314</x:v>
      </x:c>
      <x:c r="B633" s="898" t="n">
        <x:v>53.75</x:v>
      </x:c>
      <x:c r="C633" s="898" t="n">
        <x:v>54.92</x:v>
      </x:c>
      <x:c r="D633" s="898" t="n">
        <x:v>53.75</x:v>
      </x:c>
      <x:c r="E633" s="898" t="n">
        <x:v>54.68</x:v>
      </x:c>
      <x:c r="F633" s="901" t="n">
        <x:v>1039272</x:v>
      </x:c>
      <x:c r="G633" s="904" t="n">
        <x:v>1183.96</x:v>
      </x:c>
      <x:c r="H633" s="904" t="n">
        <x:v>1184.74</x:v>
      </x:c>
      <x:c r="I633" s="904" t="n">
        <x:v>1173.78</x:v>
      </x:c>
      <x:c r="J633" s="904" t="n">
        <x:v>1177.5</x:v>
      </x:c>
      <x:c r="K633" s="901" t="n">
        <x:v>546232894</x:v>
      </x:c>
      <x:c r="L633" s="907" t="str">
        <x:v>SRC-P404</x:v>
      </x:c>
      <x:c r="M633" s="907" t="str">
        <x:v>VNStock API actual</x:v>
      </x:c>
      <x:c r="N633" s="1032" t="n">
        <x:v>46229.241747685184</x:v>
      </x:c>
    </x:row>
    <x:row r="634">
      <x:c r="A634" s="895" t="n">
        <x:v>45315</x:v>
      </x:c>
      <x:c r="B634" s="898" t="n">
        <x:v>54.68</x:v>
      </x:c>
      <x:c r="C634" s="898" t="n">
        <x:v>54.84</x:v>
      </x:c>
      <x:c r="D634" s="898" t="n">
        <x:v>54.29</x:v>
      </x:c>
      <x:c r="E634" s="898" t="n">
        <x:v>54.76</x:v>
      </x:c>
      <x:c r="F634" s="901" t="n">
        <x:v>589257</x:v>
      </x:c>
      <x:c r="G634" s="904" t="n">
        <x:v>1175.58</x:v>
      </x:c>
      <x:c r="H634" s="904" t="n">
        <x:v>1180.3</x:v>
      </x:c>
      <x:c r="I634" s="904" t="n">
        <x:v>1172</x:v>
      </x:c>
      <x:c r="J634" s="904" t="n">
        <x:v>1172.97</x:v>
      </x:c>
      <x:c r="K634" s="901" t="n">
        <x:v>585110178</x:v>
      </x:c>
      <x:c r="L634" s="907" t="str">
        <x:v>SRC-P404</x:v>
      </x:c>
      <x:c r="M634" s="907" t="str">
        <x:v>VNStock API actual</x:v>
      </x:c>
      <x:c r="N634" s="1032" t="n">
        <x:v>46229.241747685184</x:v>
      </x:c>
    </x:row>
    <x:row r="635">
      <x:c r="A635" s="895" t="n">
        <x:v>45316</x:v>
      </x:c>
      <x:c r="B635" s="898" t="n">
        <x:v>54.99</x:v>
      </x:c>
      <x:c r="C635" s="898" t="n">
        <x:v>54.99</x:v>
      </x:c>
      <x:c r="D635" s="898" t="n">
        <x:v>54.21</x:v>
      </x:c>
      <x:c r="E635" s="898" t="n">
        <x:v>54.6</x:v>
      </x:c>
      <x:c r="F635" s="901" t="n">
        <x:v>313529</x:v>
      </x:c>
      <x:c r="G635" s="904" t="n">
        <x:v>1173.58</x:v>
      </x:c>
      <x:c r="H635" s="904" t="n">
        <x:v>1173.83</x:v>
      </x:c>
      <x:c r="I635" s="904" t="n">
        <x:v>1168.5</x:v>
      </x:c>
      <x:c r="J635" s="904" t="n">
        <x:v>1170.37</x:v>
      </x:c>
      <x:c r="K635" s="901" t="n">
        <x:v>432026831</x:v>
      </x:c>
      <x:c r="L635" s="907" t="str">
        <x:v>SRC-P404</x:v>
      </x:c>
      <x:c r="M635" s="907" t="str">
        <x:v>VNStock API actual</x:v>
      </x:c>
      <x:c r="N635" s="1032" t="n">
        <x:v>46229.241747685184</x:v>
      </x:c>
    </x:row>
    <x:row r="636">
      <x:c r="A636" s="895" t="n">
        <x:v>45317</x:v>
      </x:c>
      <x:c r="B636" s="898" t="n">
        <x:v>54.68</x:v>
      </x:c>
      <x:c r="C636" s="898" t="n">
        <x:v>54.99</x:v>
      </x:c>
      <x:c r="D636" s="898" t="n">
        <x:v>54.45</x:v>
      </x:c>
      <x:c r="E636" s="898" t="n">
        <x:v>54.68</x:v>
      </x:c>
      <x:c r="F636" s="901" t="n">
        <x:v>525688</x:v>
      </x:c>
      <x:c r="G636" s="904" t="n">
        <x:v>1173.43</x:v>
      </x:c>
      <x:c r="H636" s="904" t="n">
        <x:v>1176.76</x:v>
      </x:c>
      <x:c r="I636" s="904" t="n">
        <x:v>1173.43</x:v>
      </x:c>
      <x:c r="J636" s="904" t="n">
        <x:v>1175.67</x:v>
      </x:c>
      <x:c r="K636" s="901" t="n">
        <x:v>450059721</x:v>
      </x:c>
      <x:c r="L636" s="907" t="str">
        <x:v>SRC-P404</x:v>
      </x:c>
      <x:c r="M636" s="907" t="str">
        <x:v>VNStock API actual</x:v>
      </x:c>
      <x:c r="N636" s="1032" t="n">
        <x:v>46229.241747685184</x:v>
      </x:c>
    </x:row>
    <x:row r="637">
      <x:c r="A637" s="895" t="n">
        <x:v>45320</x:v>
      </x:c>
      <x:c r="B637" s="898" t="n">
        <x:v>54.76</x:v>
      </x:c>
      <x:c r="C637" s="898" t="n">
        <x:v>54.76</x:v>
      </x:c>
      <x:c r="D637" s="898" t="n">
        <x:v>54.29</x:v>
      </x:c>
      <x:c r="E637" s="898" t="n">
        <x:v>54.6</x:v>
      </x:c>
      <x:c r="F637" s="901" t="n">
        <x:v>370824</x:v>
      </x:c>
      <x:c r="G637" s="904" t="n">
        <x:v>1177.23</x:v>
      </x:c>
      <x:c r="H637" s="904" t="n">
        <x:v>1180.46</x:v>
      </x:c>
      <x:c r="I637" s="904" t="n">
        <x:v>1174.88</x:v>
      </x:c>
      <x:c r="J637" s="904" t="n">
        <x:v>1175.69</x:v>
      </x:c>
      <x:c r="K637" s="901" t="n">
        <x:v>499332696</x:v>
      </x:c>
      <x:c r="L637" s="907" t="str">
        <x:v>SRC-P404</x:v>
      </x:c>
      <x:c r="M637" s="907" t="str">
        <x:v>VNStock API actual</x:v>
      </x:c>
      <x:c r="N637" s="1032" t="n">
        <x:v>46229.241747685184</x:v>
      </x:c>
    </x:row>
    <x:row r="638">
      <x:c r="A638" s="895" t="n">
        <x:v>45321</x:v>
      </x:c>
      <x:c r="B638" s="898" t="n">
        <x:v>54.76</x:v>
      </x:c>
      <x:c r="C638" s="898" t="n">
        <x:v>54.76</x:v>
      </x:c>
      <x:c r="D638" s="898" t="n">
        <x:v>54.21</x:v>
      </x:c>
      <x:c r="E638" s="898" t="n">
        <x:v>54.21</x:v>
      </x:c>
      <x:c r="F638" s="901" t="n">
        <x:v>543481</x:v>
      </x:c>
      <x:c r="G638" s="904" t="n">
        <x:v>1176.02</x:v>
      </x:c>
      <x:c r="H638" s="904" t="n">
        <x:v>1179.92</x:v>
      </x:c>
      <x:c r="I638" s="904" t="n">
        <x:v>1174.13</x:v>
      </x:c>
      <x:c r="J638" s="904" t="n">
        <x:v>1179.65</x:v>
      </x:c>
      <x:c r="K638" s="901" t="n">
        <x:v>522946236</x:v>
      </x:c>
      <x:c r="L638" s="907" t="str">
        <x:v>SRC-P404</x:v>
      </x:c>
      <x:c r="M638" s="907" t="str">
        <x:v>VNStock API actual</x:v>
      </x:c>
      <x:c r="N638" s="1032" t="n">
        <x:v>46229.241747685184</x:v>
      </x:c>
    </x:row>
    <x:row r="639">
      <x:c r="A639" s="895" t="n">
        <x:v>45322</x:v>
      </x:c>
      <x:c r="B639" s="898" t="n">
        <x:v>54.37</x:v>
      </x:c>
      <x:c r="C639" s="898" t="n">
        <x:v>54.37</x:v>
      </x:c>
      <x:c r="D639" s="898" t="n">
        <x:v>52.5</x:v>
      </x:c>
      <x:c r="E639" s="898" t="n">
        <x:v>53.12</x:v>
      </x:c>
      <x:c r="F639" s="901" t="n">
        <x:v>2657561</x:v>
      </x:c>
      <x:c r="G639" s="904" t="n">
        <x:v>1181.62</x:v>
      </x:c>
      <x:c r="H639" s="904" t="n">
        <x:v>1182.53</x:v>
      </x:c>
      <x:c r="I639" s="904" t="n">
        <x:v>1163.13</x:v>
      </x:c>
      <x:c r="J639" s="904" t="n">
        <x:v>1164.31</x:v>
      </x:c>
      <x:c r="K639" s="901" t="n">
        <x:v>955418532</x:v>
      </x:c>
      <x:c r="L639" s="907" t="str">
        <x:v>SRC-P404</x:v>
      </x:c>
      <x:c r="M639" s="907" t="str">
        <x:v>VNStock API actual</x:v>
      </x:c>
      <x:c r="N639" s="1032" t="n">
        <x:v>46229.241747685184</x:v>
      </x:c>
    </x:row>
    <x:row r="640">
      <x:c r="A640" s="895" t="n">
        <x:v>45323</x:v>
      </x:c>
      <x:c r="B640" s="898" t="n">
        <x:v>53.12</x:v>
      </x:c>
      <x:c r="C640" s="898" t="n">
        <x:v>53.82</x:v>
      </x:c>
      <x:c r="D640" s="898" t="n">
        <x:v>53.12</x:v>
      </x:c>
      <x:c r="E640" s="898" t="n">
        <x:v>53.82</x:v>
      </x:c>
      <x:c r="F640" s="901" t="n">
        <x:v>398350</x:v>
      </x:c>
      <x:c r="G640" s="904" t="n">
        <x:v>1162.78</x:v>
      </x:c>
      <x:c r="H640" s="904" t="n">
        <x:v>1174.5</x:v>
      </x:c>
      <x:c r="I640" s="904" t="n">
        <x:v>1162.45</x:v>
      </x:c>
      <x:c r="J640" s="904" t="n">
        <x:v>1173.02</x:v>
      </x:c>
      <x:c r="K640" s="901" t="n">
        <x:v>531547216</x:v>
      </x:c>
      <x:c r="L640" s="907" t="str">
        <x:v>SRC-P404</x:v>
      </x:c>
      <x:c r="M640" s="907" t="str">
        <x:v>VNStock API actual</x:v>
      </x:c>
      <x:c r="N640" s="1032" t="n">
        <x:v>46229.241747685184</x:v>
      </x:c>
    </x:row>
    <x:row r="641">
      <x:c r="A641" s="895" t="n">
        <x:v>45324</x:v>
      </x:c>
      <x:c r="B641" s="898" t="n">
        <x:v>53.98</x:v>
      </x:c>
      <x:c r="C641" s="898" t="n">
        <x:v>53.98</x:v>
      </x:c>
      <x:c r="D641" s="898" t="n">
        <x:v>53.04</x:v>
      </x:c>
      <x:c r="E641" s="898" t="n">
        <x:v>53.67</x:v>
      </x:c>
      <x:c r="F641" s="901" t="n">
        <x:v>898042</x:v>
      </x:c>
      <x:c r="G641" s="904" t="n">
        <x:v>1173.93</x:v>
      </x:c>
      <x:c r="H641" s="904" t="n">
        <x:v>1178.27</x:v>
      </x:c>
      <x:c r="I641" s="904" t="n">
        <x:v>1169.7</x:v>
      </x:c>
      <x:c r="J641" s="904" t="n">
        <x:v>1172.55</x:v>
      </x:c>
      <x:c r="K641" s="901" t="n">
        <x:v>734972309</x:v>
      </x:c>
      <x:c r="L641" s="907" t="str">
        <x:v>SRC-P404</x:v>
      </x:c>
      <x:c r="M641" s="907" t="str">
        <x:v>VNStock API actual</x:v>
      </x:c>
      <x:c r="N641" s="1032" t="n">
        <x:v>46229.241747685184</x:v>
      </x:c>
    </x:row>
    <x:row r="642">
      <x:c r="A642" s="895" t="n">
        <x:v>45327</x:v>
      </x:c>
      <x:c r="B642" s="898" t="n">
        <x:v>53.82</x:v>
      </x:c>
      <x:c r="C642" s="898" t="n">
        <x:v>54.45</x:v>
      </x:c>
      <x:c r="D642" s="898" t="n">
        <x:v>53.43</x:v>
      </x:c>
      <x:c r="E642" s="898" t="n">
        <x:v>53.67</x:v>
      </x:c>
      <x:c r="F642" s="901" t="n">
        <x:v>1058509</x:v>
      </x:c>
      <x:c r="G642" s="904" t="n">
        <x:v>1174.22</x:v>
      </x:c>
      <x:c r="H642" s="904" t="n">
        <x:v>1188.45</x:v>
      </x:c>
      <x:c r="I642" s="904" t="n">
        <x:v>1173.54</x:v>
      </x:c>
      <x:c r="J642" s="904" t="n">
        <x:v>1186.06</x:v>
      </x:c>
      <x:c r="K642" s="901" t="n">
        <x:v>722125440</x:v>
      </x:c>
      <x:c r="L642" s="907" t="str">
        <x:v>SRC-P404</x:v>
      </x:c>
      <x:c r="M642" s="907" t="str">
        <x:v>VNStock API actual</x:v>
      </x:c>
      <x:c r="N642" s="1032" t="n">
        <x:v>46229.241747685184</x:v>
      </x:c>
    </x:row>
    <x:row r="643">
      <x:c r="A643" s="895" t="n">
        <x:v>45328</x:v>
      </x:c>
      <x:c r="B643" s="898" t="n">
        <x:v>53.82</x:v>
      </x:c>
      <x:c r="C643" s="898" t="n">
        <x:v>53.9</x:v>
      </x:c>
      <x:c r="D643" s="898" t="n">
        <x:v>53.28</x:v>
      </x:c>
      <x:c r="E643" s="898" t="n">
        <x:v>53.82</x:v>
      </x:c>
      <x:c r="F643" s="901" t="n">
        <x:v>1005528</x:v>
      </x:c>
      <x:c r="G643" s="904" t="n">
        <x:v>1189.08</x:v>
      </x:c>
      <x:c r="H643" s="904" t="n">
        <x:v>1190.92</x:v>
      </x:c>
      <x:c r="I643" s="904" t="n">
        <x:v>1185.68</x:v>
      </x:c>
      <x:c r="J643" s="904" t="n">
        <x:v>1188.48</x:v>
      </x:c>
      <x:c r="K643" s="901" t="n">
        <x:v>526235527</x:v>
      </x:c>
      <x:c r="L643" s="907" t="str">
        <x:v>SRC-P404</x:v>
      </x:c>
      <x:c r="M643" s="907" t="str">
        <x:v>VNStock API actual</x:v>
      </x:c>
      <x:c r="N643" s="1032" t="n">
        <x:v>46229.241747685184</x:v>
      </x:c>
    </x:row>
    <x:row r="644">
      <x:c r="A644" s="895" t="n">
        <x:v>45329</x:v>
      </x:c>
      <x:c r="B644" s="898" t="n">
        <x:v>53.98</x:v>
      </x:c>
      <x:c r="C644" s="898" t="n">
        <x:v>54.84</x:v>
      </x:c>
      <x:c r="D644" s="898" t="n">
        <x:v>53.9</x:v>
      </x:c>
      <x:c r="E644" s="898" t="n">
        <x:v>54.21</x:v>
      </x:c>
      <x:c r="F644" s="901" t="n">
        <x:v>1060426</x:v>
      </x:c>
      <x:c r="G644" s="904" t="n">
        <x:v>1190.51</x:v>
      </x:c>
      <x:c r="H644" s="904" t="n">
        <x:v>1199.52</x:v>
      </x:c>
      <x:c r="I644" s="904" t="n">
        <x:v>1190.5</x:v>
      </x:c>
      <x:c r="J644" s="904" t="n">
        <x:v>1198.53</x:v>
      </x:c>
      <x:c r="K644" s="901" t="n">
        <x:v>614452225</x:v>
      </x:c>
      <x:c r="L644" s="907" t="str">
        <x:v>SRC-P404</x:v>
      </x:c>
      <x:c r="M644" s="907" t="str">
        <x:v>VNStock API actual</x:v>
      </x:c>
      <x:c r="N644" s="1032" t="n">
        <x:v>46229.241747685184</x:v>
      </x:c>
    </x:row>
    <x:row r="645">
      <x:c r="A645" s="895" t="n">
        <x:v>45337</x:v>
      </x:c>
      <x:c r="B645" s="898" t="n">
        <x:v>54.6</x:v>
      </x:c>
      <x:c r="C645" s="898" t="n">
        <x:v>54.92</x:v>
      </x:c>
      <x:c r="D645" s="898" t="n">
        <x:v>53.98</x:v>
      </x:c>
      <x:c r="E645" s="898" t="n">
        <x:v>54.21</x:v>
      </x:c>
      <x:c r="F645" s="901" t="n">
        <x:v>744942</x:v>
      </x:c>
      <x:c r="G645" s="904" t="n">
        <x:v>1203.08</x:v>
      </x:c>
      <x:c r="H645" s="904" t="n">
        <x:v>1207.56</x:v>
      </x:c>
      <x:c r="I645" s="904" t="n">
        <x:v>1198.81</x:v>
      </x:c>
      <x:c r="J645" s="904" t="n">
        <x:v>1202.5</x:v>
      </x:c>
      <x:c r="K645" s="901" t="n">
        <x:v>784034166</x:v>
      </x:c>
      <x:c r="L645" s="907" t="str">
        <x:v>SRC-P404</x:v>
      </x:c>
      <x:c r="M645" s="907" t="str">
        <x:v>VNStock API actual</x:v>
      </x:c>
      <x:c r="N645" s="1032" t="n">
        <x:v>46229.241747685184</x:v>
      </x:c>
    </x:row>
    <x:row r="646">
      <x:c r="A646" s="895" t="n">
        <x:v>45338</x:v>
      </x:c>
      <x:c r="B646" s="898" t="n">
        <x:v>54.21</x:v>
      </x:c>
      <x:c r="C646" s="898" t="n">
        <x:v>54.53</x:v>
      </x:c>
      <x:c r="D646" s="898" t="n">
        <x:v>53.98</x:v>
      </x:c>
      <x:c r="E646" s="898" t="n">
        <x:v>54.45</x:v>
      </x:c>
      <x:c r="F646" s="901" t="n">
        <x:v>966744</x:v>
      </x:c>
      <x:c r="G646" s="904" t="n">
        <x:v>1204.9</x:v>
      </x:c>
      <x:c r="H646" s="904" t="n">
        <x:v>1210.25</x:v>
      </x:c>
      <x:c r="I646" s="904" t="n">
        <x:v>1204.29</x:v>
      </x:c>
      <x:c r="J646" s="904" t="n">
        <x:v>1209.7</x:v>
      </x:c>
      <x:c r="K646" s="901" t="n">
        <x:v>732603874</x:v>
      </x:c>
      <x:c r="L646" s="907" t="str">
        <x:v>SRC-P404</x:v>
      </x:c>
      <x:c r="M646" s="907" t="str">
        <x:v>VNStock API actual</x:v>
      </x:c>
      <x:c r="N646" s="1032" t="n">
        <x:v>46229.241747685184</x:v>
      </x:c>
    </x:row>
    <x:row r="647">
      <x:c r="A647" s="895" t="n">
        <x:v>45341</x:v>
      </x:c>
      <x:c r="B647" s="898" t="n">
        <x:v>54.68</x:v>
      </x:c>
      <x:c r="C647" s="898" t="n">
        <x:v>55.62</x:v>
      </x:c>
      <x:c r="D647" s="898" t="n">
        <x:v>54.68</x:v>
      </x:c>
      <x:c r="E647" s="898" t="n">
        <x:v>55.15</x:v>
      </x:c>
      <x:c r="F647" s="901" t="n">
        <x:v>2038941</x:v>
      </x:c>
      <x:c r="G647" s="904" t="n">
        <x:v>1213.24</x:v>
      </x:c>
      <x:c r="H647" s="904" t="n">
        <x:v>1225.48</x:v>
      </x:c>
      <x:c r="I647" s="904" t="n">
        <x:v>1212.58</x:v>
      </x:c>
      <x:c r="J647" s="904" t="n">
        <x:v>1224.97</x:v>
      </x:c>
      <x:c r="K647" s="901" t="n">
        <x:v>898027299</x:v>
      </x:c>
      <x:c r="L647" s="907" t="str">
        <x:v>SRC-P404</x:v>
      </x:c>
      <x:c r="M647" s="907" t="str">
        <x:v>VNStock API actual</x:v>
      </x:c>
      <x:c r="N647" s="1032" t="n">
        <x:v>46229.241747685184</x:v>
      </x:c>
    </x:row>
    <x:row r="648">
      <x:c r="A648" s="895" t="n">
        <x:v>45342</x:v>
      </x:c>
      <x:c r="B648" s="898" t="n">
        <x:v>55.38</x:v>
      </x:c>
      <x:c r="C648" s="898" t="n">
        <x:v>56.16</x:v>
      </x:c>
      <x:c r="D648" s="898" t="n">
        <x:v>54.76</x:v>
      </x:c>
      <x:c r="E648" s="898" t="n">
        <x:v>56.16</x:v>
      </x:c>
      <x:c r="F648" s="901" t="n">
        <x:v>1487369</x:v>
      </x:c>
      <x:c r="G648" s="904" t="n">
        <x:v>1227.75</x:v>
      </x:c>
      <x:c r="H648" s="904" t="n">
        <x:v>1230.47</x:v>
      </x:c>
      <x:c r="I648" s="904" t="n">
        <x:v>1222.66</x:v>
      </x:c>
      <x:c r="J648" s="904" t="n">
        <x:v>1230.06</x:v>
      </x:c>
      <x:c r="K648" s="901" t="n">
        <x:v>772746057</x:v>
      </x:c>
      <x:c r="L648" s="907" t="str">
        <x:v>SRC-P404</x:v>
      </x:c>
      <x:c r="M648" s="907" t="str">
        <x:v>VNStock API actual</x:v>
      </x:c>
      <x:c r="N648" s="1032" t="n">
        <x:v>46229.241747685184</x:v>
      </x:c>
    </x:row>
    <x:row r="649">
      <x:c r="A649" s="895" t="n">
        <x:v>45343</x:v>
      </x:c>
      <x:c r="B649" s="898" t="n">
        <x:v>56.09</x:v>
      </x:c>
      <x:c r="C649" s="898" t="n">
        <x:v>56.09</x:v>
      </x:c>
      <x:c r="D649" s="898" t="n">
        <x:v>55.31</x:v>
      </x:c>
      <x:c r="E649" s="898" t="n">
        <x:v>55.93</x:v>
      </x:c>
      <x:c r="F649" s="901" t="n">
        <x:v>960535</x:v>
      </x:c>
      <x:c r="G649" s="904" t="n">
        <x:v>1231.78</x:v>
      </x:c>
      <x:c r="H649" s="904" t="n">
        <x:v>1234.22</x:v>
      </x:c>
      <x:c r="I649" s="904" t="n">
        <x:v>1222.92</x:v>
      </x:c>
      <x:c r="J649" s="904" t="n">
        <x:v>1230.04</x:v>
      </x:c>
      <x:c r="K649" s="901" t="n">
        <x:v>808511856</x:v>
      </x:c>
      <x:c r="L649" s="907" t="str">
        <x:v>SRC-P404</x:v>
      </x:c>
      <x:c r="M649" s="907" t="str">
        <x:v>VNStock API actual</x:v>
      </x:c>
      <x:c r="N649" s="1032" t="n">
        <x:v>46229.241747685184</x:v>
      </x:c>
    </x:row>
    <x:row r="650">
      <x:c r="A650" s="895" t="n">
        <x:v>45344</x:v>
      </x:c>
      <x:c r="B650" s="898" t="n">
        <x:v>56.09</x:v>
      </x:c>
      <x:c r="C650" s="898" t="n">
        <x:v>56.16</x:v>
      </x:c>
      <x:c r="D650" s="898" t="n">
        <x:v>55.07</x:v>
      </x:c>
      <x:c r="E650" s="898" t="n">
        <x:v>55.62</x:v>
      </x:c>
      <x:c r="F650" s="901" t="n">
        <x:v>507471</x:v>
      </x:c>
      <x:c r="G650" s="904" t="n">
        <x:v>1229.85</x:v>
      </x:c>
      <x:c r="H650" s="904" t="n">
        <x:v>1232.09</x:v>
      </x:c>
      <x:c r="I650" s="904" t="n">
        <x:v>1226.15</x:v>
      </x:c>
      <x:c r="J650" s="904" t="n">
        <x:v>1227.31</x:v>
      </x:c>
      <x:c r="K650" s="901" t="n">
        <x:v>740122330</x:v>
      </x:c>
      <x:c r="L650" s="907" t="str">
        <x:v>SRC-P404</x:v>
      </x:c>
      <x:c r="M650" s="907" t="str">
        <x:v>VNStock API actual</x:v>
      </x:c>
      <x:c r="N650" s="1032" t="n">
        <x:v>46229.241747685184</x:v>
      </x:c>
    </x:row>
    <x:row r="651">
      <x:c r="A651" s="895" t="n">
        <x:v>45345</x:v>
      </x:c>
      <x:c r="B651" s="898" t="n">
        <x:v>56.09</x:v>
      </x:c>
      <x:c r="C651" s="898" t="n">
        <x:v>56.09</x:v>
      </x:c>
      <x:c r="D651" s="898" t="n">
        <x:v>54.21</x:v>
      </x:c>
      <x:c r="E651" s="898" t="n">
        <x:v>54.45</x:v>
      </x:c>
      <x:c r="F651" s="901" t="n">
        <x:v>1136963</x:v>
      </x:c>
      <x:c r="G651" s="904" t="n">
        <x:v>1230.3</x:v>
      </x:c>
      <x:c r="H651" s="904" t="n">
        <x:v>1240.81</x:v>
      </x:c>
      <x:c r="I651" s="904" t="n">
        <x:v>1211.55</x:v>
      </x:c>
      <x:c r="J651" s="904" t="n">
        <x:v>1212</x:v>
      </x:c>
      <x:c r="K651" s="901" t="n">
        <x:v>1225443829</x:v>
      </x:c>
      <x:c r="L651" s="907" t="str">
        <x:v>SRC-P404</x:v>
      </x:c>
      <x:c r="M651" s="907" t="str">
        <x:v>VNStock API actual</x:v>
      </x:c>
      <x:c r="N651" s="1032" t="n">
        <x:v>46229.241747685184</x:v>
      </x:c>
    </x:row>
    <x:row r="652">
      <x:c r="A652" s="895" t="n">
        <x:v>45348</x:v>
      </x:c>
      <x:c r="B652" s="898" t="n">
        <x:v>54.6</x:v>
      </x:c>
      <x:c r="C652" s="898" t="n">
        <x:v>58.11</x:v>
      </x:c>
      <x:c r="D652" s="898" t="n">
        <x:v>54.21</x:v>
      </x:c>
      <x:c r="E652" s="898" t="n">
        <x:v>57.8</x:v>
      </x:c>
      <x:c r="F652" s="901" t="n">
        <x:v>3256322</x:v>
      </x:c>
      <x:c r="G652" s="904" t="n">
        <x:v>1212.93</x:v>
      </x:c>
      <x:c r="H652" s="904" t="n">
        <x:v>1225.21</x:v>
      </x:c>
      <x:c r="I652" s="904" t="n">
        <x:v>1210.52</x:v>
      </x:c>
      <x:c r="J652" s="904" t="n">
        <x:v>1224.17</x:v>
      </x:c>
      <x:c r="K652" s="901" t="n">
        <x:v>761367297</x:v>
      </x:c>
      <x:c r="L652" s="907" t="str">
        <x:v>SRC-P404</x:v>
      </x:c>
      <x:c r="M652" s="907" t="str">
        <x:v>VNStock API actual</x:v>
      </x:c>
      <x:c r="N652" s="1032" t="n">
        <x:v>46229.241747685184</x:v>
      </x:c>
    </x:row>
    <x:row r="653">
      <x:c r="A653" s="895" t="n">
        <x:v>45349</x:v>
      </x:c>
      <x:c r="B653" s="898" t="n">
        <x:v>58.66</x:v>
      </x:c>
      <x:c r="C653" s="898" t="n">
        <x:v>58.66</x:v>
      </x:c>
      <x:c r="D653" s="898" t="n">
        <x:v>57.57</x:v>
      </x:c>
      <x:c r="E653" s="898" t="n">
        <x:v>57.8</x:v>
      </x:c>
      <x:c r="F653" s="901" t="n">
        <x:v>1800898</x:v>
      </x:c>
      <x:c r="G653" s="904" t="n">
        <x:v>1228.93</x:v>
      </x:c>
      <x:c r="H653" s="904" t="n">
        <x:v>1237.6</x:v>
      </x:c>
      <x:c r="I653" s="904" t="n">
        <x:v>1226.49</x:v>
      </x:c>
      <x:c r="J653" s="904" t="n">
        <x:v>1237.46</x:v>
      </x:c>
      <x:c r="K653" s="901" t="n">
        <x:v>830495936</x:v>
      </x:c>
      <x:c r="L653" s="907" t="str">
        <x:v>SRC-P404</x:v>
      </x:c>
      <x:c r="M653" s="907" t="str">
        <x:v>VNStock API actual</x:v>
      </x:c>
      <x:c r="N653" s="1032" t="n">
        <x:v>46229.241747685184</x:v>
      </x:c>
    </x:row>
    <x:row r="654">
      <x:c r="A654" s="895" t="n">
        <x:v>45350</x:v>
      </x:c>
      <x:c r="B654" s="898" t="n">
        <x:v>57.96</x:v>
      </x:c>
      <x:c r="C654" s="898" t="n">
        <x:v>59.52</x:v>
      </x:c>
      <x:c r="D654" s="898" t="n">
        <x:v>57.72</x:v>
      </x:c>
      <x:c r="E654" s="898" t="n">
        <x:v>58.5</x:v>
      </x:c>
      <x:c r="F654" s="901" t="n">
        <x:v>1998664</x:v>
      </x:c>
      <x:c r="G654" s="904" t="n">
        <x:v>1241.77</x:v>
      </x:c>
      <x:c r="H654" s="904" t="n">
        <x:v>1254.55</x:v>
      </x:c>
      <x:c r="I654" s="904" t="n">
        <x:v>1236.32</x:v>
      </x:c>
      <x:c r="J654" s="904" t="n">
        <x:v>1254.55</x:v>
      </x:c>
      <x:c r="K654" s="901" t="n">
        <x:v>814346543</x:v>
      </x:c>
      <x:c r="L654" s="907" t="str">
        <x:v>SRC-P404</x:v>
      </x:c>
      <x:c r="M654" s="907" t="str">
        <x:v>VNStock API actual</x:v>
      </x:c>
      <x:c r="N654" s="1032" t="n">
        <x:v>46229.241747685184</x:v>
      </x:c>
    </x:row>
    <x:row r="655">
      <x:c r="A655" s="895" t="n">
        <x:v>45351</x:v>
      </x:c>
      <x:c r="B655" s="898" t="n">
        <x:v>58.82</x:v>
      </x:c>
      <x:c r="C655" s="898" t="n">
        <x:v>59.28</x:v>
      </x:c>
      <x:c r="D655" s="898" t="n">
        <x:v>57.72</x:v>
      </x:c>
      <x:c r="E655" s="898" t="n">
        <x:v>59.28</x:v>
      </x:c>
      <x:c r="F655" s="901" t="n">
        <x:v>1597761</x:v>
      </x:c>
      <x:c r="G655" s="904" t="n">
        <x:v>1259.59</x:v>
      </x:c>
      <x:c r="H655" s="904" t="n">
        <x:v>1264.39</x:v>
      </x:c>
      <x:c r="I655" s="904" t="n">
        <x:v>1247.7</x:v>
      </x:c>
      <x:c r="J655" s="904" t="n">
        <x:v>1252.73</x:v>
      </x:c>
      <x:c r="K655" s="901" t="n">
        <x:v>934494261</x:v>
      </x:c>
      <x:c r="L655" s="907" t="str">
        <x:v>SRC-P404</x:v>
      </x:c>
      <x:c r="M655" s="907" t="str">
        <x:v>VNStock API actual</x:v>
      </x:c>
      <x:c r="N655" s="1032" t="n">
        <x:v>46229.241747685184</x:v>
      </x:c>
    </x:row>
    <x:row r="656">
      <x:c r="A656" s="895" t="n">
        <x:v>45352</x:v>
      </x:c>
      <x:c r="B656" s="898" t="n">
        <x:v>59.6</x:v>
      </x:c>
      <x:c r="C656" s="898" t="n">
        <x:v>63.34</x:v>
      </x:c>
      <x:c r="D656" s="898" t="n">
        <x:v>58.66</x:v>
      </x:c>
      <x:c r="E656" s="898" t="n">
        <x:v>62.79</x:v>
      </x:c>
      <x:c r="F656" s="901" t="n">
        <x:v>2991817</x:v>
      </x:c>
      <x:c r="G656" s="904" t="n">
        <x:v>1256.72</x:v>
      </x:c>
      <x:c r="H656" s="904" t="n">
        <x:v>1258.76</x:v>
      </x:c>
      <x:c r="I656" s="904" t="n">
        <x:v>1247.87</x:v>
      </x:c>
      <x:c r="J656" s="904" t="n">
        <x:v>1258.28</x:v>
      </x:c>
      <x:c r="K656" s="901" t="n">
        <x:v>822115129</x:v>
      </x:c>
      <x:c r="L656" s="907" t="str">
        <x:v>SRC-P404</x:v>
      </x:c>
      <x:c r="M656" s="907" t="str">
        <x:v>VNStock API actual</x:v>
      </x:c>
      <x:c r="N656" s="1032" t="n">
        <x:v>46229.241747685184</x:v>
      </x:c>
    </x:row>
    <x:row r="657">
      <x:c r="A657" s="895" t="n">
        <x:v>45355</x:v>
      </x:c>
      <x:c r="B657" s="898" t="n">
        <x:v>63.65</x:v>
      </x:c>
      <x:c r="C657" s="898" t="n">
        <x:v>63.65</x:v>
      </x:c>
      <x:c r="D657" s="898" t="n">
        <x:v>62.01</x:v>
      </x:c>
      <x:c r="E657" s="898" t="n">
        <x:v>62.72</x:v>
      </x:c>
      <x:c r="F657" s="901" t="n">
        <x:v>2142420</x:v>
      </x:c>
      <x:c r="G657" s="904" t="n">
        <x:v>1264.07</x:v>
      </x:c>
      <x:c r="H657" s="904" t="n">
        <x:v>1268.25</x:v>
      </x:c>
      <x:c r="I657" s="904" t="n">
        <x:v>1256.54</x:v>
      </x:c>
      <x:c r="J657" s="904" t="n">
        <x:v>1261.41</x:v>
      </x:c>
      <x:c r="K657" s="901" t="n">
        <x:v>994011577</x:v>
      </x:c>
      <x:c r="L657" s="907" t="str">
        <x:v>SRC-P404</x:v>
      </x:c>
      <x:c r="M657" s="907" t="str">
        <x:v>VNStock API actual</x:v>
      </x:c>
      <x:c r="N657" s="1032" t="n">
        <x:v>46229.241747685184</x:v>
      </x:c>
    </x:row>
    <x:row r="658">
      <x:c r="A658" s="895" t="n">
        <x:v>45356</x:v>
      </x:c>
      <x:c r="B658" s="898" t="n">
        <x:v>62.72</x:v>
      </x:c>
      <x:c r="C658" s="898" t="n">
        <x:v>62.72</x:v>
      </x:c>
      <x:c r="D658" s="898" t="n">
        <x:v>61.7</x:v>
      </x:c>
      <x:c r="E658" s="898" t="n">
        <x:v>62.4</x:v>
      </x:c>
      <x:c r="F658" s="901" t="n">
        <x:v>1572674</x:v>
      </x:c>
      <x:c r="G658" s="904" t="n">
        <x:v>1262.89</x:v>
      </x:c>
      <x:c r="H658" s="904" t="n">
        <x:v>1269.98</x:v>
      </x:c>
      <x:c r="I658" s="904" t="n">
        <x:v>1257.81</x:v>
      </x:c>
      <x:c r="J658" s="904" t="n">
        <x:v>1269.98</x:v>
      </x:c>
      <x:c r="K658" s="901" t="n">
        <x:v>841821123</x:v>
      </x:c>
      <x:c r="L658" s="907" t="str">
        <x:v>SRC-P404</x:v>
      </x:c>
      <x:c r="M658" s="907" t="str">
        <x:v>VNStock API actual</x:v>
      </x:c>
      <x:c r="N658" s="1032" t="n">
        <x:v>46229.241747685184</x:v>
      </x:c>
    </x:row>
    <x:row r="659">
      <x:c r="A659" s="895" t="n">
        <x:v>45357</x:v>
      </x:c>
      <x:c r="B659" s="898" t="n">
        <x:v>62.25</x:v>
      </x:c>
      <x:c r="C659" s="898" t="n">
        <x:v>62.25</x:v>
      </x:c>
      <x:c r="D659" s="898" t="n">
        <x:v>60.45</x:v>
      </x:c>
      <x:c r="E659" s="898" t="n">
        <x:v>61.47</x:v>
      </x:c>
      <x:c r="F659" s="901" t="n">
        <x:v>2201415</x:v>
      </x:c>
      <x:c r="G659" s="904" t="n">
        <x:v>1269.8</x:v>
      </x:c>
      <x:c r="H659" s="904" t="n">
        <x:v>1277.51</x:v>
      </x:c>
      <x:c r="I659" s="904" t="n">
        <x:v>1256.3</x:v>
      </x:c>
      <x:c r="J659" s="904" t="n">
        <x:v>1262.73</x:v>
      </x:c>
      <x:c r="K659" s="901" t="n">
        <x:v>921251926</x:v>
      </x:c>
      <x:c r="L659" s="907" t="str">
        <x:v>SRC-P404</x:v>
      </x:c>
      <x:c r="M659" s="907" t="str">
        <x:v>VNStock API actual</x:v>
      </x:c>
      <x:c r="N659" s="1032" t="n">
        <x:v>46229.241747685184</x:v>
      </x:c>
    </x:row>
    <x:row r="660">
      <x:c r="A660" s="895" t="n">
        <x:v>45358</x:v>
      </x:c>
      <x:c r="B660" s="898" t="n">
        <x:v>61.47</x:v>
      </x:c>
      <x:c r="C660" s="898" t="n">
        <x:v>62.64</x:v>
      </x:c>
      <x:c r="D660" s="898" t="n">
        <x:v>60.84</x:v>
      </x:c>
      <x:c r="E660" s="898" t="n">
        <x:v>62.4</x:v>
      </x:c>
      <x:c r="F660" s="901" t="n">
        <x:v>2343589</x:v>
      </x:c>
      <x:c r="G660" s="904" t="n">
        <x:v>1263.23</x:v>
      </x:c>
      <x:c r="H660" s="904" t="n">
        <x:v>1269.88</x:v>
      </x:c>
      <x:c r="I660" s="904" t="n">
        <x:v>1260.24</x:v>
      </x:c>
      <x:c r="J660" s="904" t="n">
        <x:v>1268.46</x:v>
      </x:c>
      <x:c r="K660" s="901" t="n">
        <x:v>871614163</x:v>
      </x:c>
      <x:c r="L660" s="907" t="str">
        <x:v>SRC-P404</x:v>
      </x:c>
      <x:c r="M660" s="907" t="str">
        <x:v>VNStock API actual</x:v>
      </x:c>
      <x:c r="N660" s="1032" t="n">
        <x:v>46229.241747685184</x:v>
      </x:c>
    </x:row>
    <x:row r="661">
      <x:c r="A661" s="895" t="n">
        <x:v>45359</x:v>
      </x:c>
      <x:c r="B661" s="898" t="n">
        <x:v>62.4</x:v>
      </x:c>
      <x:c r="C661" s="898" t="n">
        <x:v>62.95</x:v>
      </x:c>
      <x:c r="D661" s="898" t="n">
        <x:v>61</x:v>
      </x:c>
      <x:c r="E661" s="898" t="n">
        <x:v>61.08</x:v>
      </x:c>
      <x:c r="F661" s="901" t="n">
        <x:v>2474412</x:v>
      </x:c>
      <x:c r="G661" s="904" t="n">
        <x:v>1272.62</x:v>
      </x:c>
      <x:c r="H661" s="904" t="n">
        <x:v>1274.3</x:v>
      </x:c>
      <x:c r="I661" s="904" t="n">
        <x:v>1247.35</x:v>
      </x:c>
      <x:c r="J661" s="904" t="n">
        <x:v>1247.35</x:v>
      </x:c>
      <x:c r="K661" s="901" t="n">
        <x:v>1209088843</x:v>
      </x:c>
      <x:c r="L661" s="907" t="str">
        <x:v>SRC-P404</x:v>
      </x:c>
      <x:c r="M661" s="907" t="str">
        <x:v>VNStock API actual</x:v>
      </x:c>
      <x:c r="N661" s="1032" t="n">
        <x:v>46229.241747685184</x:v>
      </x:c>
    </x:row>
    <x:row r="662">
      <x:c r="A662" s="895" t="n">
        <x:v>45362</x:v>
      </x:c>
      <x:c r="B662" s="898" t="n">
        <x:v>61.23</x:v>
      </x:c>
      <x:c r="C662" s="898" t="n">
        <x:v>61.39</x:v>
      </x:c>
      <x:c r="D662" s="898" t="n">
        <x:v>59.13</x:v>
      </x:c>
      <x:c r="E662" s="898" t="n">
        <x:v>60.53</x:v>
      </x:c>
      <x:c r="F662" s="901" t="n">
        <x:v>2381204</x:v>
      </x:c>
      <x:c r="G662" s="904" t="n">
        <x:v>1248.32</x:v>
      </x:c>
      <x:c r="H662" s="904" t="n">
        <x:v>1254.01</x:v>
      </x:c>
      <x:c r="I662" s="904" t="n">
        <x:v>1233.49</x:v>
      </x:c>
      <x:c r="J662" s="904" t="n">
        <x:v>1235.49</x:v>
      </x:c>
      <x:c r="K662" s="901" t="n">
        <x:v>851738710</x:v>
      </x:c>
      <x:c r="L662" s="907" t="str">
        <x:v>SRC-P404</x:v>
      </x:c>
      <x:c r="M662" s="907" t="str">
        <x:v>VNStock API actual</x:v>
      </x:c>
      <x:c r="N662" s="1032" t="n">
        <x:v>46229.241747685184</x:v>
      </x:c>
    </x:row>
    <x:row r="663">
      <x:c r="A663" s="895" t="n">
        <x:v>45363</x:v>
      </x:c>
      <x:c r="B663" s="898" t="n">
        <x:v>60.53</x:v>
      </x:c>
      <x:c r="C663" s="898" t="n">
        <x:v>62.33</x:v>
      </x:c>
      <x:c r="D663" s="898" t="n">
        <x:v>60.06</x:v>
      </x:c>
      <x:c r="E663" s="898" t="n">
        <x:v>61.16</x:v>
      </x:c>
      <x:c r="F663" s="901" t="n">
        <x:v>1870355</x:v>
      </x:c>
      <x:c r="G663" s="904" t="n">
        <x:v>1235.4</x:v>
      </x:c>
      <x:c r="H663" s="904" t="n">
        <x:v>1248.33</x:v>
      </x:c>
      <x:c r="I663" s="904" t="n">
        <x:v>1233.14</x:v>
      </x:c>
      <x:c r="J663" s="904" t="n">
        <x:v>1245</x:v>
      </x:c>
      <x:c r="K663" s="901" t="n">
        <x:v>737689011</x:v>
      </x:c>
      <x:c r="L663" s="907" t="str">
        <x:v>SRC-P404</x:v>
      </x:c>
      <x:c r="M663" s="907" t="str">
        <x:v>VNStock API actual</x:v>
      </x:c>
      <x:c r="N663" s="1032" t="n">
        <x:v>46229.241747685184</x:v>
      </x:c>
    </x:row>
    <x:row r="664">
      <x:c r="A664" s="895" t="n">
        <x:v>45364</x:v>
      </x:c>
      <x:c r="B664" s="898" t="n">
        <x:v>61.86</x:v>
      </x:c>
      <x:c r="C664" s="898" t="n">
        <x:v>64.2</x:v>
      </x:c>
      <x:c r="D664" s="898" t="n">
        <x:v>61.47</x:v>
      </x:c>
      <x:c r="E664" s="898" t="n">
        <x:v>62.87</x:v>
      </x:c>
      <x:c r="F664" s="901" t="n">
        <x:v>2527605</x:v>
      </x:c>
      <x:c r="G664" s="904" t="n">
        <x:v>1250.2</x:v>
      </x:c>
      <x:c r="H664" s="904" t="n">
        <x:v>1270.51</x:v>
      </x:c>
      <x:c r="I664" s="904" t="n">
        <x:v>1247.64</x:v>
      </x:c>
      <x:c r="J664" s="904" t="n">
        <x:v>1270.51</x:v>
      </x:c>
      <x:c r="K664" s="901" t="n">
        <x:v>826474776</x:v>
      </x:c>
      <x:c r="L664" s="907" t="str">
        <x:v>SRC-P404</x:v>
      </x:c>
      <x:c r="M664" s="907" t="str">
        <x:v>VNStock API actual</x:v>
      </x:c>
      <x:c r="N664" s="1032" t="n">
        <x:v>46229.241747685184</x:v>
      </x:c>
    </x:row>
    <x:row r="665">
      <x:c r="A665" s="895" t="n">
        <x:v>45365</x:v>
      </x:c>
      <x:c r="B665" s="898" t="n">
        <x:v>63.73</x:v>
      </x:c>
      <x:c r="C665" s="898" t="n">
        <x:v>64.12</x:v>
      </x:c>
      <x:c r="D665" s="898" t="n">
        <x:v>62.56</x:v>
      </x:c>
      <x:c r="E665" s="898" t="n">
        <x:v>62.87</x:v>
      </x:c>
      <x:c r="F665" s="901" t="n">
        <x:v>1815606</x:v>
      </x:c>
      <x:c r="G665" s="904" t="n">
        <x:v>1276</x:v>
      </x:c>
      <x:c r="H665" s="904" t="n">
        <x:v>1276.41</x:v>
      </x:c>
      <x:c r="I665" s="904" t="n">
        <x:v>1258.67</x:v>
      </x:c>
      <x:c r="J665" s="904" t="n">
        <x:v>1264.26</x:v>
      </x:c>
      <x:c r="K665" s="901" t="n">
        <x:v>963097533</x:v>
      </x:c>
      <x:c r="L665" s="907" t="str">
        <x:v>SRC-P404</x:v>
      </x:c>
      <x:c r="M665" s="907" t="str">
        <x:v>VNStock API actual</x:v>
      </x:c>
      <x:c r="N665" s="1032" t="n">
        <x:v>46229.241747685184</x:v>
      </x:c>
    </x:row>
    <x:row r="666">
      <x:c r="A666" s="895" t="n">
        <x:v>45366</x:v>
      </x:c>
      <x:c r="B666" s="898" t="n">
        <x:v>62.64</x:v>
      </x:c>
      <x:c r="C666" s="898" t="n">
        <x:v>62.79</x:v>
      </x:c>
      <x:c r="D666" s="898" t="n">
        <x:v>61.86</x:v>
      </x:c>
      <x:c r="E666" s="898" t="n">
        <x:v>62.4</x:v>
      </x:c>
      <x:c r="F666" s="901" t="n">
        <x:v>1794924</x:v>
      </x:c>
      <x:c r="G666" s="904" t="n">
        <x:v>1263.76</x:v>
      </x:c>
      <x:c r="H666" s="904" t="n">
        <x:v>1271.63</x:v>
      </x:c>
      <x:c r="I666" s="904" t="n">
        <x:v>1252.36</x:v>
      </x:c>
      <x:c r="J666" s="904" t="n">
        <x:v>1263.78</x:v>
      </x:c>
      <x:c r="K666" s="901" t="n">
        <x:v>956309030</x:v>
      </x:c>
      <x:c r="L666" s="907" t="str">
        <x:v>SRC-P404</x:v>
      </x:c>
      <x:c r="M666" s="907" t="str">
        <x:v>VNStock API actual</x:v>
      </x:c>
      <x:c r="N666" s="1032" t="n">
        <x:v>46229.241747685184</x:v>
      </x:c>
    </x:row>
    <x:row r="667">
      <x:c r="A667" s="895" t="n">
        <x:v>45369</x:v>
      </x:c>
      <x:c r="B667" s="898" t="n">
        <x:v>62.17</x:v>
      </x:c>
      <x:c r="C667" s="898" t="n">
        <x:v>62.17</x:v>
      </x:c>
      <x:c r="D667" s="898" t="n">
        <x:v>58.27</x:v>
      </x:c>
      <x:c r="E667" s="898" t="n">
        <x:v>60.77</x:v>
      </x:c>
      <x:c r="F667" s="901" t="n">
        <x:v>3036602</x:v>
      </x:c>
      <x:c r="G667" s="904" t="n">
        <x:v>1266.11</x:v>
      </x:c>
      <x:c r="H667" s="904" t="n">
        <x:v>1269.9</x:v>
      </x:c>
      <x:c r="I667" s="904" t="n">
        <x:v>1221.67</x:v>
      </x:c>
      <x:c r="J667" s="904" t="n">
        <x:v>1243.56</x:v>
      </x:c>
      <x:c r="K667" s="901" t="n">
        <x:v>1526779911</x:v>
      </x:c>
      <x:c r="L667" s="907" t="str">
        <x:v>SRC-P404</x:v>
      </x:c>
      <x:c r="M667" s="907" t="str">
        <x:v>VNStock API actual</x:v>
      </x:c>
      <x:c r="N667" s="1032" t="n">
        <x:v>46229.241747685184</x:v>
      </x:c>
    </x:row>
    <x:row r="668">
      <x:c r="A668" s="895" t="n">
        <x:v>45370</x:v>
      </x:c>
      <x:c r="B668" s="898" t="n">
        <x:v>60.14</x:v>
      </x:c>
      <x:c r="C668" s="898" t="n">
        <x:v>60.84</x:v>
      </x:c>
      <x:c r="D668" s="898" t="n">
        <x:v>59.28</x:v>
      </x:c>
      <x:c r="E668" s="898" t="n">
        <x:v>60.06</x:v>
      </x:c>
      <x:c r="F668" s="901" t="n">
        <x:v>1983479</x:v>
      </x:c>
      <x:c r="G668" s="904" t="n">
        <x:v>1246.54</x:v>
      </x:c>
      <x:c r="H668" s="904" t="n">
        <x:v>1249.75</x:v>
      </x:c>
      <x:c r="I668" s="904" t="n">
        <x:v>1238.92</x:v>
      </x:c>
      <x:c r="J668" s="904" t="n">
        <x:v>1242.46</x:v>
      </x:c>
      <x:c r="K668" s="901" t="n">
        <x:v>735805803</x:v>
      </x:c>
      <x:c r="L668" s="907" t="str">
        <x:v>SRC-P404</x:v>
      </x:c>
      <x:c r="M668" s="907" t="str">
        <x:v>VNStock API actual</x:v>
      </x:c>
      <x:c r="N668" s="1032" t="n">
        <x:v>46229.241747685184</x:v>
      </x:c>
    </x:row>
    <x:row r="669">
      <x:c r="A669" s="895" t="n">
        <x:v>45371</x:v>
      </x:c>
      <x:c r="B669" s="898" t="n">
        <x:v>60.06</x:v>
      </x:c>
      <x:c r="C669" s="898" t="n">
        <x:v>61.31</x:v>
      </x:c>
      <x:c r="D669" s="898" t="n">
        <x:v>59.52</x:v>
      </x:c>
      <x:c r="E669" s="898" t="n">
        <x:v>60.84</x:v>
      </x:c>
      <x:c r="F669" s="901" t="n">
        <x:v>2052338</x:v>
      </x:c>
      <x:c r="G669" s="904" t="n">
        <x:v>1243.79</x:v>
      </x:c>
      <x:c r="H669" s="904" t="n">
        <x:v>1261.55</x:v>
      </x:c>
      <x:c r="I669" s="904" t="n">
        <x:v>1235.46</x:v>
      </x:c>
      <x:c r="J669" s="904" t="n">
        <x:v>1260.08</x:v>
      </x:c>
      <x:c r="K669" s="901" t="n">
        <x:v>794727033</x:v>
      </x:c>
      <x:c r="L669" s="907" t="str">
        <x:v>SRC-P404</x:v>
      </x:c>
      <x:c r="M669" s="907" t="str">
        <x:v>VNStock API actual</x:v>
      </x:c>
      <x:c r="N669" s="1032" t="n">
        <x:v>46229.241747685184</x:v>
      </x:c>
    </x:row>
    <x:row r="670">
      <x:c r="A670" s="895" t="n">
        <x:v>45372</x:v>
      </x:c>
      <x:c r="B670" s="898" t="n">
        <x:v>62.09</x:v>
      </x:c>
      <x:c r="C670" s="898" t="n">
        <x:v>62.09</x:v>
      </x:c>
      <x:c r="D670" s="898" t="n">
        <x:v>60.53</x:v>
      </x:c>
      <x:c r="E670" s="898" t="n">
        <x:v>61.16</x:v>
      </x:c>
      <x:c r="F670" s="901" t="n">
        <x:v>1022710</x:v>
      </x:c>
      <x:c r="G670" s="904" t="n">
        <x:v>1269.96</x:v>
      </x:c>
      <x:c r="H670" s="904" t="n">
        <x:v>1276.42</x:v>
      </x:c>
      <x:c r="I670" s="904" t="n">
        <x:v>1264.2</x:v>
      </x:c>
      <x:c r="J670" s="904" t="n">
        <x:v>1276.42</x:v>
      </x:c>
      <x:c r="K670" s="901" t="n">
        <x:v>1081588505</x:v>
      </x:c>
      <x:c r="L670" s="907" t="str">
        <x:v>SRC-P404</x:v>
      </x:c>
      <x:c r="M670" s="907" t="str">
        <x:v>VNStock API actual</x:v>
      </x:c>
      <x:c r="N670" s="1032" t="n">
        <x:v>46229.241747685184</x:v>
      </x:c>
    </x:row>
    <x:row r="671">
      <x:c r="A671" s="895" t="n">
        <x:v>45373</x:v>
      </x:c>
      <x:c r="B671" s="898" t="n">
        <x:v>61.62</x:v>
      </x:c>
      <x:c r="C671" s="898" t="n">
        <x:v>61.78</x:v>
      </x:c>
      <x:c r="D671" s="898" t="n">
        <x:v>60.61</x:v>
      </x:c>
      <x:c r="E671" s="898" t="n">
        <x:v>61.31</x:v>
      </x:c>
      <x:c r="F671" s="901" t="n">
        <x:v>1198833</x:v>
      </x:c>
      <x:c r="G671" s="904" t="n">
        <x:v>1281.56</x:v>
      </x:c>
      <x:c r="H671" s="904" t="n">
        <x:v>1291.27</x:v>
      </x:c>
      <x:c r="I671" s="904" t="n">
        <x:v>1276.38</x:v>
      </x:c>
      <x:c r="J671" s="904" t="n">
        <x:v>1281.8</x:v>
      </x:c>
      <x:c r="K671" s="901" t="n">
        <x:v>1111112910</x:v>
      </x:c>
      <x:c r="L671" s="907" t="str">
        <x:v>SRC-P404</x:v>
      </x:c>
      <x:c r="M671" s="907" t="str">
        <x:v>VNStock API actual</x:v>
      </x:c>
      <x:c r="N671" s="1032" t="n">
        <x:v>46229.241747685184</x:v>
      </x:c>
    </x:row>
    <x:row r="672">
      <x:c r="A672" s="895" t="n">
        <x:v>45376</x:v>
      </x:c>
      <x:c r="B672" s="898" t="n">
        <x:v>61.55</x:v>
      </x:c>
      <x:c r="C672" s="898" t="n">
        <x:v>62.09</x:v>
      </x:c>
      <x:c r="D672" s="898" t="n">
        <x:v>60.53</x:v>
      </x:c>
      <x:c r="E672" s="898" t="n">
        <x:v>60.92</x:v>
      </x:c>
      <x:c r="F672" s="901" t="n">
        <x:v>1315130</x:v>
      </x:c>
      <x:c r="G672" s="904" t="n">
        <x:v>1278.86</x:v>
      </x:c>
      <x:c r="H672" s="904" t="n">
        <x:v>1286.84</x:v>
      </x:c>
      <x:c r="I672" s="904" t="n">
        <x:v>1264.51</x:v>
      </x:c>
      <x:c r="J672" s="904" t="n">
        <x:v>1267.86</x:v>
      </x:c>
      <x:c r="K672" s="901" t="n">
        <x:v>1101070678</x:v>
      </x:c>
      <x:c r="L672" s="907" t="str">
        <x:v>SRC-P404</x:v>
      </x:c>
      <x:c r="M672" s="907" t="str">
        <x:v>VNStock API actual</x:v>
      </x:c>
      <x:c r="N672" s="1032" t="n">
        <x:v>46229.241747685184</x:v>
      </x:c>
    </x:row>
    <x:row r="673">
      <x:c r="A673" s="895" t="n">
        <x:v>45377</x:v>
      </x:c>
      <x:c r="B673" s="898" t="n">
        <x:v>60.84</x:v>
      </x:c>
      <x:c r="C673" s="898" t="n">
        <x:v>61.62</x:v>
      </x:c>
      <x:c r="D673" s="898" t="n">
        <x:v>60.61</x:v>
      </x:c>
      <x:c r="E673" s="898" t="n">
        <x:v>61.55</x:v>
      </x:c>
      <x:c r="F673" s="901" t="n">
        <x:v>824745</x:v>
      </x:c>
      <x:c r="G673" s="904" t="n">
        <x:v>1267.95</x:v>
      </x:c>
      <x:c r="H673" s="904" t="n">
        <x:v>1282.5</x:v>
      </x:c>
      <x:c r="I673" s="904" t="n">
        <x:v>1264.42</x:v>
      </x:c>
      <x:c r="J673" s="904" t="n">
        <x:v>1282.21</x:v>
      </x:c>
      <x:c r="K673" s="901" t="n">
        <x:v>813098800</x:v>
      </x:c>
      <x:c r="L673" s="907" t="str">
        <x:v>SRC-P404</x:v>
      </x:c>
      <x:c r="M673" s="907" t="str">
        <x:v>VNStock API actual</x:v>
      </x:c>
      <x:c r="N673" s="1032" t="n">
        <x:v>46229.241747685184</x:v>
      </x:c>
    </x:row>
    <x:row r="674">
      <x:c r="A674" s="895" t="n">
        <x:v>45378</x:v>
      </x:c>
      <x:c r="B674" s="898" t="n">
        <x:v>61.86</x:v>
      </x:c>
      <x:c r="C674" s="898" t="n">
        <x:v>63.18</x:v>
      </x:c>
      <x:c r="D674" s="898" t="n">
        <x:v>61.16</x:v>
      </x:c>
      <x:c r="E674" s="898" t="n">
        <x:v>62.4</x:v>
      </x:c>
      <x:c r="F674" s="901" t="n">
        <x:v>1633544</x:v>
      </x:c>
      <x:c r="G674" s="904" t="n">
        <x:v>1286.34</x:v>
      </x:c>
      <x:c r="H674" s="904" t="n">
        <x:v>1286.72</x:v>
      </x:c>
      <x:c r="I674" s="904" t="n">
        <x:v>1276.95</x:v>
      </x:c>
      <x:c r="J674" s="904" t="n">
        <x:v>1283.09</x:v>
      </x:c>
      <x:c r="K674" s="901" t="n">
        <x:v>754700880</x:v>
      </x:c>
      <x:c r="L674" s="907" t="str">
        <x:v>SRC-P404</x:v>
      </x:c>
      <x:c r="M674" s="907" t="str">
        <x:v>VNStock API actual</x:v>
      </x:c>
      <x:c r="N674" s="1032" t="n">
        <x:v>46229.241747685184</x:v>
      </x:c>
    </x:row>
    <x:row r="675">
      <x:c r="A675" s="895" t="n">
        <x:v>45379</x:v>
      </x:c>
      <x:c r="B675" s="898" t="n">
        <x:v>63.11</x:v>
      </x:c>
      <x:c r="C675" s="898" t="n">
        <x:v>63.11</x:v>
      </x:c>
      <x:c r="D675" s="898" t="n">
        <x:v>61.7</x:v>
      </x:c>
      <x:c r="E675" s="898" t="n">
        <x:v>62.4</x:v>
      </x:c>
      <x:c r="F675" s="901" t="n">
        <x:v>806204</x:v>
      </x:c>
      <x:c r="G675" s="904" t="n">
        <x:v>1293.03</x:v>
      </x:c>
      <x:c r="H675" s="904" t="n">
        <x:v>1293.9</x:v>
      </x:c>
      <x:c r="I675" s="904" t="n">
        <x:v>1285.52</x:v>
      </x:c>
      <x:c r="J675" s="904" t="n">
        <x:v>1290.18</x:v>
      </x:c>
      <x:c r="K675" s="901" t="n">
        <x:v>823626900</x:v>
      </x:c>
      <x:c r="L675" s="907" t="str">
        <x:v>SRC-P404</x:v>
      </x:c>
      <x:c r="M675" s="907" t="str">
        <x:v>VNStock API actual</x:v>
      </x:c>
      <x:c r="N675" s="1032" t="n">
        <x:v>46229.241747685184</x:v>
      </x:c>
    </x:row>
    <x:row r="676">
      <x:c r="A676" s="895" t="n">
        <x:v>45380</x:v>
      </x:c>
      <x:c r="B676" s="898" t="n">
        <x:v>62.56</x:v>
      </x:c>
      <x:c r="C676" s="898" t="n">
        <x:v>62.56</x:v>
      </x:c>
      <x:c r="D676" s="898" t="n">
        <x:v>61.86</x:v>
      </x:c>
      <x:c r="E676" s="898" t="n">
        <x:v>62.17</x:v>
      </x:c>
      <x:c r="F676" s="901" t="n">
        <x:v>671317</x:v>
      </x:c>
      <x:c r="G676" s="904" t="n">
        <x:v>1292.7</x:v>
      </x:c>
      <x:c r="H676" s="904" t="n">
        <x:v>1292.75</x:v>
      </x:c>
      <x:c r="I676" s="904" t="n">
        <x:v>1282.44</x:v>
      </x:c>
      <x:c r="J676" s="904" t="n">
        <x:v>1284.09</x:v>
      </x:c>
      <x:c r="K676" s="901" t="n">
        <x:v>735188003</x:v>
      </x:c>
      <x:c r="L676" s="907" t="str">
        <x:v>SRC-P404</x:v>
      </x:c>
      <x:c r="M676" s="907" t="str">
        <x:v>VNStock API actual</x:v>
      </x:c>
      <x:c r="N676" s="1032" t="n">
        <x:v>46229.241747685184</x:v>
      </x:c>
    </x:row>
    <x:row r="677">
      <x:c r="A677" s="895" t="n">
        <x:v>45383</x:v>
      </x:c>
      <x:c r="B677" s="898" t="n">
        <x:v>62.01</x:v>
      </x:c>
      <x:c r="C677" s="898" t="n">
        <x:v>63.18</x:v>
      </x:c>
      <x:c r="D677" s="898" t="n">
        <x:v>61.62</x:v>
      </x:c>
      <x:c r="E677" s="898" t="n">
        <x:v>62.01</x:v>
      </x:c>
      <x:c r="F677" s="901" t="n">
        <x:v>1179727</x:v>
      </x:c>
      <x:c r="G677" s="904" t="n">
        <x:v>1282.37</x:v>
      </x:c>
      <x:c r="H677" s="904" t="n">
        <x:v>1286.8</x:v>
      </x:c>
      <x:c r="I677" s="904" t="n">
        <x:v>1274.09</x:v>
      </x:c>
      <x:c r="J677" s="904" t="n">
        <x:v>1281.52</x:v>
      </x:c>
      <x:c r="K677" s="901" t="n">
        <x:v>840172566</x:v>
      </x:c>
      <x:c r="L677" s="907" t="str">
        <x:v>SRC-P404</x:v>
      </x:c>
      <x:c r="M677" s="907" t="str">
        <x:v>VNStock API actual</x:v>
      </x:c>
      <x:c r="N677" s="1032" t="n">
        <x:v>46229.241747685184</x:v>
      </x:c>
    </x:row>
    <x:row r="678">
      <x:c r="A678" s="895" t="n">
        <x:v>45384</x:v>
      </x:c>
      <x:c r="B678" s="898" t="n">
        <x:v>62.56</x:v>
      </x:c>
      <x:c r="C678" s="898" t="n">
        <x:v>62.56</x:v>
      </x:c>
      <x:c r="D678" s="898" t="n">
        <x:v>61.7</x:v>
      </x:c>
      <x:c r="E678" s="898" t="n">
        <x:v>62.56</x:v>
      </x:c>
      <x:c r="F678" s="901" t="n">
        <x:v>836548</x:v>
      </x:c>
      <x:c r="G678" s="904" t="n">
        <x:v>1276.38</x:v>
      </x:c>
      <x:c r="H678" s="904" t="n">
        <x:v>1287.04</x:v>
      </x:c>
      <x:c r="I678" s="904" t="n">
        <x:v>1268.48</x:v>
      </x:c>
      <x:c r="J678" s="904" t="n">
        <x:v>1287.04</x:v>
      </x:c>
      <x:c r="K678" s="901" t="n">
        <x:v>956070829</x:v>
      </x:c>
      <x:c r="L678" s="907" t="str">
        <x:v>SRC-P404</x:v>
      </x:c>
      <x:c r="M678" s="907" t="str">
        <x:v>VNStock API actual</x:v>
      </x:c>
      <x:c r="N678" s="1032" t="n">
        <x:v>46229.241747685184</x:v>
      </x:c>
    </x:row>
    <x:row r="679">
      <x:c r="A679" s="895" t="n">
        <x:v>45385</x:v>
      </x:c>
      <x:c r="B679" s="898" t="n">
        <x:v>62.56</x:v>
      </x:c>
      <x:c r="C679" s="898" t="n">
        <x:v>64.98</x:v>
      </x:c>
      <x:c r="D679" s="898" t="n">
        <x:v>62.09</x:v>
      </x:c>
      <x:c r="E679" s="898" t="n">
        <x:v>62.79</x:v>
      </x:c>
      <x:c r="F679" s="901" t="n">
        <x:v>2769758</x:v>
      </x:c>
      <x:c r="G679" s="904" t="n">
        <x:v>1285.3</x:v>
      </x:c>
      <x:c r="H679" s="904" t="n">
        <x:v>1288.99</x:v>
      </x:c>
      <x:c r="I679" s="904" t="n">
        <x:v>1271.47</x:v>
      </x:c>
      <x:c r="J679" s="904" t="n">
        <x:v>1271.47</x:v>
      </x:c>
      <x:c r="K679" s="901" t="n">
        <x:v>947216586</x:v>
      </x:c>
      <x:c r="L679" s="907" t="str">
        <x:v>SRC-P404</x:v>
      </x:c>
      <x:c r="M679" s="907" t="str">
        <x:v>VNStock API actual</x:v>
      </x:c>
      <x:c r="N679" s="1032" t="n">
        <x:v>46229.241747685184</x:v>
      </x:c>
    </x:row>
    <x:row r="680">
      <x:c r="A680" s="895" t="n">
        <x:v>45386</x:v>
      </x:c>
      <x:c r="B680" s="898" t="n">
        <x:v>63.18</x:v>
      </x:c>
      <x:c r="C680" s="898" t="n">
        <x:v>63.18</x:v>
      </x:c>
      <x:c r="D680" s="898" t="n">
        <x:v>61.86</x:v>
      </x:c>
      <x:c r="E680" s="898" t="n">
        <x:v>62.25</x:v>
      </x:c>
      <x:c r="F680" s="901" t="n">
        <x:v>742470</x:v>
      </x:c>
      <x:c r="G680" s="904" t="n">
        <x:v>1271.87</x:v>
      </x:c>
      <x:c r="H680" s="904" t="n">
        <x:v>1277.62</x:v>
      </x:c>
      <x:c r="I680" s="904" t="n">
        <x:v>1265.12</x:v>
      </x:c>
      <x:c r="J680" s="904" t="n">
        <x:v>1268.25</x:v>
      </x:c>
      <x:c r="K680" s="901" t="n">
        <x:v>859418901</x:v>
      </x:c>
      <x:c r="L680" s="907" t="str">
        <x:v>SRC-P404</x:v>
      </x:c>
      <x:c r="M680" s="907" t="str">
        <x:v>VNStock API actual</x:v>
      </x:c>
      <x:c r="N680" s="1032" t="n">
        <x:v>46229.241747685184</x:v>
      </x:c>
    </x:row>
    <x:row r="681">
      <x:c r="A681" s="895" t="n">
        <x:v>45387</x:v>
      </x:c>
      <x:c r="B681" s="898" t="n">
        <x:v>61.86</x:v>
      </x:c>
      <x:c r="C681" s="898" t="n">
        <x:v>62.09</x:v>
      </x:c>
      <x:c r="D681" s="898" t="n">
        <x:v>60.84</x:v>
      </x:c>
      <x:c r="E681" s="898" t="n">
        <x:v>60.84</x:v>
      </x:c>
      <x:c r="F681" s="901" t="n">
        <x:v>1263113</x:v>
      </x:c>
      <x:c r="G681" s="904" t="n">
        <x:v>1258.58</x:v>
      </x:c>
      <x:c r="H681" s="904" t="n">
        <x:v>1265.14</x:v>
      </x:c>
      <x:c r="I681" s="904" t="n">
        <x:v>1253.56</x:v>
      </x:c>
      <x:c r="J681" s="904" t="n">
        <x:v>1255.11</x:v>
      </x:c>
      <x:c r="K681" s="901" t="n">
        <x:v>973835575</x:v>
      </x:c>
      <x:c r="L681" s="907" t="str">
        <x:v>SRC-P404</x:v>
      </x:c>
      <x:c r="M681" s="907" t="str">
        <x:v>VNStock API actual</x:v>
      </x:c>
      <x:c r="N681" s="1032" t="n">
        <x:v>46229.241747685184</x:v>
      </x:c>
    </x:row>
    <x:row r="682">
      <x:c r="A682" s="895" t="n">
        <x:v>45390</x:v>
      </x:c>
      <x:c r="B682" s="898" t="n">
        <x:v>60.92</x:v>
      </x:c>
      <x:c r="C682" s="898" t="n">
        <x:v>61.39</x:v>
      </x:c>
      <x:c r="D682" s="898" t="n">
        <x:v>60.06</x:v>
      </x:c>
      <x:c r="E682" s="898" t="n">
        <x:v>60.45</x:v>
      </x:c>
      <x:c r="F682" s="901" t="n">
        <x:v>909669</x:v>
      </x:c>
      <x:c r="G682" s="904" t="n">
        <x:v>1255.37</x:v>
      </x:c>
      <x:c r="H682" s="904" t="n">
        <x:v>1258.4</x:v>
      </x:c>
      <x:c r="I682" s="904" t="n">
        <x:v>1246.87</x:v>
      </x:c>
      <x:c r="J682" s="904" t="n">
        <x:v>1250.35</x:v>
      </x:c>
      <x:c r="K682" s="901" t="n">
        <x:v>733082694</x:v>
      </x:c>
      <x:c r="L682" s="907" t="str">
        <x:v>SRC-P404</x:v>
      </x:c>
      <x:c r="M682" s="907" t="str">
        <x:v>VNStock API actual</x:v>
      </x:c>
      <x:c r="N682" s="1032" t="n">
        <x:v>46229.241747685184</x:v>
      </x:c>
    </x:row>
    <x:row r="683">
      <x:c r="A683" s="895" t="n">
        <x:v>45391</x:v>
      </x:c>
      <x:c r="B683" s="898" t="n">
        <x:v>61.08</x:v>
      </x:c>
      <x:c r="C683" s="898" t="n">
        <x:v>61.31</x:v>
      </x:c>
      <x:c r="D683" s="898" t="n">
        <x:v>60.38</x:v>
      </x:c>
      <x:c r="E683" s="898" t="n">
        <x:v>61.31</x:v>
      </x:c>
      <x:c r="F683" s="901" t="n">
        <x:v>650121</x:v>
      </x:c>
      <x:c r="G683" s="904" t="n">
        <x:v>1252.4</x:v>
      </x:c>
      <x:c r="H683" s="904" t="n">
        <x:v>1262.82</x:v>
      </x:c>
      <x:c r="I683" s="904" t="n">
        <x:v>1247.7</x:v>
      </x:c>
      <x:c r="J683" s="904" t="n">
        <x:v>1262.82</x:v>
      </x:c>
      <x:c r="K683" s="901" t="n">
        <x:v>596807326</x:v>
      </x:c>
      <x:c r="L683" s="907" t="str">
        <x:v>SRC-P404</x:v>
      </x:c>
      <x:c r="M683" s="907" t="str">
        <x:v>VNStock API actual</x:v>
      </x:c>
      <x:c r="N683" s="1032" t="n">
        <x:v>46229.241747685184</x:v>
      </x:c>
    </x:row>
    <x:row r="684">
      <x:c r="A684" s="895" t="n">
        <x:v>45392</x:v>
      </x:c>
      <x:c r="B684" s="898" t="n">
        <x:v>61.39</x:v>
      </x:c>
      <x:c r="C684" s="898" t="n">
        <x:v>62.33</x:v>
      </x:c>
      <x:c r="D684" s="898" t="n">
        <x:v>61.08</x:v>
      </x:c>
      <x:c r="E684" s="898" t="n">
        <x:v>61.62</x:v>
      </x:c>
      <x:c r="F684" s="901" t="n">
        <x:v>902206</x:v>
      </x:c>
      <x:c r="G684" s="904" t="n">
        <x:v>1266.48</x:v>
      </x:c>
      <x:c r="H684" s="904" t="n">
        <x:v>1268.72</x:v>
      </x:c>
      <x:c r="I684" s="904" t="n">
        <x:v>1258.56</x:v>
      </x:c>
      <x:c r="J684" s="904" t="n">
        <x:v>1258.56</x:v>
      </x:c>
      <x:c r="K684" s="901" t="n">
        <x:v>586647926</x:v>
      </x:c>
      <x:c r="L684" s="907" t="str">
        <x:v>SRC-P404</x:v>
      </x:c>
      <x:c r="M684" s="907" t="str">
        <x:v>VNStock API actual</x:v>
      </x:c>
      <x:c r="N684" s="1032" t="n">
        <x:v>46229.241747685184</x:v>
      </x:c>
    </x:row>
    <x:row r="685">
      <x:c r="A685" s="895" t="n">
        <x:v>45393</x:v>
      </x:c>
      <x:c r="B685" s="898" t="n">
        <x:v>60.45</x:v>
      </x:c>
      <x:c r="C685" s="898" t="n">
        <x:v>61.86</x:v>
      </x:c>
      <x:c r="D685" s="898" t="n">
        <x:v>60.45</x:v>
      </x:c>
      <x:c r="E685" s="898" t="n">
        <x:v>61.86</x:v>
      </x:c>
      <x:c r="F685" s="901" t="n">
        <x:v>644525</x:v>
      </x:c>
      <x:c r="G685" s="904" t="n">
        <x:v>1249.88</x:v>
      </x:c>
      <x:c r="H685" s="904" t="n">
        <x:v>1262.03</x:v>
      </x:c>
      <x:c r="I685" s="904" t="n">
        <x:v>1248.11</x:v>
      </x:c>
      <x:c r="J685" s="904" t="n">
        <x:v>1258.2</x:v>
      </x:c>
      <x:c r="K685" s="901" t="n">
        <x:v>592127537</x:v>
      </x:c>
      <x:c r="L685" s="907" t="str">
        <x:v>SRC-P404</x:v>
      </x:c>
      <x:c r="M685" s="907" t="str">
        <x:v>VNStock API actual</x:v>
      </x:c>
      <x:c r="N685" s="1032" t="n">
        <x:v>46229.241747685184</x:v>
      </x:c>
    </x:row>
    <x:row r="686">
      <x:c r="A686" s="895" t="n">
        <x:v>45394</x:v>
      </x:c>
      <x:c r="B686" s="898" t="n">
        <x:v>62.48</x:v>
      </x:c>
      <x:c r="C686" s="898" t="n">
        <x:v>64.28</x:v>
      </x:c>
      <x:c r="D686" s="898" t="n">
        <x:v>62.01</x:v>
      </x:c>
      <x:c r="E686" s="898" t="n">
        <x:v>63.73</x:v>
      </x:c>
      <x:c r="F686" s="901" t="n">
        <x:v>2691067</x:v>
      </x:c>
      <x:c r="G686" s="904" t="n">
        <x:v>1262.96</x:v>
      </x:c>
      <x:c r="H686" s="904" t="n">
        <x:v>1278.39</x:v>
      </x:c>
      <x:c r="I686" s="904" t="n">
        <x:v>1259.5</x:v>
      </x:c>
      <x:c r="J686" s="904" t="n">
        <x:v>1276.6</x:v>
      </x:c>
      <x:c r="K686" s="901" t="n">
        <x:v>650322212</x:v>
      </x:c>
      <x:c r="L686" s="907" t="str">
        <x:v>SRC-P404</x:v>
      </x:c>
      <x:c r="M686" s="907" t="str">
        <x:v>VNStock API actual</x:v>
      </x:c>
      <x:c r="N686" s="1032" t="n">
        <x:v>46229.241747685184</x:v>
      </x:c>
    </x:row>
    <x:row r="687">
      <x:c r="A687" s="895" t="n">
        <x:v>45397</x:v>
      </x:c>
      <x:c r="B687" s="898" t="n">
        <x:v>63.26</x:v>
      </x:c>
      <x:c r="C687" s="898" t="n">
        <x:v>64.2</x:v>
      </x:c>
      <x:c r="D687" s="898" t="n">
        <x:v>60.06</x:v>
      </x:c>
      <x:c r="E687" s="898" t="n">
        <x:v>61.08</x:v>
      </x:c>
      <x:c r="F687" s="901" t="n">
        <x:v>1962697</x:v>
      </x:c>
      <x:c r="G687" s="904" t="n">
        <x:v>1274.02</x:v>
      </x:c>
      <x:c r="H687" s="904" t="n">
        <x:v>1281.81</x:v>
      </x:c>
      <x:c r="I687" s="904" t="n">
        <x:v>1216.61</x:v>
      </x:c>
      <x:c r="J687" s="904" t="n">
        <x:v>1216.61</x:v>
      </x:c>
      <x:c r="K687" s="901" t="n">
        <x:v>1236066802</x:v>
      </x:c>
      <x:c r="L687" s="907" t="str">
        <x:v>SRC-P404</x:v>
      </x:c>
      <x:c r="M687" s="907" t="str">
        <x:v>VNStock API actual</x:v>
      </x:c>
      <x:c r="N687" s="1032" t="n">
        <x:v>46229.241747685184</x:v>
      </x:c>
    </x:row>
    <x:row r="688">
      <x:c r="A688" s="895" t="n">
        <x:v>45398</x:v>
      </x:c>
      <x:c r="B688" s="898" t="n">
        <x:v>61.08</x:v>
      </x:c>
      <x:c r="C688" s="898" t="n">
        <x:v>61.62</x:v>
      </x:c>
      <x:c r="D688" s="898" t="n">
        <x:v>59.75</x:v>
      </x:c>
      <x:c r="E688" s="898" t="n">
        <x:v>61.16</x:v>
      </x:c>
      <x:c r="F688" s="901" t="n">
        <x:v>2020997</x:v>
      </x:c>
      <x:c r="G688" s="904" t="n">
        <x:v>1218.64</x:v>
      </x:c>
      <x:c r="H688" s="904" t="n">
        <x:v>1222.45</x:v>
      </x:c>
      <x:c r="I688" s="904" t="n">
        <x:v>1191.73</x:v>
      </x:c>
      <x:c r="J688" s="904" t="n">
        <x:v>1215.68</x:v>
      </x:c>
      <x:c r="K688" s="901" t="n">
        <x:v>1143433408</x:v>
      </x:c>
      <x:c r="L688" s="907" t="str">
        <x:v>SRC-P404</x:v>
      </x:c>
      <x:c r="M688" s="907" t="str">
        <x:v>VNStock API actual</x:v>
      </x:c>
      <x:c r="N688" s="1032" t="n">
        <x:v>46229.241747685184</x:v>
      </x:c>
    </x:row>
    <x:row r="689">
      <x:c r="A689" s="895" t="n">
        <x:v>45399</x:v>
      </x:c>
      <x:c r="B689" s="898" t="n">
        <x:v>61.62</x:v>
      </x:c>
      <x:c r="C689" s="898" t="n">
        <x:v>63.42</x:v>
      </x:c>
      <x:c r="D689" s="898" t="n">
        <x:v>61.55</x:v>
      </x:c>
      <x:c r="E689" s="898" t="n">
        <x:v>62.79</x:v>
      </x:c>
      <x:c r="F689" s="901" t="n">
        <x:v>3456860</x:v>
      </x:c>
      <x:c r="G689" s="904" t="n">
        <x:v>1221.47</x:v>
      </x:c>
      <x:c r="H689" s="904" t="n">
        <x:v>1221.47</x:v>
      </x:c>
      <x:c r="I689" s="904" t="n">
        <x:v>1193.01</x:v>
      </x:c>
      <x:c r="J689" s="904" t="n">
        <x:v>1193.01</x:v>
      </x:c>
      <x:c r="K689" s="901" t="n">
        <x:v>708176858</x:v>
      </x:c>
      <x:c r="L689" s="907" t="str">
        <x:v>SRC-P404</x:v>
      </x:c>
      <x:c r="M689" s="907" t="str">
        <x:v>VNStock API actual</x:v>
      </x:c>
      <x:c r="N689" s="1032" t="n">
        <x:v>46229.241747685184</x:v>
      </x:c>
    </x:row>
    <x:row r="690">
      <x:c r="A690" s="895" t="n">
        <x:v>45401</x:v>
      </x:c>
      <x:c r="B690" s="898" t="n">
        <x:v>62.4</x:v>
      </x:c>
      <x:c r="C690" s="898" t="n">
        <x:v>63.03</x:v>
      </x:c>
      <x:c r="D690" s="898" t="n">
        <x:v>61.16</x:v>
      </x:c>
      <x:c r="E690" s="898" t="n">
        <x:v>62.4</x:v>
      </x:c>
      <x:c r="F690" s="901" t="n">
        <x:v>1665237</x:v>
      </x:c>
      <x:c r="G690" s="904" t="n">
        <x:v>1180.87</x:v>
      </x:c>
      <x:c r="H690" s="904" t="n">
        <x:v>1190.96</x:v>
      </x:c>
      <x:c r="I690" s="904" t="n">
        <x:v>1165.99</x:v>
      </x:c>
      <x:c r="J690" s="904" t="n">
        <x:v>1174.85</x:v>
      </x:c>
      <x:c r="K690" s="901" t="n">
        <x:v>951223870</x:v>
      </x:c>
      <x:c r="L690" s="907" t="str">
        <x:v>SRC-P404</x:v>
      </x:c>
      <x:c r="M690" s="907" t="str">
        <x:v>VNStock API actual</x:v>
      </x:c>
      <x:c r="N690" s="1032" t="n">
        <x:v>46229.241747685184</x:v>
      </x:c>
    </x:row>
    <x:row r="691">
      <x:c r="A691" s="895" t="n">
        <x:v>45404</x:v>
      </x:c>
      <x:c r="B691" s="898" t="n">
        <x:v>63.18</x:v>
      </x:c>
      <x:c r="C691" s="898" t="n">
        <x:v>63.18</x:v>
      </x:c>
      <x:c r="D691" s="898" t="n">
        <x:v>62.01</x:v>
      </x:c>
      <x:c r="E691" s="898" t="n">
        <x:v>62.25</x:v>
      </x:c>
      <x:c r="F691" s="901" t="n">
        <x:v>865182</x:v>
      </x:c>
      <x:c r="G691" s="904" t="n">
        <x:v>1183.77</x:v>
      </x:c>
      <x:c r="H691" s="904" t="n">
        <x:v>1193.88</x:v>
      </x:c>
      <x:c r="I691" s="904" t="n">
        <x:v>1181.13</x:v>
      </x:c>
      <x:c r="J691" s="904" t="n">
        <x:v>1190.22</x:v>
      </x:c>
      <x:c r="K691" s="901" t="n">
        <x:v>569603122</x:v>
      </x:c>
      <x:c r="L691" s="907" t="str">
        <x:v>SRC-P404</x:v>
      </x:c>
      <x:c r="M691" s="907" t="str">
        <x:v>VNStock API actual</x:v>
      </x:c>
      <x:c r="N691" s="1032" t="n">
        <x:v>46229.241747685184</x:v>
      </x:c>
    </x:row>
    <x:row r="692">
      <x:c r="A692" s="895" t="n">
        <x:v>45405</x:v>
      </x:c>
      <x:c r="B692" s="898" t="n">
        <x:v>62.79</x:v>
      </x:c>
      <x:c r="C692" s="898" t="n">
        <x:v>62.79</x:v>
      </x:c>
      <x:c r="D692" s="898" t="n">
        <x:v>60.61</x:v>
      </x:c>
      <x:c r="E692" s="898" t="n">
        <x:v>61.62</x:v>
      </x:c>
      <x:c r="F692" s="901" t="n">
        <x:v>1653204</x:v>
      </x:c>
      <x:c r="G692" s="904" t="n">
        <x:v>1190.56</x:v>
      </x:c>
      <x:c r="H692" s="904" t="n">
        <x:v>1192.8</x:v>
      </x:c>
      <x:c r="I692" s="904" t="n">
        <x:v>1169.61</x:v>
      </x:c>
      <x:c r="J692" s="904" t="n">
        <x:v>1177.4</x:v>
      </x:c>
      <x:c r="K692" s="901" t="n">
        <x:v>616867057</x:v>
      </x:c>
      <x:c r="L692" s="907" t="str">
        <x:v>SRC-P404</x:v>
      </x:c>
      <x:c r="M692" s="907" t="str">
        <x:v>VNStock API actual</x:v>
      </x:c>
      <x:c r="N692" s="1032" t="n">
        <x:v>46229.241747685184</x:v>
      </x:c>
    </x:row>
    <x:row r="693">
      <x:c r="A693" s="895" t="n">
        <x:v>45406</x:v>
      </x:c>
      <x:c r="B693" s="898" t="n">
        <x:v>61.86</x:v>
      </x:c>
      <x:c r="C693" s="898" t="n">
        <x:v>63.42</x:v>
      </x:c>
      <x:c r="D693" s="898" t="n">
        <x:v>61.23</x:v>
      </x:c>
      <x:c r="E693" s="898" t="n">
        <x:v>63.42</x:v>
      </x:c>
      <x:c r="F693" s="901" t="n">
        <x:v>2056701</x:v>
      </x:c>
      <x:c r="G693" s="904" t="n">
        <x:v>1186.47</x:v>
      </x:c>
      <x:c r="H693" s="904" t="n">
        <x:v>1207.61</x:v>
      </x:c>
      <x:c r="I693" s="904" t="n">
        <x:v>1185.13</x:v>
      </x:c>
      <x:c r="J693" s="904" t="n">
        <x:v>1205.61</x:v>
      </x:c>
      <x:c r="K693" s="901" t="n">
        <x:v>628027496</x:v>
      </x:c>
      <x:c r="L693" s="907" t="str">
        <x:v>SRC-P404</x:v>
      </x:c>
      <x:c r="M693" s="907" t="str">
        <x:v>VNStock API actual</x:v>
      </x:c>
      <x:c r="N693" s="1032" t="n">
        <x:v>46229.241747685184</x:v>
      </x:c>
    </x:row>
    <x:row r="694">
      <x:c r="A694" s="895" t="n">
        <x:v>45407</x:v>
      </x:c>
      <x:c r="B694" s="898" t="n">
        <x:v>63.57</x:v>
      </x:c>
      <x:c r="C694" s="898" t="n">
        <x:v>63.57</x:v>
      </x:c>
      <x:c r="D694" s="898" t="n">
        <x:v>62.48</x:v>
      </x:c>
      <x:c r="E694" s="898" t="n">
        <x:v>63.5</x:v>
      </x:c>
      <x:c r="F694" s="901" t="n">
        <x:v>1285414</x:v>
      </x:c>
      <x:c r="G694" s="904" t="n">
        <x:v>1206.25</x:v>
      </x:c>
      <x:c r="H694" s="904" t="n">
        <x:v>1208.41</x:v>
      </x:c>
      <x:c r="I694" s="904" t="n">
        <x:v>1200.21</x:v>
      </x:c>
      <x:c r="J694" s="904" t="n">
        <x:v>1204.97</x:v>
      </x:c>
      <x:c r="K694" s="901" t="n">
        <x:v>438347889</x:v>
      </x:c>
      <x:c r="L694" s="907" t="str">
        <x:v>SRC-P404</x:v>
      </x:c>
      <x:c r="M694" s="907" t="str">
        <x:v>VNStock API actual</x:v>
      </x:c>
      <x:c r="N694" s="1032" t="n">
        <x:v>46229.241747685184</x:v>
      </x:c>
    </x:row>
    <x:row r="695">
      <x:c r="A695" s="895" t="n">
        <x:v>45408</x:v>
      </x:c>
      <x:c r="B695" s="898" t="n">
        <x:v>63.5</x:v>
      </x:c>
      <x:c r="C695" s="898" t="n">
        <x:v>67.47</x:v>
      </x:c>
      <x:c r="D695" s="898" t="n">
        <x:v>63.03</x:v>
      </x:c>
      <x:c r="E695" s="898" t="n">
        <x:v>65.68</x:v>
      </x:c>
      <x:c r="F695" s="901" t="n">
        <x:v>5626362</x:v>
      </x:c>
      <x:c r="G695" s="904" t="n">
        <x:v>1199.83</x:v>
      </x:c>
      <x:c r="H695" s="904" t="n">
        <x:v>1216.6</x:v>
      </x:c>
      <x:c r="I695" s="904" t="n">
        <x:v>1198.73</x:v>
      </x:c>
      <x:c r="J695" s="904" t="n">
        <x:v>1209.52</x:v>
      </x:c>
      <x:c r="K695" s="901" t="n">
        <x:v>513292300</x:v>
      </x:c>
      <x:c r="L695" s="907" t="str">
        <x:v>SRC-P404</x:v>
      </x:c>
      <x:c r="M695" s="907" t="str">
        <x:v>VNStock API actual</x:v>
      </x:c>
      <x:c r="N695" s="1032" t="n">
        <x:v>46229.241747685184</x:v>
      </x:c>
    </x:row>
    <x:row r="696">
      <x:c r="A696" s="895" t="n">
        <x:v>45414</x:v>
      </x:c>
      <x:c r="B696" s="898" t="n">
        <x:v>66.15</x:v>
      </x:c>
      <x:c r="C696" s="898" t="n">
        <x:v>66.15</x:v>
      </x:c>
      <x:c r="D696" s="898" t="n">
        <x:v>64.98</x:v>
      </x:c>
      <x:c r="E696" s="898" t="n">
        <x:v>65.68</x:v>
      </x:c>
      <x:c r="F696" s="901" t="n">
        <x:v>1654622</x:v>
      </x:c>
      <x:c r="G696" s="904" t="n">
        <x:v>1212.13</x:v>
      </x:c>
      <x:c r="H696" s="904" t="n">
        <x:v>1216.36</x:v>
      </x:c>
      <x:c r="I696" s="904" t="n">
        <x:v>1206.28</x:v>
      </x:c>
      <x:c r="J696" s="904" t="n">
        <x:v>1216.36</x:v>
      </x:c>
      <x:c r="K696" s="901" t="n">
        <x:v>467466790</x:v>
      </x:c>
      <x:c r="L696" s="907" t="str">
        <x:v>SRC-P404</x:v>
      </x:c>
      <x:c r="M696" s="907" t="str">
        <x:v>VNStock API actual</x:v>
      </x:c>
      <x:c r="N696" s="1032" t="n">
        <x:v>46229.241747685184</x:v>
      </x:c>
    </x:row>
    <x:row r="697">
      <x:c r="A697" s="895" t="n">
        <x:v>45415</x:v>
      </x:c>
      <x:c r="B697" s="898" t="n">
        <x:v>66.3</x:v>
      </x:c>
      <x:c r="C697" s="898" t="n">
        <x:v>66.69</x:v>
      </x:c>
      <x:c r="D697" s="898" t="n">
        <x:v>64.35</x:v>
      </x:c>
      <x:c r="E697" s="898" t="n">
        <x:v>66.69</x:v>
      </x:c>
      <x:c r="F697" s="901" t="n">
        <x:v>4047102</x:v>
      </x:c>
      <x:c r="G697" s="904" t="n">
        <x:v>1222.54</x:v>
      </x:c>
      <x:c r="H697" s="904" t="n">
        <x:v>1225.75</x:v>
      </x:c>
      <x:c r="I697" s="904" t="n">
        <x:v>1218.33</x:v>
      </x:c>
      <x:c r="J697" s="904" t="n">
        <x:v>1221.03</x:v>
      </x:c>
      <x:c r="K697" s="901" t="n">
        <x:v>524649967</x:v>
      </x:c>
      <x:c r="L697" s="907" t="str">
        <x:v>SRC-P404</x:v>
      </x:c>
      <x:c r="M697" s="907" t="str">
        <x:v>VNStock API actual</x:v>
      </x:c>
      <x:c r="N697" s="1032" t="n">
        <x:v>46229.241747685184</x:v>
      </x:c>
    </x:row>
    <x:row r="698">
      <x:c r="A698" s="895" t="n">
        <x:v>45418</x:v>
      </x:c>
      <x:c r="B698" s="898" t="n">
        <x:v>66.54</x:v>
      </x:c>
      <x:c r="C698" s="898" t="n">
        <x:v>66.54</x:v>
      </x:c>
      <x:c r="D698" s="898" t="n">
        <x:v>65.29</x:v>
      </x:c>
      <x:c r="E698" s="898" t="n">
        <x:v>65.68</x:v>
      </x:c>
      <x:c r="F698" s="901" t="n">
        <x:v>1675786</x:v>
      </x:c>
      <x:c r="G698" s="904" t="n">
        <x:v>1226.89</x:v>
      </x:c>
      <x:c r="H698" s="904" t="n">
        <x:v>1241.58</x:v>
      </x:c>
      <x:c r="I698" s="904" t="n">
        <x:v>1224.22</x:v>
      </x:c>
      <x:c r="J698" s="904" t="n">
        <x:v>1241.58</x:v>
      </x:c>
      <x:c r="K698" s="901" t="n">
        <x:v>625588584</x:v>
      </x:c>
      <x:c r="L698" s="907" t="str">
        <x:v>SRC-P404</x:v>
      </x:c>
      <x:c r="M698" s="907" t="str">
        <x:v>VNStock API actual</x:v>
      </x:c>
      <x:c r="N698" s="1032" t="n">
        <x:v>46229.241747685184</x:v>
      </x:c>
    </x:row>
    <x:row r="699">
      <x:c r="A699" s="895" t="n">
        <x:v>45419</x:v>
      </x:c>
      <x:c r="B699" s="898" t="n">
        <x:v>65.76</x:v>
      </x:c>
      <x:c r="C699" s="898" t="n">
        <x:v>68.25</x:v>
      </x:c>
      <x:c r="D699" s="898" t="n">
        <x:v>64.98</x:v>
      </x:c>
      <x:c r="E699" s="898" t="n">
        <x:v>66.07</x:v>
      </x:c>
      <x:c r="F699" s="901" t="n">
        <x:v>2710611</x:v>
      </x:c>
      <x:c r="G699" s="904" t="n">
        <x:v>1245.5</x:v>
      </x:c>
      <x:c r="H699" s="904" t="n">
        <x:v>1250.63</x:v>
      </x:c>
      <x:c r="I699" s="904" t="n">
        <x:v>1240.09</x:v>
      </x:c>
      <x:c r="J699" s="904" t="n">
        <x:v>1248.63</x:v>
      </x:c>
      <x:c r="K699" s="901" t="n">
        <x:v>550898676</x:v>
      </x:c>
      <x:c r="L699" s="907" t="str">
        <x:v>SRC-P404</x:v>
      </x:c>
      <x:c r="M699" s="907" t="str">
        <x:v>VNStock API actual</x:v>
      </x:c>
      <x:c r="N699" s="1032" t="n">
        <x:v>46229.241747685184</x:v>
      </x:c>
    </x:row>
    <x:row r="700">
      <x:c r="A700" s="895" t="n">
        <x:v>45420</x:v>
      </x:c>
      <x:c r="B700" s="898" t="n">
        <x:v>65.52</x:v>
      </x:c>
      <x:c r="C700" s="898" t="n">
        <x:v>67.01</x:v>
      </x:c>
      <x:c r="D700" s="898" t="n">
        <x:v>65.13</x:v>
      </x:c>
      <x:c r="E700" s="898" t="n">
        <x:v>66.23</x:v>
      </x:c>
      <x:c r="F700" s="901" t="n">
        <x:v>1889590</x:v>
      </x:c>
      <x:c r="G700" s="904" t="n">
        <x:v>1243.61</x:v>
      </x:c>
      <x:c r="H700" s="904" t="n">
        <x:v>1251.62</x:v>
      </x:c>
      <x:c r="I700" s="904" t="n">
        <x:v>1234.76</x:v>
      </x:c>
      <x:c r="J700" s="904" t="n">
        <x:v>1250.46</x:v>
      </x:c>
      <x:c r="K700" s="901" t="n">
        <x:v>770816040</x:v>
      </x:c>
      <x:c r="L700" s="907" t="str">
        <x:v>SRC-P404</x:v>
      </x:c>
      <x:c r="M700" s="907" t="str">
        <x:v>VNStock API actual</x:v>
      </x:c>
      <x:c r="N700" s="1032" t="n">
        <x:v>46229.241747685184</x:v>
      </x:c>
    </x:row>
    <x:row r="701">
      <x:c r="A701" s="895" t="n">
        <x:v>45421</x:v>
      </x:c>
      <x:c r="B701" s="898" t="n">
        <x:v>66.23</x:v>
      </x:c>
      <x:c r="C701" s="898" t="n">
        <x:v>67.32</x:v>
      </x:c>
      <x:c r="D701" s="898" t="n">
        <x:v>65.76</x:v>
      </x:c>
      <x:c r="E701" s="898" t="n">
        <x:v>65.76</x:v>
      </x:c>
      <x:c r="F701" s="901" t="n">
        <x:v>2113540</x:v>
      </x:c>
      <x:c r="G701" s="904" t="n">
        <x:v>1252.81</x:v>
      </x:c>
      <x:c r="H701" s="904" t="n">
        <x:v>1256.8</x:v>
      </x:c>
      <x:c r="I701" s="904" t="n">
        <x:v>1243.29</x:v>
      </x:c>
      <x:c r="J701" s="904" t="n">
        <x:v>1248.64</x:v>
      </x:c>
      <x:c r="K701" s="901" t="n">
        <x:v>591807969</x:v>
      </x:c>
      <x:c r="L701" s="907" t="str">
        <x:v>SRC-P404</x:v>
      </x:c>
      <x:c r="M701" s="907" t="str">
        <x:v>VNStock API actual</x:v>
      </x:c>
      <x:c r="N701" s="1032" t="n">
        <x:v>46229.241747685184</x:v>
      </x:c>
    </x:row>
    <x:row r="702">
      <x:c r="A702" s="895" t="n">
        <x:v>45422</x:v>
      </x:c>
      <x:c r="B702" s="898" t="n">
        <x:v>66.69</x:v>
      </x:c>
      <x:c r="C702" s="898" t="n">
        <x:v>66.69</x:v>
      </x:c>
      <x:c r="D702" s="898" t="n">
        <x:v>65.06</x:v>
      </x:c>
      <x:c r="E702" s="898" t="n">
        <x:v>65.21</x:v>
      </x:c>
      <x:c r="F702" s="901" t="n">
        <x:v>1528567</x:v>
      </x:c>
      <x:c r="G702" s="904" t="n">
        <x:v>1251.78</x:v>
      </x:c>
      <x:c r="H702" s="904" t="n">
        <x:v>1252.5</x:v>
      </x:c>
      <x:c r="I702" s="904" t="n">
        <x:v>1237.46</x:v>
      </x:c>
      <x:c r="J702" s="904" t="n">
        <x:v>1244.7</x:v>
      </x:c>
      <x:c r="K702" s="901" t="n">
        <x:v>556788658</x:v>
      </x:c>
      <x:c r="L702" s="907" t="str">
        <x:v>SRC-P404</x:v>
      </x:c>
      <x:c r="M702" s="907" t="str">
        <x:v>VNStock API actual</x:v>
      </x:c>
      <x:c r="N702" s="1032" t="n">
        <x:v>46229.241747685184</x:v>
      </x:c>
    </x:row>
    <x:row r="703">
      <x:c r="A703" s="895" t="n">
        <x:v>45425</x:v>
      </x:c>
      <x:c r="B703" s="898" t="n">
        <x:v>65.68</x:v>
      </x:c>
      <x:c r="C703" s="898" t="n">
        <x:v>65.68</x:v>
      </x:c>
      <x:c r="D703" s="898" t="n">
        <x:v>63.57</x:v>
      </x:c>
      <x:c r="E703" s="898" t="n">
        <x:v>64.04</x:v>
      </x:c>
      <x:c r="F703" s="901" t="n">
        <x:v>2525433</x:v>
      </x:c>
      <x:c r="G703" s="904" t="n">
        <x:v>1248.19</x:v>
      </x:c>
      <x:c r="H703" s="904" t="n">
        <x:v>1249.2</x:v>
      </x:c>
      <x:c r="I703" s="904" t="n">
        <x:v>1233.56</x:v>
      </x:c>
      <x:c r="J703" s="904" t="n">
        <x:v>1240.18</x:v>
      </x:c>
      <x:c r="K703" s="901" t="n">
        <x:v>593968870</x:v>
      </x:c>
      <x:c r="L703" s="907" t="str">
        <x:v>SRC-P404</x:v>
      </x:c>
      <x:c r="M703" s="907" t="str">
        <x:v>VNStock API actual</x:v>
      </x:c>
      <x:c r="N703" s="1032" t="n">
        <x:v>46229.241747685184</x:v>
      </x:c>
    </x:row>
    <x:row r="704">
      <x:c r="A704" s="895" t="n">
        <x:v>45426</x:v>
      </x:c>
      <x:c r="B704" s="898" t="n">
        <x:v>64.28</x:v>
      </x:c>
      <x:c r="C704" s="898" t="n">
        <x:v>65.06</x:v>
      </x:c>
      <x:c r="D704" s="898" t="n">
        <x:v>63.73</x:v>
      </x:c>
      <x:c r="E704" s="898" t="n">
        <x:v>64.2</x:v>
      </x:c>
      <x:c r="F704" s="901" t="n">
        <x:v>1191163</x:v>
      </x:c>
      <x:c r="G704" s="904" t="n">
        <x:v>1246.23</x:v>
      </x:c>
      <x:c r="H704" s="904" t="n">
        <x:v>1252.52</x:v>
      </x:c>
      <x:c r="I704" s="904" t="n">
        <x:v>1240.88</x:v>
      </x:c>
      <x:c r="J704" s="904" t="n">
        <x:v>1243.28</x:v>
      </x:c>
      <x:c r="K704" s="901" t="n">
        <x:v>476578584</x:v>
      </x:c>
      <x:c r="L704" s="907" t="str">
        <x:v>SRC-P404</x:v>
      </x:c>
      <x:c r="M704" s="907" t="str">
        <x:v>VNStock API actual</x:v>
      </x:c>
      <x:c r="N704" s="1032" t="n">
        <x:v>46229.241747685184</x:v>
      </x:c>
    </x:row>
    <x:row r="705">
      <x:c r="A705" s="895" t="n">
        <x:v>45427</x:v>
      </x:c>
      <x:c r="B705" s="898" t="n">
        <x:v>64.67</x:v>
      </x:c>
      <x:c r="C705" s="898" t="n">
        <x:v>65.29</x:v>
      </x:c>
      <x:c r="D705" s="898" t="n">
        <x:v>64.12</x:v>
      </x:c>
      <x:c r="E705" s="898" t="n">
        <x:v>64.74</x:v>
      </x:c>
      <x:c r="F705" s="901" t="n">
        <x:v>1561475</x:v>
      </x:c>
      <x:c r="G705" s="904" t="n">
        <x:v>1248.61</x:v>
      </x:c>
      <x:c r="H705" s="904" t="n">
        <x:v>1257.92</x:v>
      </x:c>
      <x:c r="I705" s="904" t="n">
        <x:v>1248.02</x:v>
      </x:c>
      <x:c r="J705" s="904" t="n">
        <x:v>1254.39</x:v>
      </x:c>
      <x:c r="K705" s="901" t="n">
        <x:v>704936160</x:v>
      </x:c>
      <x:c r="L705" s="907" t="str">
        <x:v>SRC-P404</x:v>
      </x:c>
      <x:c r="M705" s="907" t="str">
        <x:v>VNStock API actual</x:v>
      </x:c>
      <x:c r="N705" s="1032" t="n">
        <x:v>46229.241747685184</x:v>
      </x:c>
    </x:row>
    <x:row r="706">
      <x:c r="A706" s="895" t="n">
        <x:v>45428</x:v>
      </x:c>
      <x:c r="B706" s="898" t="n">
        <x:v>65.29</x:v>
      </x:c>
      <x:c r="C706" s="898" t="n">
        <x:v>66.54</x:v>
      </x:c>
      <x:c r="D706" s="898" t="n">
        <x:v>65.06</x:v>
      </x:c>
      <x:c r="E706" s="898" t="n">
        <x:v>65.84</x:v>
      </x:c>
      <x:c r="F706" s="901" t="n">
        <x:v>2154207</x:v>
      </x:c>
      <x:c r="G706" s="904" t="n">
        <x:v>1264.51</x:v>
      </x:c>
      <x:c r="H706" s="904" t="n">
        <x:v>1271.66</x:v>
      </x:c>
      <x:c r="I706" s="904" t="n">
        <x:v>1261.19</x:v>
      </x:c>
      <x:c r="J706" s="904" t="n">
        <x:v>1268.78</x:v>
      </x:c>
      <x:c r="K706" s="901" t="n">
        <x:v>754095204</x:v>
      </x:c>
      <x:c r="L706" s="907" t="str">
        <x:v>SRC-P404</x:v>
      </x:c>
      <x:c r="M706" s="907" t="str">
        <x:v>VNStock API actual</x:v>
      </x:c>
      <x:c r="N706" s="1032" t="n">
        <x:v>46229.241747685184</x:v>
      </x:c>
    </x:row>
    <x:row r="707">
      <x:c r="A707" s="895" t="n">
        <x:v>45429</x:v>
      </x:c>
      <x:c r="B707" s="898" t="n">
        <x:v>66.07</x:v>
      </x:c>
      <x:c r="C707" s="898" t="n">
        <x:v>66.62</x:v>
      </x:c>
      <x:c r="D707" s="898" t="n">
        <x:v>65.6</x:v>
      </x:c>
      <x:c r="E707" s="898" t="n">
        <x:v>66.15</x:v>
      </x:c>
      <x:c r="F707" s="901" t="n">
        <x:v>1475789</x:v>
      </x:c>
      <x:c r="G707" s="904" t="n">
        <x:v>1270.34</x:v>
      </x:c>
      <x:c r="H707" s="904" t="n">
        <x:v>1274.27</x:v>
      </x:c>
      <x:c r="I707" s="904" t="n">
        <x:v>1266.32</x:v>
      </x:c>
      <x:c r="J707" s="904" t="n">
        <x:v>1273.11</x:v>
      </x:c>
      <x:c r="K707" s="901" t="n">
        <x:v>788116698</x:v>
      </x:c>
      <x:c r="L707" s="907" t="str">
        <x:v>SRC-P404</x:v>
      </x:c>
      <x:c r="M707" s="907" t="str">
        <x:v>VNStock API actual</x:v>
      </x:c>
      <x:c r="N707" s="1032" t="n">
        <x:v>46229.241747685184</x:v>
      </x:c>
    </x:row>
    <x:row r="708">
      <x:c r="A708" s="895" t="n">
        <x:v>45432</x:v>
      </x:c>
      <x:c r="B708" s="898" t="n">
        <x:v>66.54</x:v>
      </x:c>
      <x:c r="C708" s="898" t="n">
        <x:v>66.69</x:v>
      </x:c>
      <x:c r="D708" s="898" t="n">
        <x:v>65.45</x:v>
      </x:c>
      <x:c r="E708" s="898" t="n">
        <x:v>65.45</x:v>
      </x:c>
      <x:c r="F708" s="901" t="n">
        <x:v>1643147</x:v>
      </x:c>
      <x:c r="G708" s="904" t="n">
        <x:v>1281.5</x:v>
      </x:c>
      <x:c r="H708" s="904" t="n">
        <x:v>1285.19</x:v>
      </x:c>
      <x:c r="I708" s="904" t="n">
        <x:v>1277.36</x:v>
      </x:c>
      <x:c r="J708" s="904" t="n">
        <x:v>1277.58</x:v>
      </x:c>
      <x:c r="K708" s="901" t="n">
        <x:v>900908384</x:v>
      </x:c>
      <x:c r="L708" s="907" t="str">
        <x:v>SRC-P404</x:v>
      </x:c>
      <x:c r="M708" s="907" t="str">
        <x:v>VNStock API actual</x:v>
      </x:c>
      <x:c r="N708" s="1032" t="n">
        <x:v>46229.241747685184</x:v>
      </x:c>
    </x:row>
    <x:row r="709">
      <x:c r="A709" s="895" t="n">
        <x:v>45433</x:v>
      </x:c>
      <x:c r="B709" s="898" t="n">
        <x:v>65.37</x:v>
      </x:c>
      <x:c r="C709" s="898" t="n">
        <x:v>66.54</x:v>
      </x:c>
      <x:c r="D709" s="898" t="n">
        <x:v>64.82</x:v>
      </x:c>
      <x:c r="E709" s="898" t="n">
        <x:v>66.54</x:v>
      </x:c>
      <x:c r="F709" s="901" t="n">
        <x:v>1674276</x:v>
      </x:c>
      <x:c r="G709" s="904" t="n">
        <x:v>1277.85</x:v>
      </x:c>
      <x:c r="H709" s="904" t="n">
        <x:v>1281.29</x:v>
      </x:c>
      <x:c r="I709" s="904" t="n">
        <x:v>1267.29</x:v>
      </x:c>
      <x:c r="J709" s="904" t="n">
        <x:v>1277.14</x:v>
      </x:c>
      <x:c r="K709" s="901" t="n">
        <x:v>790140189</x:v>
      </x:c>
      <x:c r="L709" s="907" t="str">
        <x:v>SRC-P404</x:v>
      </x:c>
      <x:c r="M709" s="907" t="str">
        <x:v>VNStock API actual</x:v>
      </x:c>
      <x:c r="N709" s="1032" t="n">
        <x:v>46229.241747685184</x:v>
      </x:c>
    </x:row>
    <x:row r="710">
      <x:c r="A710" s="895" t="n">
        <x:v>45434</x:v>
      </x:c>
      <x:c r="B710" s="898" t="n">
        <x:v>67.08</x:v>
      </x:c>
      <x:c r="C710" s="898" t="n">
        <x:v>67.32</x:v>
      </x:c>
      <x:c r="D710" s="898" t="n">
        <x:v>65.13</x:v>
      </x:c>
      <x:c r="E710" s="898" t="n">
        <x:v>65.52</x:v>
      </x:c>
      <x:c r="F710" s="901" t="n">
        <x:v>1683327</x:v>
      </x:c>
      <x:c r="G710" s="904" t="n">
        <x:v>1280.26</x:v>
      </x:c>
      <x:c r="H710" s="904" t="n">
        <x:v>1283.06</x:v>
      </x:c>
      <x:c r="I710" s="904" t="n">
        <x:v>1263.87</x:v>
      </x:c>
      <x:c r="J710" s="904" t="n">
        <x:v>1266.91</x:v>
      </x:c>
      <x:c r="K710" s="901" t="n">
        <x:v>933047509</x:v>
      </x:c>
      <x:c r="L710" s="907" t="str">
        <x:v>SRC-P404</x:v>
      </x:c>
      <x:c r="M710" s="907" t="str">
        <x:v>VNStock API actual</x:v>
      </x:c>
      <x:c r="N710" s="1032" t="n">
        <x:v>46229.241747685184</x:v>
      </x:c>
    </x:row>
    <x:row r="711">
      <x:c r="A711" s="895" t="n">
        <x:v>45435</x:v>
      </x:c>
      <x:c r="B711" s="898" t="n">
        <x:v>65.37</x:v>
      </x:c>
      <x:c r="C711" s="898" t="n">
        <x:v>66.69</x:v>
      </x:c>
      <x:c r="D711" s="898" t="n">
        <x:v>65.13</x:v>
      </x:c>
      <x:c r="E711" s="898" t="n">
        <x:v>66.69</x:v>
      </x:c>
      <x:c r="F711" s="901" t="n">
        <x:v>1531563</x:v>
      </x:c>
      <x:c r="G711" s="904" t="n">
        <x:v>1265.6</x:v>
      </x:c>
      <x:c r="H711" s="904" t="n">
        <x:v>1281.03</x:v>
      </x:c>
      <x:c r="I711" s="904" t="n">
        <x:v>1262.29</x:v>
      </x:c>
      <x:c r="J711" s="904" t="n">
        <x:v>1281.03</x:v>
      </x:c>
      <x:c r="K711" s="901" t="n">
        <x:v>788341559</x:v>
      </x:c>
      <x:c r="L711" s="907" t="str">
        <x:v>SRC-P404</x:v>
      </x:c>
      <x:c r="M711" s="907" t="str">
        <x:v>VNStock API actual</x:v>
      </x:c>
      <x:c r="N711" s="1032" t="n">
        <x:v>46229.241747685184</x:v>
      </x:c>
    </x:row>
    <x:row r="712">
      <x:c r="A712" s="895" t="n">
        <x:v>45436</x:v>
      </x:c>
      <x:c r="B712" s="898" t="n">
        <x:v>66.3</x:v>
      </x:c>
      <x:c r="C712" s="898" t="n">
        <x:v>66.38</x:v>
      </x:c>
      <x:c r="D712" s="898" t="n">
        <x:v>63.57</x:v>
      </x:c>
      <x:c r="E712" s="898" t="n">
        <x:v>65.13</x:v>
      </x:c>
      <x:c r="F712" s="901" t="n">
        <x:v>2197368</x:v>
      </x:c>
      <x:c r="G712" s="904" t="n">
        <x:v>1276.68</x:v>
      </x:c>
      <x:c r="H712" s="904" t="n">
        <x:v>1285.07</x:v>
      </x:c>
      <x:c r="I712" s="904" t="n">
        <x:v>1250.28</x:v>
      </x:c>
      <x:c r="J712" s="904" t="n">
        <x:v>1261.93</x:v>
      </x:c>
      <x:c r="K712" s="901" t="n">
        <x:v>1179638521</x:v>
      </x:c>
      <x:c r="L712" s="907" t="str">
        <x:v>SRC-P404</x:v>
      </x:c>
      <x:c r="M712" s="907" t="str">
        <x:v>VNStock API actual</x:v>
      </x:c>
      <x:c r="N712" s="1032" t="n">
        <x:v>46229.241747685184</x:v>
      </x:c>
    </x:row>
    <x:row r="713">
      <x:c r="A713" s="895" t="n">
        <x:v>45439</x:v>
      </x:c>
      <x:c r="B713" s="898" t="n">
        <x:v>65.13</x:v>
      </x:c>
      <x:c r="C713" s="898" t="n">
        <x:v>65.13</x:v>
      </x:c>
      <x:c r="D713" s="898" t="n">
        <x:v>64.35</x:v>
      </x:c>
      <x:c r="E713" s="898" t="n">
        <x:v>64.67</x:v>
      </x:c>
      <x:c r="F713" s="901" t="n">
        <x:v>925649</x:v>
      </x:c>
      <x:c r="G713" s="904" t="n">
        <x:v>1263.46</x:v>
      </x:c>
      <x:c r="H713" s="904" t="n">
        <x:v>1267.68</x:v>
      </x:c>
      <x:c r="I713" s="904" t="n">
        <x:v>1257.27</x:v>
      </x:c>
      <x:c r="J713" s="904" t="n">
        <x:v>1267.68</x:v>
      </x:c>
      <x:c r="K713" s="901" t="n">
        <x:v>564137500</x:v>
      </x:c>
      <x:c r="L713" s="907" t="str">
        <x:v>SRC-P404</x:v>
      </x:c>
      <x:c r="M713" s="907" t="str">
        <x:v>VNStock API actual</x:v>
      </x:c>
      <x:c r="N713" s="1032" t="n">
        <x:v>46229.241747685184</x:v>
      </x:c>
    </x:row>
    <x:row r="714">
      <x:c r="A714" s="895" t="n">
        <x:v>45440</x:v>
      </x:c>
      <x:c r="B714" s="898" t="n">
        <x:v>64.74</x:v>
      </x:c>
      <x:c r="C714" s="898" t="n">
        <x:v>65.52</x:v>
      </x:c>
      <x:c r="D714" s="898" t="n">
        <x:v>64.51</x:v>
      </x:c>
      <x:c r="E714" s="898" t="n">
        <x:v>64.9</x:v>
      </x:c>
      <x:c r="F714" s="901" t="n">
        <x:v>1617831</x:v>
      </x:c>
      <x:c r="G714" s="904" t="n">
        <x:v>1272.23</x:v>
      </x:c>
      <x:c r="H714" s="904" t="n">
        <x:v>1281.73</x:v>
      </x:c>
      <x:c r="I714" s="904" t="n">
        <x:v>1269.37</x:v>
      </x:c>
      <x:c r="J714" s="904" t="n">
        <x:v>1281.73</x:v>
      </x:c>
      <x:c r="K714" s="901" t="n">
        <x:v>710243600</x:v>
      </x:c>
      <x:c r="L714" s="907" t="str">
        <x:v>SRC-P404</x:v>
      </x:c>
      <x:c r="M714" s="907" t="str">
        <x:v>VNStock API actual</x:v>
      </x:c>
      <x:c r="N714" s="1032" t="n">
        <x:v>46229.241747685184</x:v>
      </x:c>
    </x:row>
    <x:row r="715">
      <x:c r="A715" s="895" t="n">
        <x:v>45441</x:v>
      </x:c>
      <x:c r="B715" s="898" t="n">
        <x:v>64.9</x:v>
      </x:c>
      <x:c r="C715" s="898" t="n">
        <x:v>65.91</x:v>
      </x:c>
      <x:c r="D715" s="898" t="n">
        <x:v>63.96</x:v>
      </x:c>
      <x:c r="E715" s="898" t="n">
        <x:v>64.43</x:v>
      </x:c>
      <x:c r="F715" s="901" t="n">
        <x:v>1487371</x:v>
      </x:c>
      <x:c r="G715" s="904" t="n">
        <x:v>1284.74</x:v>
      </x:c>
      <x:c r="H715" s="904" t="n">
        <x:v>1285.63</x:v>
      </x:c>
      <x:c r="I715" s="904" t="n">
        <x:v>1271.6</x:v>
      </x:c>
      <x:c r="J715" s="904" t="n">
        <x:v>1272.64</x:v>
      </x:c>
      <x:c r="K715" s="901" t="n">
        <x:v>937265939</x:v>
      </x:c>
      <x:c r="L715" s="907" t="str">
        <x:v>SRC-P404</x:v>
      </x:c>
      <x:c r="M715" s="907" t="str">
        <x:v>VNStock API actual</x:v>
      </x:c>
      <x:c r="N715" s="1032" t="n">
        <x:v>46229.241747685184</x:v>
      </x:c>
    </x:row>
    <x:row r="716">
      <x:c r="A716" s="895" t="n">
        <x:v>45442</x:v>
      </x:c>
      <x:c r="B716" s="898" t="n">
        <x:v>64.04</x:v>
      </x:c>
      <x:c r="C716" s="898" t="n">
        <x:v>65.91</x:v>
      </x:c>
      <x:c r="D716" s="898" t="n">
        <x:v>63.96</x:v>
      </x:c>
      <x:c r="E716" s="898" t="n">
        <x:v>64.67</x:v>
      </x:c>
      <x:c r="F716" s="901" t="n">
        <x:v>2862506</x:v>
      </x:c>
      <x:c r="G716" s="904" t="n">
        <x:v>1264.45</x:v>
      </x:c>
      <x:c r="H716" s="904" t="n">
        <x:v>1269.07</x:v>
      </x:c>
      <x:c r="I716" s="904" t="n">
        <x:v>1251.8</x:v>
      </x:c>
      <x:c r="J716" s="904" t="n">
        <x:v>1266.32</x:v>
      </x:c>
      <x:c r="K716" s="901" t="n">
        <x:v>903973666</x:v>
      </x:c>
      <x:c r="L716" s="907" t="str">
        <x:v>SRC-P404</x:v>
      </x:c>
      <x:c r="M716" s="907" t="str">
        <x:v>VNStock API actual</x:v>
      </x:c>
      <x:c r="N716" s="1032" t="n">
        <x:v>46229.241747685184</x:v>
      </x:c>
    </x:row>
    <x:row r="717">
      <x:c r="A717" s="895" t="n">
        <x:v>45443</x:v>
      </x:c>
      <x:c r="B717" s="898" t="n">
        <x:v>64.98</x:v>
      </x:c>
      <x:c r="C717" s="898" t="n">
        <x:v>65.76</x:v>
      </x:c>
      <x:c r="D717" s="898" t="n">
        <x:v>64.98</x:v>
      </x:c>
      <x:c r="E717" s="898" t="n">
        <x:v>65.37</x:v>
      </x:c>
      <x:c r="F717" s="901" t="n">
        <x:v>1135573</x:v>
      </x:c>
      <x:c r="G717" s="904" t="n">
        <x:v>1268.37</x:v>
      </x:c>
      <x:c r="H717" s="904" t="n">
        <x:v>1271.07</x:v>
      </x:c>
      <x:c r="I717" s="904" t="n">
        <x:v>1261.43</x:v>
      </x:c>
      <x:c r="J717" s="904" t="n">
        <x:v>1261.72</x:v>
      </x:c>
      <x:c r="K717" s="901" t="n">
        <x:v>578120347</x:v>
      </x:c>
      <x:c r="L717" s="907" t="str">
        <x:v>SRC-P404</x:v>
      </x:c>
      <x:c r="M717" s="907" t="str">
        <x:v>VNStock API actual</x:v>
      </x:c>
      <x:c r="N717" s="1032" t="n">
        <x:v>46229.241747685184</x:v>
      </x:c>
    </x:row>
    <x:row r="718">
      <x:c r="A718" s="895" t="n">
        <x:v>45446</x:v>
      </x:c>
      <x:c r="B718" s="898" t="n">
        <x:v>65.91</x:v>
      </x:c>
      <x:c r="C718" s="898" t="n">
        <x:v>65.91</x:v>
      </x:c>
      <x:c r="D718" s="898" t="n">
        <x:v>64.74</x:v>
      </x:c>
      <x:c r="E718" s="898" t="n">
        <x:v>64.98</x:v>
      </x:c>
      <x:c r="F718" s="901" t="n">
        <x:v>1670389</x:v>
      </x:c>
      <x:c r="G718" s="904" t="n">
        <x:v>1271.65</x:v>
      </x:c>
      <x:c r="H718" s="904" t="n">
        <x:v>1284.48</x:v>
      </x:c>
      <x:c r="I718" s="904" t="n">
        <x:v>1271.65</x:v>
      </x:c>
      <x:c r="J718" s="904" t="n">
        <x:v>1280</x:v>
      </x:c>
      <x:c r="K718" s="901" t="n">
        <x:v>881259000</x:v>
      </x:c>
      <x:c r="L718" s="907" t="str">
        <x:v>SRC-P404</x:v>
      </x:c>
      <x:c r="M718" s="907" t="str">
        <x:v>VNStock API actual</x:v>
      </x:c>
      <x:c r="N718" s="1032" t="n">
        <x:v>46229.241747685184</x:v>
      </x:c>
    </x:row>
    <x:row r="719">
      <x:c r="A719" s="895" t="n">
        <x:v>45447</x:v>
      </x:c>
      <x:c r="B719" s="898" t="n">
        <x:v>65.37</x:v>
      </x:c>
      <x:c r="C719" s="898" t="n">
        <x:v>66.69</x:v>
      </x:c>
      <x:c r="D719" s="898" t="n">
        <x:v>64.9</x:v>
      </x:c>
      <x:c r="E719" s="898" t="n">
        <x:v>65.91</x:v>
      </x:c>
      <x:c r="F719" s="901" t="n">
        <x:v>2562207</x:v>
      </x:c>
      <x:c r="G719" s="904" t="n">
        <x:v>1285.51</x:v>
      </x:c>
      <x:c r="H719" s="904" t="n">
        <x:v>1289.31</x:v>
      </x:c>
      <x:c r="I719" s="904" t="n">
        <x:v>1281.98</x:v>
      </x:c>
      <x:c r="J719" s="904" t="n">
        <x:v>1283.52</x:v>
      </x:c>
      <x:c r="K719" s="901" t="n">
        <x:v>743646628</x:v>
      </x:c>
      <x:c r="L719" s="907" t="str">
        <x:v>SRC-P404</x:v>
      </x:c>
      <x:c r="M719" s="907" t="str">
        <x:v>VNStock API actual</x:v>
      </x:c>
      <x:c r="N719" s="1032" t="n">
        <x:v>46229.241747685184</x:v>
      </x:c>
    </x:row>
    <x:row r="720">
      <x:c r="A720" s="895" t="n">
        <x:v>45448</x:v>
      </x:c>
      <x:c r="B720" s="898" t="n">
        <x:v>66.3</x:v>
      </x:c>
      <x:c r="C720" s="898" t="n">
        <x:v>66.46</x:v>
      </x:c>
      <x:c r="D720" s="898" t="n">
        <x:v>65.52</x:v>
      </x:c>
      <x:c r="E720" s="898" t="n">
        <x:v>65.52</x:v>
      </x:c>
      <x:c r="F720" s="901" t="n">
        <x:v>1703617</x:v>
      </x:c>
      <x:c r="G720" s="904" t="n">
        <x:v>1287.12</x:v>
      </x:c>
      <x:c r="H720" s="904" t="n">
        <x:v>1293.93</x:v>
      </x:c>
      <x:c r="I720" s="904" t="n">
        <x:v>1284.35</x:v>
      </x:c>
      <x:c r="J720" s="904" t="n">
        <x:v>1284.35</x:v>
      </x:c>
      <x:c r="K720" s="901" t="n">
        <x:v>769448301</x:v>
      </x:c>
      <x:c r="L720" s="907" t="str">
        <x:v>SRC-P404</x:v>
      </x:c>
      <x:c r="M720" s="907" t="str">
        <x:v>VNStock API actual</x:v>
      </x:c>
      <x:c r="N720" s="1032" t="n">
        <x:v>46229.241747685184</x:v>
      </x:c>
    </x:row>
    <x:row r="721">
      <x:c r="A721" s="895" t="n">
        <x:v>45449</x:v>
      </x:c>
      <x:c r="B721" s="898" t="n">
        <x:v>66.23</x:v>
      </x:c>
      <x:c r="C721" s="898" t="n">
        <x:v>66.23</x:v>
      </x:c>
      <x:c r="D721" s="898" t="n">
        <x:v>64.04</x:v>
      </x:c>
      <x:c r="E721" s="898" t="n">
        <x:v>65.52</x:v>
      </x:c>
      <x:c r="F721" s="901" t="n">
        <x:v>1852780</x:v>
      </x:c>
      <x:c r="G721" s="904" t="n">
        <x:v>1288.79</x:v>
      </x:c>
      <x:c r="H721" s="904" t="n">
        <x:v>1292.02</x:v>
      </x:c>
      <x:c r="I721" s="904" t="n">
        <x:v>1278.4</x:v>
      </x:c>
      <x:c r="J721" s="904" t="n">
        <x:v>1283.56</x:v>
      </x:c>
      <x:c r="K721" s="901" t="n">
        <x:v>751958815</x:v>
      </x:c>
      <x:c r="L721" s="907" t="str">
        <x:v>SRC-P404</x:v>
      </x:c>
      <x:c r="M721" s="907" t="str">
        <x:v>VNStock API actual</x:v>
      </x:c>
      <x:c r="N721" s="1032" t="n">
        <x:v>46229.241747685184</x:v>
      </x:c>
    </x:row>
    <x:row r="722">
      <x:c r="A722" s="895" t="n">
        <x:v>45450</x:v>
      </x:c>
      <x:c r="B722" s="898" t="n">
        <x:v>65.52</x:v>
      </x:c>
      <x:c r="C722" s="898" t="n">
        <x:v>66.3</x:v>
      </x:c>
      <x:c r="D722" s="898" t="n">
        <x:v>64.67</x:v>
      </x:c>
      <x:c r="E722" s="898" t="n">
        <x:v>65.06</x:v>
      </x:c>
      <x:c r="F722" s="901" t="n">
        <x:v>2037578</x:v>
      </x:c>
      <x:c r="G722" s="904" t="n">
        <x:v>1289.05</x:v>
      </x:c>
      <x:c r="H722" s="904" t="n">
        <x:v>1293.03</x:v>
      </x:c>
      <x:c r="I722" s="904" t="n">
        <x:v>1283.13</x:v>
      </x:c>
      <x:c r="J722" s="904" t="n">
        <x:v>1287.58</x:v>
      </x:c>
      <x:c r="K722" s="901" t="n">
        <x:v>566497622</x:v>
      </x:c>
      <x:c r="L722" s="907" t="str">
        <x:v>SRC-P404</x:v>
      </x:c>
      <x:c r="M722" s="907" t="str">
        <x:v>VNStock API actual</x:v>
      </x:c>
      <x:c r="N722" s="1032" t="n">
        <x:v>46229.241747685184</x:v>
      </x:c>
    </x:row>
    <x:row r="723">
      <x:c r="A723" s="895" t="n">
        <x:v>45453</x:v>
      </x:c>
      <x:c r="B723" s="898" t="n">
        <x:v>65.52</x:v>
      </x:c>
      <x:c r="C723" s="898" t="n">
        <x:v>68.49</x:v>
      </x:c>
      <x:c r="D723" s="898" t="n">
        <x:v>65.52</x:v>
      </x:c>
      <x:c r="E723" s="898" t="n">
        <x:v>67.79</x:v>
      </x:c>
      <x:c r="F723" s="901" t="n">
        <x:v>3775627</x:v>
      </x:c>
      <x:c r="G723" s="904" t="n">
        <x:v>1292.67</x:v>
      </x:c>
      <x:c r="H723" s="904" t="n">
        <x:v>1297.39</x:v>
      </x:c>
      <x:c r="I723" s="904" t="n">
        <x:v>1287.44</x:v>
      </x:c>
      <x:c r="J723" s="904" t="n">
        <x:v>1290.67</x:v>
      </x:c>
      <x:c r="K723" s="901" t="n">
        <x:v>742266776</x:v>
      </x:c>
      <x:c r="L723" s="907" t="str">
        <x:v>SRC-P404</x:v>
      </x:c>
      <x:c r="M723" s="907" t="str">
        <x:v>VNStock API actual</x:v>
      </x:c>
      <x:c r="N723" s="1032" t="n">
        <x:v>46229.241747685184</x:v>
      </x:c>
    </x:row>
    <x:row r="724">
      <x:c r="A724" s="895" t="n">
        <x:v>45454</x:v>
      </x:c>
      <x:c r="B724" s="898" t="n">
        <x:v>67.86</x:v>
      </x:c>
      <x:c r="C724" s="898" t="n">
        <x:v>68.1</x:v>
      </x:c>
      <x:c r="D724" s="898" t="n">
        <x:v>66.38</x:v>
      </x:c>
      <x:c r="E724" s="898" t="n">
        <x:v>67.08</x:v>
      </x:c>
      <x:c r="F724" s="901" t="n">
        <x:v>1905910</x:v>
      </x:c>
      <x:c r="G724" s="904" t="n">
        <x:v>1295.03</x:v>
      </x:c>
      <x:c r="H724" s="904" t="n">
        <x:v>1296.41</x:v>
      </x:c>
      <x:c r="I724" s="904" t="n">
        <x:v>1279.47</x:v>
      </x:c>
      <x:c r="J724" s="904" t="n">
        <x:v>1284.41</x:v>
      </x:c>
      <x:c r="K724" s="901" t="n">
        <x:v>815619047</x:v>
      </x:c>
      <x:c r="L724" s="907" t="str">
        <x:v>SRC-P404</x:v>
      </x:c>
      <x:c r="M724" s="907" t="str">
        <x:v>VNStock API actual</x:v>
      </x:c>
      <x:c r="N724" s="1032" t="n">
        <x:v>46229.241747685184</x:v>
      </x:c>
    </x:row>
    <x:row r="725">
      <x:c r="A725" s="895" t="n">
        <x:v>45455</x:v>
      </x:c>
      <x:c r="B725" s="898" t="n">
        <x:v>66.69</x:v>
      </x:c>
      <x:c r="C725" s="898" t="n">
        <x:v>67.01</x:v>
      </x:c>
      <x:c r="D725" s="898" t="n">
        <x:v>65.76</x:v>
      </x:c>
      <x:c r="E725" s="898" t="n">
        <x:v>66.85</x:v>
      </x:c>
      <x:c r="F725" s="901" t="n">
        <x:v>1713241</x:v>
      </x:c>
      <x:c r="G725" s="904" t="n">
        <x:v>1285.01</x:v>
      </x:c>
      <x:c r="H725" s="904" t="n">
        <x:v>1301.35</x:v>
      </x:c>
      <x:c r="I725" s="904" t="n">
        <x:v>1281.71</x:v>
      </x:c>
      <x:c r="J725" s="904" t="n">
        <x:v>1300.19</x:v>
      </x:c>
      <x:c r="K725" s="901" t="n">
        <x:v>731047219</x:v>
      </x:c>
      <x:c r="L725" s="907" t="str">
        <x:v>SRC-P404</x:v>
      </x:c>
      <x:c r="M725" s="907" t="str">
        <x:v>VNStock API actual</x:v>
      </x:c>
      <x:c r="N725" s="1032" t="n">
        <x:v>46229.241747685184</x:v>
      </x:c>
    </x:row>
    <x:row r="726">
      <x:c r="A726" s="895" t="n">
        <x:v>45456</x:v>
      </x:c>
      <x:c r="B726" s="898" t="n">
        <x:v>66.93</x:v>
      </x:c>
      <x:c r="C726" s="898" t="n">
        <x:v>66.93</x:v>
      </x:c>
      <x:c r="D726" s="898" t="n">
        <x:v>66.07</x:v>
      </x:c>
      <x:c r="E726" s="898" t="n">
        <x:v>66.3</x:v>
      </x:c>
      <x:c r="F726" s="901" t="n">
        <x:v>1023015</x:v>
      </x:c>
      <x:c r="G726" s="904" t="n">
        <x:v>1305.69</x:v>
      </x:c>
      <x:c r="H726" s="904" t="n">
        <x:v>1306.01</x:v>
      </x:c>
      <x:c r="I726" s="904" t="n">
        <x:v>1297.6</x:v>
      </x:c>
      <x:c r="J726" s="904" t="n">
        <x:v>1301.51</x:v>
      </x:c>
      <x:c r="K726" s="901" t="n">
        <x:v>782445017</x:v>
      </x:c>
      <x:c r="L726" s="907" t="str">
        <x:v>SRC-P404</x:v>
      </x:c>
      <x:c r="M726" s="907" t="str">
        <x:v>VNStock API actual</x:v>
      </x:c>
      <x:c r="N726" s="1032" t="n">
        <x:v>46229.241747685184</x:v>
      </x:c>
    </x:row>
    <x:row r="727">
      <x:c r="A727" s="895" t="n">
        <x:v>45457</x:v>
      </x:c>
      <x:c r="B727" s="898" t="n">
        <x:v>66.15</x:v>
      </x:c>
      <x:c r="C727" s="898" t="n">
        <x:v>66.93</x:v>
      </x:c>
      <x:c r="D727" s="898" t="n">
        <x:v>64.74</x:v>
      </x:c>
      <x:c r="E727" s="898" t="n">
        <x:v>64.74</x:v>
      </x:c>
      <x:c r="F727" s="901" t="n">
        <x:v>2065658</x:v>
      </x:c>
      <x:c r="G727" s="904" t="n">
        <x:v>1303.37</x:v>
      </x:c>
      <x:c r="H727" s="904" t="n">
        <x:v>1305.02</x:v>
      </x:c>
      <x:c r="I727" s="904" t="n">
        <x:v>1279.91</x:v>
      </x:c>
      <x:c r="J727" s="904" t="n">
        <x:v>1279.91</x:v>
      </x:c>
      <x:c r="K727" s="901" t="n">
        <x:v>964967623</x:v>
      </x:c>
      <x:c r="L727" s="907" t="str">
        <x:v>SRC-P404</x:v>
      </x:c>
      <x:c r="M727" s="907" t="str">
        <x:v>VNStock API actual</x:v>
      </x:c>
      <x:c r="N727" s="1032" t="n">
        <x:v>46229.241747685184</x:v>
      </x:c>
    </x:row>
    <x:row r="728">
      <x:c r="A728" s="895" t="n">
        <x:v>45460</x:v>
      </x:c>
      <x:c r="B728" s="898" t="n">
        <x:v>64.82</x:v>
      </x:c>
      <x:c r="C728" s="898" t="n">
        <x:v>66.23</x:v>
      </x:c>
      <x:c r="D728" s="898" t="n">
        <x:v>64.74</x:v>
      </x:c>
      <x:c r="E728" s="898" t="n">
        <x:v>65.37</x:v>
      </x:c>
      <x:c r="F728" s="901" t="n">
        <x:v>1105696</x:v>
      </x:c>
      <x:c r="G728" s="904" t="n">
        <x:v>1282.08</x:v>
      </x:c>
      <x:c r="H728" s="904" t="n">
        <x:v>1283.1</x:v>
      </x:c>
      <x:c r="I728" s="904" t="n">
        <x:v>1272.54</x:v>
      </x:c>
      <x:c r="J728" s="904" t="n">
        <x:v>1274.77</x:v>
      </x:c>
      <x:c r="K728" s="901" t="n">
        <x:v>741570820</x:v>
      </x:c>
      <x:c r="L728" s="907" t="str">
        <x:v>SRC-P404</x:v>
      </x:c>
      <x:c r="M728" s="907" t="str">
        <x:v>VNStock API actual</x:v>
      </x:c>
      <x:c r="N728" s="1032" t="n">
        <x:v>46229.241747685184</x:v>
      </x:c>
    </x:row>
    <x:row r="729">
      <x:c r="A729" s="895" t="n">
        <x:v>45461</x:v>
      </x:c>
      <x:c r="B729" s="898" t="n">
        <x:v>65.52</x:v>
      </x:c>
      <x:c r="C729" s="898" t="n">
        <x:v>65.6</x:v>
      </x:c>
      <x:c r="D729" s="898" t="n">
        <x:v>65.21</x:v>
      </x:c>
      <x:c r="E729" s="898" t="n">
        <x:v>65.21</x:v>
      </x:c>
      <x:c r="F729" s="901" t="n">
        <x:v>857542</x:v>
      </x:c>
      <x:c r="G729" s="904" t="n">
        <x:v>1279.39</x:v>
      </x:c>
      <x:c r="H729" s="904" t="n">
        <x:v>1286.52</x:v>
      </x:c>
      <x:c r="I729" s="904" t="n">
        <x:v>1278.38</x:v>
      </x:c>
      <x:c r="J729" s="904" t="n">
        <x:v>1279.5</x:v>
      </x:c>
      <x:c r="K729" s="901" t="n">
        <x:v>597659348</x:v>
      </x:c>
      <x:c r="L729" s="907" t="str">
        <x:v>SRC-P404</x:v>
      </x:c>
      <x:c r="M729" s="907" t="str">
        <x:v>VNStock API actual</x:v>
      </x:c>
      <x:c r="N729" s="1032" t="n">
        <x:v>46229.241747685184</x:v>
      </x:c>
    </x:row>
    <x:row r="730">
      <x:c r="A730" s="895" t="n">
        <x:v>45462</x:v>
      </x:c>
      <x:c r="B730" s="898" t="n">
        <x:v>65.21</x:v>
      </x:c>
      <x:c r="C730" s="898" t="n">
        <x:v>66.3</x:v>
      </x:c>
      <x:c r="D730" s="898" t="n">
        <x:v>65.06</x:v>
      </x:c>
      <x:c r="E730" s="898" t="n">
        <x:v>65.13</x:v>
      </x:c>
      <x:c r="F730" s="901" t="n">
        <x:v>1355685</x:v>
      </x:c>
      <x:c r="G730" s="904" t="n">
        <x:v>1283</x:v>
      </x:c>
      <x:c r="H730" s="904" t="n">
        <x:v>1284.14</x:v>
      </x:c>
      <x:c r="I730" s="904" t="n">
        <x:v>1270.66</x:v>
      </x:c>
      <x:c r="J730" s="904" t="n">
        <x:v>1279.79</x:v>
      </x:c>
      <x:c r="K730" s="901" t="n">
        <x:v>727821787</x:v>
      </x:c>
      <x:c r="L730" s="907" t="str">
        <x:v>SRC-P404</x:v>
      </x:c>
      <x:c r="M730" s="907" t="str">
        <x:v>VNStock API actual</x:v>
      </x:c>
      <x:c r="N730" s="1032" t="n">
        <x:v>46229.241747685184</x:v>
      </x:c>
    </x:row>
    <x:row r="731">
      <x:c r="A731" s="895" t="n">
        <x:v>45463</x:v>
      </x:c>
      <x:c r="B731" s="898" t="n">
        <x:v>65.13</x:v>
      </x:c>
      <x:c r="C731" s="898" t="n">
        <x:v>65.45</x:v>
      </x:c>
      <x:c r="D731" s="898" t="n">
        <x:v>64.82</x:v>
      </x:c>
      <x:c r="E731" s="898" t="n">
        <x:v>64.9</x:v>
      </x:c>
      <x:c r="F731" s="901" t="n">
        <x:v>1000353</x:v>
      </x:c>
      <x:c r="G731" s="904" t="n">
        <x:v>1281.82</x:v>
      </x:c>
      <x:c r="H731" s="904" t="n">
        <x:v>1286.54</x:v>
      </x:c>
      <x:c r="I731" s="904" t="n">
        <x:v>1273.54</x:v>
      </x:c>
      <x:c r="J731" s="904" t="n">
        <x:v>1282.3</x:v>
      </x:c>
      <x:c r="K731" s="901" t="n">
        <x:v>773355093</x:v>
      </x:c>
      <x:c r="L731" s="907" t="str">
        <x:v>SRC-P404</x:v>
      </x:c>
      <x:c r="M731" s="907" t="str">
        <x:v>VNStock API actual</x:v>
      </x:c>
      <x:c r="N731" s="1032" t="n">
        <x:v>46229.241747685184</x:v>
      </x:c>
    </x:row>
    <x:row r="732">
      <x:c r="A732" s="895" t="n">
        <x:v>45464</x:v>
      </x:c>
      <x:c r="B732" s="898" t="n">
        <x:v>65.13</x:v>
      </x:c>
      <x:c r="C732" s="898" t="n">
        <x:v>65.91</x:v>
      </x:c>
      <x:c r="D732" s="898" t="n">
        <x:v>64.98</x:v>
      </x:c>
      <x:c r="E732" s="898" t="n">
        <x:v>65.06</x:v>
      </x:c>
      <x:c r="F732" s="901" t="n">
        <x:v>977476</x:v>
      </x:c>
      <x:c r="G732" s="904" t="n">
        <x:v>1285.07</x:v>
      </x:c>
      <x:c r="H732" s="904" t="n">
        <x:v>1288.06</x:v>
      </x:c>
      <x:c r="I732" s="904" t="n">
        <x:v>1279.44</x:v>
      </x:c>
      <x:c r="J732" s="904" t="n">
        <x:v>1282.02</x:v>
      </x:c>
      <x:c r="K732" s="901" t="n">
        <x:v>669695755</x:v>
      </x:c>
      <x:c r="L732" s="907" t="str">
        <x:v>SRC-P404</x:v>
      </x:c>
      <x:c r="M732" s="907" t="str">
        <x:v>VNStock API actual</x:v>
      </x:c>
      <x:c r="N732" s="1032" t="n">
        <x:v>46229.241747685184</x:v>
      </x:c>
    </x:row>
    <x:row r="733">
      <x:c r="A733" s="895" t="n">
        <x:v>45467</x:v>
      </x:c>
      <x:c r="B733" s="898" t="n">
        <x:v>64.82</x:v>
      </x:c>
      <x:c r="C733" s="898" t="n">
        <x:v>65.29</x:v>
      </x:c>
      <x:c r="D733" s="898" t="n">
        <x:v>63.89</x:v>
      </x:c>
      <x:c r="E733" s="898" t="n">
        <x:v>63.96</x:v>
      </x:c>
      <x:c r="F733" s="901" t="n">
        <x:v>1929978</x:v>
      </x:c>
      <x:c r="G733" s="904" t="n">
        <x:v>1281.19</x:v>
      </x:c>
      <x:c r="H733" s="904" t="n">
        <x:v>1284.84</x:v>
      </x:c>
      <x:c r="I733" s="904" t="n">
        <x:v>1252.66</x:v>
      </x:c>
      <x:c r="J733" s="904" t="n">
        <x:v>1254.12</x:v>
      </x:c>
      <x:c r="K733" s="901" t="n">
        <x:v>1040386525</x:v>
      </x:c>
      <x:c r="L733" s="907" t="str">
        <x:v>SRC-P404</x:v>
      </x:c>
      <x:c r="M733" s="907" t="str">
        <x:v>VNStock API actual</x:v>
      </x:c>
      <x:c r="N733" s="1032" t="n">
        <x:v>46229.241747685184</x:v>
      </x:c>
    </x:row>
    <x:row r="734">
      <x:c r="A734" s="895" t="n">
        <x:v>45468</x:v>
      </x:c>
      <x:c r="B734" s="898" t="n">
        <x:v>63.96</x:v>
      </x:c>
      <x:c r="C734" s="898" t="n">
        <x:v>65.68</x:v>
      </x:c>
      <x:c r="D734" s="898" t="n">
        <x:v>63.81</x:v>
      </x:c>
      <x:c r="E734" s="898" t="n">
        <x:v>64.74</x:v>
      </x:c>
      <x:c r="F734" s="901" t="n">
        <x:v>1089789</x:v>
      </x:c>
      <x:c r="G734" s="904" t="n">
        <x:v>1255.77</x:v>
      </x:c>
      <x:c r="H734" s="904" t="n">
        <x:v>1260.07</x:v>
      </x:c>
      <x:c r="I734" s="904" t="n">
        <x:v>1250.25</x:v>
      </x:c>
      <x:c r="J734" s="904" t="n">
        <x:v>1256.56</x:v>
      </x:c>
      <x:c r="K734" s="901" t="n">
        <x:v>520938884</x:v>
      </x:c>
      <x:c r="L734" s="907" t="str">
        <x:v>SRC-P404</x:v>
      </x:c>
      <x:c r="M734" s="907" t="str">
        <x:v>VNStock API actual</x:v>
      </x:c>
      <x:c r="N734" s="1032" t="n">
        <x:v>46229.241747685184</x:v>
      </x:c>
    </x:row>
    <x:row r="735">
      <x:c r="A735" s="895" t="n">
        <x:v>45469</x:v>
      </x:c>
      <x:c r="B735" s="898" t="n">
        <x:v>64.74</x:v>
      </x:c>
      <x:c r="C735" s="898" t="n">
        <x:v>65.91</x:v>
      </x:c>
      <x:c r="D735" s="898" t="n">
        <x:v>63.96</x:v>
      </x:c>
      <x:c r="E735" s="898" t="n">
        <x:v>65.52</x:v>
      </x:c>
      <x:c r="F735" s="901" t="n">
        <x:v>2136632</x:v>
      </x:c>
      <x:c r="G735" s="904" t="n">
        <x:v>1258.95</x:v>
      </x:c>
      <x:c r="H735" s="904" t="n">
        <x:v>1262.67</x:v>
      </x:c>
      <x:c r="I735" s="904" t="n">
        <x:v>1247.55</x:v>
      </x:c>
      <x:c r="J735" s="904" t="n">
        <x:v>1261.24</x:v>
      </x:c>
      <x:c r="K735" s="901" t="n">
        <x:v>555550983</x:v>
      </x:c>
      <x:c r="L735" s="907" t="str">
        <x:v>SRC-P404</x:v>
      </x:c>
      <x:c r="M735" s="907" t="str">
        <x:v>VNStock API actual</x:v>
      </x:c>
      <x:c r="N735" s="1032" t="n">
        <x:v>46229.241747685184</x:v>
      </x:c>
    </x:row>
    <x:row r="736">
      <x:c r="A736" s="895" t="n">
        <x:v>45470</x:v>
      </x:c>
      <x:c r="B736" s="898" t="n">
        <x:v>65.13</x:v>
      </x:c>
      <x:c r="C736" s="898" t="n">
        <x:v>65.13</x:v>
      </x:c>
      <x:c r="D736" s="898" t="n">
        <x:v>64.35</x:v>
      </x:c>
      <x:c r="E736" s="898" t="n">
        <x:v>65.06</x:v>
      </x:c>
      <x:c r="F736" s="901" t="n">
        <x:v>986959</x:v>
      </x:c>
      <x:c r="G736" s="904" t="n">
        <x:v>1260.71</x:v>
      </x:c>
      <x:c r="H736" s="904" t="n">
        <x:v>1262.49</x:v>
      </x:c>
      <x:c r="I736" s="904" t="n">
        <x:v>1255.12</x:v>
      </x:c>
      <x:c r="J736" s="904" t="n">
        <x:v>1259.09</x:v>
      </x:c>
      <x:c r="K736" s="901" t="n">
        <x:v>446001676</x:v>
      </x:c>
      <x:c r="L736" s="907" t="str">
        <x:v>SRC-P404</x:v>
      </x:c>
      <x:c r="M736" s="907" t="str">
        <x:v>VNStock API actual</x:v>
      </x:c>
      <x:c r="N736" s="1032" t="n">
        <x:v>46229.241747685184</x:v>
      </x:c>
    </x:row>
    <x:row r="737">
      <x:c r="A737" s="895" t="n">
        <x:v>45471</x:v>
      </x:c>
      <x:c r="B737" s="898" t="n">
        <x:v>65.21</x:v>
      </x:c>
      <x:c r="C737" s="898" t="n">
        <x:v>65.68</x:v>
      </x:c>
      <x:c r="D737" s="898" t="n">
        <x:v>64.35</x:v>
      </x:c>
      <x:c r="E737" s="898" t="n">
        <x:v>64.74</x:v>
      </x:c>
      <x:c r="F737" s="901" t="n">
        <x:v>1658955</x:v>
      </x:c>
      <x:c r="G737" s="904" t="n">
        <x:v>1260.27</x:v>
      </x:c>
      <x:c r="H737" s="904" t="n">
        <x:v>1262.61</x:v>
      </x:c>
      <x:c r="I737" s="904" t="n">
        <x:v>1240.15</x:v>
      </x:c>
      <x:c r="J737" s="904" t="n">
        <x:v>1245.32</x:v>
      </x:c>
      <x:c r="K737" s="901" t="n">
        <x:v>635711241</x:v>
      </x:c>
      <x:c r="L737" s="907" t="str">
        <x:v>SRC-P404</x:v>
      </x:c>
      <x:c r="M737" s="907" t="str">
        <x:v>VNStock API actual</x:v>
      </x:c>
      <x:c r="N737" s="1032" t="n">
        <x:v>46229.241747685184</x:v>
      </x:c>
    </x:row>
    <x:row r="738">
      <x:c r="A738" s="895" t="n">
        <x:v>45474</x:v>
      </x:c>
      <x:c r="B738" s="898" t="n">
        <x:v>64.74</x:v>
      </x:c>
      <x:c r="C738" s="898" t="n">
        <x:v>64.74</x:v>
      </x:c>
      <x:c r="D738" s="898" t="n">
        <x:v>63.81</x:v>
      </x:c>
      <x:c r="E738" s="898" t="n">
        <x:v>63.96</x:v>
      </x:c>
      <x:c r="F738" s="901" t="n">
        <x:v>1184150</x:v>
      </x:c>
      <x:c r="G738" s="904" t="n">
        <x:v>1246.33</x:v>
      </x:c>
      <x:c r="H738" s="904" t="n">
        <x:v>1254.56</x:v>
      </x:c>
      <x:c r="I738" s="904" t="n">
        <x:v>1240.07</x:v>
      </x:c>
      <x:c r="J738" s="904" t="n">
        <x:v>1254.56</x:v>
      </x:c>
      <x:c r="K738" s="901" t="n">
        <x:v>403842640</x:v>
      </x:c>
      <x:c r="L738" s="907" t="str">
        <x:v>SRC-P404</x:v>
      </x:c>
      <x:c r="M738" s="907" t="str">
        <x:v>VNStock API actual</x:v>
      </x:c>
      <x:c r="N738" s="1032" t="n">
        <x:v>46229.241747685184</x:v>
      </x:c>
    </x:row>
    <x:row r="739">
      <x:c r="A739" s="895" t="n">
        <x:v>45475</x:v>
      </x:c>
      <x:c r="B739" s="898" t="n">
        <x:v>64.04</x:v>
      </x:c>
      <x:c r="C739" s="898" t="n">
        <x:v>64.82</x:v>
      </x:c>
      <x:c r="D739" s="898" t="n">
        <x:v>63.57</x:v>
      </x:c>
      <x:c r="E739" s="898" t="n">
        <x:v>63.57</x:v>
      </x:c>
      <x:c r="F739" s="901" t="n">
        <x:v>1464706</x:v>
      </x:c>
      <x:c r="G739" s="904" t="n">
        <x:v>1258.87</x:v>
      </x:c>
      <x:c r="H739" s="904" t="n">
        <x:v>1270.47</x:v>
      </x:c>
      <x:c r="I739" s="904" t="n">
        <x:v>1257.93</x:v>
      </x:c>
      <x:c r="J739" s="904" t="n">
        <x:v>1269.79</x:v>
      </x:c>
      <x:c r="K739" s="901" t="n">
        <x:v>441202337</x:v>
      </x:c>
      <x:c r="L739" s="907" t="str">
        <x:v>SRC-P404</x:v>
      </x:c>
      <x:c r="M739" s="907" t="str">
        <x:v>VNStock API actual</x:v>
      </x:c>
      <x:c r="N739" s="1032" t="n">
        <x:v>46229.241747685184</x:v>
      </x:c>
    </x:row>
    <x:row r="740">
      <x:c r="A740" s="895" t="n">
        <x:v>45476</x:v>
      </x:c>
      <x:c r="B740" s="898" t="n">
        <x:v>63.65</x:v>
      </x:c>
      <x:c r="C740" s="898" t="n">
        <x:v>64.28</x:v>
      </x:c>
      <x:c r="D740" s="898" t="n">
        <x:v>63.5</x:v>
      </x:c>
      <x:c r="E740" s="898" t="n">
        <x:v>64.12</x:v>
      </x:c>
      <x:c r="F740" s="901" t="n">
        <x:v>1200162</x:v>
      </x:c>
      <x:c r="G740" s="904" t="n">
        <x:v>1273.26</x:v>
      </x:c>
      <x:c r="H740" s="904" t="n">
        <x:v>1278.14</x:v>
      </x:c>
      <x:c r="I740" s="904" t="n">
        <x:v>1268.23</x:v>
      </x:c>
      <x:c r="J740" s="904" t="n">
        <x:v>1276.85</x:v>
      </x:c>
      <x:c r="K740" s="901" t="n">
        <x:v>469162184</x:v>
      </x:c>
      <x:c r="L740" s="907" t="str">
        <x:v>SRC-P404</x:v>
      </x:c>
      <x:c r="M740" s="907" t="str">
        <x:v>VNStock API actual</x:v>
      </x:c>
      <x:c r="N740" s="1032" t="n">
        <x:v>46229.241747685184</x:v>
      </x:c>
    </x:row>
    <x:row r="741">
      <x:c r="A741" s="895" t="n">
        <x:v>45477</x:v>
      </x:c>
      <x:c r="B741" s="898" t="n">
        <x:v>64.51</x:v>
      </x:c>
      <x:c r="C741" s="898" t="n">
        <x:v>64.59</x:v>
      </x:c>
      <x:c r="D741" s="898" t="n">
        <x:v>63.96</x:v>
      </x:c>
      <x:c r="E741" s="898" t="n">
        <x:v>63.96</x:v>
      </x:c>
      <x:c r="F741" s="901" t="n">
        <x:v>726692</x:v>
      </x:c>
      <x:c r="G741" s="904" t="n">
        <x:v>1278.87</x:v>
      </x:c>
      <x:c r="H741" s="904" t="n">
        <x:v>1283.13</x:v>
      </x:c>
      <x:c r="I741" s="904" t="n">
        <x:v>1274.58</x:v>
      </x:c>
      <x:c r="J741" s="904" t="n">
        <x:v>1279.89</x:v>
      </x:c>
      <x:c r="K741" s="901" t="n">
        <x:v>452214031</x:v>
      </x:c>
      <x:c r="L741" s="907" t="str">
        <x:v>SRC-P404</x:v>
      </x:c>
      <x:c r="M741" s="907" t="str">
        <x:v>VNStock API actual</x:v>
      </x:c>
      <x:c r="N741" s="1032" t="n">
        <x:v>46229.241747685184</x:v>
      </x:c>
    </x:row>
    <x:row r="742">
      <x:c r="A742" s="895" t="n">
        <x:v>45478</x:v>
      </x:c>
      <x:c r="B742" s="898" t="n">
        <x:v>64.59</x:v>
      </x:c>
      <x:c r="C742" s="898" t="n">
        <x:v>65.21</x:v>
      </x:c>
      <x:c r="D742" s="898" t="n">
        <x:v>63.96</x:v>
      </x:c>
      <x:c r="E742" s="898" t="n">
        <x:v>65.21</x:v>
      </x:c>
      <x:c r="F742" s="901" t="n">
        <x:v>1862264</x:v>
      </x:c>
      <x:c r="G742" s="904" t="n">
        <x:v>1281.21</x:v>
      </x:c>
      <x:c r="H742" s="904" t="n">
        <x:v>1284.98</x:v>
      </x:c>
      <x:c r="I742" s="904" t="n">
        <x:v>1276.93</x:v>
      </x:c>
      <x:c r="J742" s="904" t="n">
        <x:v>1283.04</x:v>
      </x:c>
      <x:c r="K742" s="901" t="n">
        <x:v>562932141</x:v>
      </x:c>
      <x:c r="L742" s="907" t="str">
        <x:v>SRC-P404</x:v>
      </x:c>
      <x:c r="M742" s="907" t="str">
        <x:v>VNStock API actual</x:v>
      </x:c>
      <x:c r="N742" s="1032" t="n">
        <x:v>46229.241747685184</x:v>
      </x:c>
    </x:row>
    <x:row r="743">
      <x:c r="A743" s="895" t="n">
        <x:v>45481</x:v>
      </x:c>
      <x:c r="B743" s="898" t="n">
        <x:v>65.52</x:v>
      </x:c>
      <x:c r="C743" s="898" t="n">
        <x:v>65.76</x:v>
      </x:c>
      <x:c r="D743" s="898" t="n">
        <x:v>64.12</x:v>
      </x:c>
      <x:c r="E743" s="898" t="n">
        <x:v>65.52</x:v>
      </x:c>
      <x:c r="F743" s="901" t="n">
        <x:v>1650458</x:v>
      </x:c>
      <x:c r="G743" s="904" t="n">
        <x:v>1285.34</x:v>
      </x:c>
      <x:c r="H743" s="904" t="n">
        <x:v>1287.14</x:v>
      </x:c>
      <x:c r="I743" s="904" t="n">
        <x:v>1277.68</x:v>
      </x:c>
      <x:c r="J743" s="904" t="n">
        <x:v>1283.56</x:v>
      </x:c>
      <x:c r="K743" s="901" t="n">
        <x:v>620542471</x:v>
      </x:c>
      <x:c r="L743" s="907" t="str">
        <x:v>SRC-P404</x:v>
      </x:c>
      <x:c r="M743" s="907" t="str">
        <x:v>VNStock API actual</x:v>
      </x:c>
      <x:c r="N743" s="1032" t="n">
        <x:v>46229.241747685184</x:v>
      </x:c>
    </x:row>
    <x:row r="744">
      <x:c r="A744" s="895" t="n">
        <x:v>45482</x:v>
      </x:c>
      <x:c r="B744" s="898" t="n">
        <x:v>65.6</x:v>
      </x:c>
      <x:c r="C744" s="898" t="n">
        <x:v>66.62</x:v>
      </x:c>
      <x:c r="D744" s="898" t="n">
        <x:v>64.82</x:v>
      </x:c>
      <x:c r="E744" s="898" t="n">
        <x:v>66.3</x:v>
      </x:c>
      <x:c r="F744" s="901" t="n">
        <x:v>2351193</x:v>
      </x:c>
      <x:c r="G744" s="904" t="n">
        <x:v>1286.33</x:v>
      </x:c>
      <x:c r="H744" s="904" t="n">
        <x:v>1294.15</x:v>
      </x:c>
      <x:c r="I744" s="904" t="n">
        <x:v>1283.62</x:v>
      </x:c>
      <x:c r="J744" s="904" t="n">
        <x:v>1293.71</x:v>
      </x:c>
      <x:c r="K744" s="901" t="n">
        <x:v>715099055</x:v>
      </x:c>
      <x:c r="L744" s="907" t="str">
        <x:v>SRC-P404</x:v>
      </x:c>
      <x:c r="M744" s="907" t="str">
        <x:v>VNStock API actual</x:v>
      </x:c>
      <x:c r="N744" s="1032" t="n">
        <x:v>46229.241747685184</x:v>
      </x:c>
    </x:row>
    <x:row r="745">
      <x:c r="A745" s="895" t="n">
        <x:v>45483</x:v>
      </x:c>
      <x:c r="B745" s="898" t="n">
        <x:v>66.38</x:v>
      </x:c>
      <x:c r="C745" s="898" t="n">
        <x:v>66.46</x:v>
      </x:c>
      <x:c r="D745" s="898" t="n">
        <x:v>65.52</x:v>
      </x:c>
      <x:c r="E745" s="898" t="n">
        <x:v>65.6</x:v>
      </x:c>
      <x:c r="F745" s="901" t="n">
        <x:v>1232526</x:v>
      </x:c>
      <x:c r="G745" s="904" t="n">
        <x:v>1295.57</x:v>
      </x:c>
      <x:c r="H745" s="904" t="n">
        <x:v>1297.96</x:v>
      </x:c>
      <x:c r="I745" s="904" t="n">
        <x:v>1285.94</x:v>
      </x:c>
      <x:c r="J745" s="904" t="n">
        <x:v>1285.94</x:v>
      </x:c>
      <x:c r="K745" s="901" t="n">
        <x:v>634688932</x:v>
      </x:c>
      <x:c r="L745" s="907" t="str">
        <x:v>SRC-P404</x:v>
      </x:c>
      <x:c r="M745" s="907" t="str">
        <x:v>VNStock API actual</x:v>
      </x:c>
      <x:c r="N745" s="1032" t="n">
        <x:v>46229.241747685184</x:v>
      </x:c>
    </x:row>
    <x:row r="746">
      <x:c r="A746" s="895" t="n">
        <x:v>45484</x:v>
      </x:c>
      <x:c r="B746" s="898" t="n">
        <x:v>65.68</x:v>
      </x:c>
      <x:c r="C746" s="898" t="n">
        <x:v>66.07</x:v>
      </x:c>
      <x:c r="D746" s="898" t="n">
        <x:v>65.29</x:v>
      </x:c>
      <x:c r="E746" s="898" t="n">
        <x:v>65.29</x:v>
      </x:c>
      <x:c r="F746" s="901" t="n">
        <x:v>782318</x:v>
      </x:c>
      <x:c r="G746" s="904" t="n">
        <x:v>1291.14</x:v>
      </x:c>
      <x:c r="H746" s="904" t="n">
        <x:v>1293.32</x:v>
      </x:c>
      <x:c r="I746" s="904" t="n">
        <x:v>1283.8</x:v>
      </x:c>
      <x:c r="J746" s="904" t="n">
        <x:v>1283.8</x:v>
      </x:c>
      <x:c r="K746" s="901" t="n">
        <x:v>595188348</x:v>
      </x:c>
      <x:c r="L746" s="907" t="str">
        <x:v>SRC-P404</x:v>
      </x:c>
      <x:c r="M746" s="907" t="str">
        <x:v>VNStock API actual</x:v>
      </x:c>
      <x:c r="N746" s="1032" t="n">
        <x:v>46229.241747685184</x:v>
      </x:c>
    </x:row>
    <x:row r="747">
      <x:c r="A747" s="895" t="n">
        <x:v>45485</x:v>
      </x:c>
      <x:c r="B747" s="898" t="n">
        <x:v>65.37</x:v>
      </x:c>
      <x:c r="C747" s="898" t="n">
        <x:v>65.76</x:v>
      </x:c>
      <x:c r="D747" s="898" t="n">
        <x:v>64.9</x:v>
      </x:c>
      <x:c r="E747" s="898" t="n">
        <x:v>65.52</x:v>
      </x:c>
      <x:c r="F747" s="901" t="n">
        <x:v>1043875</x:v>
      </x:c>
      <x:c r="G747" s="904" t="n">
        <x:v>1284.57</x:v>
      </x:c>
      <x:c r="H747" s="904" t="n">
        <x:v>1288.67</x:v>
      </x:c>
      <x:c r="I747" s="904" t="n">
        <x:v>1277.16</x:v>
      </x:c>
      <x:c r="J747" s="904" t="n">
        <x:v>1280.75</x:v>
      </x:c>
      <x:c r="K747" s="901" t="n">
        <x:v>505651034</x:v>
      </x:c>
      <x:c r="L747" s="907" t="str">
        <x:v>SRC-P404</x:v>
      </x:c>
      <x:c r="M747" s="907" t="str">
        <x:v>VNStock API actual</x:v>
      </x:c>
      <x:c r="N747" s="1032" t="n">
        <x:v>46229.241747685184</x:v>
      </x:c>
    </x:row>
    <x:row r="748">
      <x:c r="A748" s="895" t="n">
        <x:v>45488</x:v>
      </x:c>
      <x:c r="B748" s="898" t="n">
        <x:v>66.09</x:v>
      </x:c>
      <x:c r="C748" s="898" t="n">
        <x:v>66.09</x:v>
      </x:c>
      <x:c r="D748" s="898" t="n">
        <x:v>65.04</x:v>
      </x:c>
      <x:c r="E748" s="898" t="n">
        <x:v>65.12</x:v>
      </x:c>
      <x:c r="F748" s="901" t="n">
        <x:v>850503</x:v>
      </x:c>
      <x:c r="G748" s="904" t="n">
        <x:v>1284.14</x:v>
      </x:c>
      <x:c r="H748" s="904" t="n">
        <x:v>1286.37</x:v>
      </x:c>
      <x:c r="I748" s="904" t="n">
        <x:v>1276.27</x:v>
      </x:c>
      <x:c r="J748" s="904" t="n">
        <x:v>1279.82</x:v>
      </x:c>
      <x:c r="K748" s="901" t="n">
        <x:v>440329239</x:v>
      </x:c>
      <x:c r="L748" s="907" t="str">
        <x:v>SRC-P404</x:v>
      </x:c>
      <x:c r="M748" s="907" t="str">
        <x:v>VNStock API actual</x:v>
      </x:c>
      <x:c r="N748" s="1032" t="n">
        <x:v>46229.241747685184</x:v>
      </x:c>
    </x:row>
    <x:row r="749">
      <x:c r="A749" s="895" t="n">
        <x:v>45489</x:v>
      </x:c>
      <x:c r="B749" s="898" t="n">
        <x:v>65.2</x:v>
      </x:c>
      <x:c r="C749" s="898" t="n">
        <x:v>65.44</x:v>
      </x:c>
      <x:c r="D749" s="898" t="n">
        <x:v>64.88</x:v>
      </x:c>
      <x:c r="E749" s="898" t="n">
        <x:v>65.12</x:v>
      </x:c>
      <x:c r="F749" s="901" t="n">
        <x:v>817117</x:v>
      </x:c>
      <x:c r="G749" s="904" t="n">
        <x:v>1282.83</x:v>
      </x:c>
      <x:c r="H749" s="904" t="n">
        <x:v>1291.47</x:v>
      </x:c>
      <x:c r="I749" s="904" t="n">
        <x:v>1279.37</x:v>
      </x:c>
      <x:c r="J749" s="904" t="n">
        <x:v>1281.18</x:v>
      </x:c>
      <x:c r="K749" s="901" t="n">
        <x:v>598892375</x:v>
      </x:c>
      <x:c r="L749" s="907" t="str">
        <x:v>SRC-P404</x:v>
      </x:c>
      <x:c r="M749" s="907" t="str">
        <x:v>VNStock API actual</x:v>
      </x:c>
      <x:c r="N749" s="1032" t="n">
        <x:v>46229.241747685184</x:v>
      </x:c>
    </x:row>
    <x:row r="750">
      <x:c r="A750" s="895" t="n">
        <x:v>45490</x:v>
      </x:c>
      <x:c r="B750" s="898" t="n">
        <x:v>65.28</x:v>
      </x:c>
      <x:c r="C750" s="898" t="n">
        <x:v>65.28</x:v>
      </x:c>
      <x:c r="D750" s="898" t="n">
        <x:v>60.72</x:v>
      </x:c>
      <x:c r="E750" s="898" t="n">
        <x:v>64.88</x:v>
      </x:c>
      <x:c r="F750" s="901" t="n">
        <x:v>2021665</x:v>
      </x:c>
      <x:c r="G750" s="904" t="n">
        <x:v>1286.07</x:v>
      </x:c>
      <x:c r="H750" s="904" t="n">
        <x:v>1290.76</x:v>
      </x:c>
      <x:c r="I750" s="904" t="n">
        <x:v>1256.42</x:v>
      </x:c>
      <x:c r="J750" s="904" t="n">
        <x:v>1268.66</x:v>
      </x:c>
      <x:c r="K750" s="901" t="n">
        <x:v>1092895884</x:v>
      </x:c>
      <x:c r="L750" s="907" t="str">
        <x:v>SRC-P404</x:v>
      </x:c>
      <x:c r="M750" s="907" t="str">
        <x:v>VNStock API actual</x:v>
      </x:c>
      <x:c r="N750" s="1032" t="n">
        <x:v>46229.241747685184</x:v>
      </x:c>
    </x:row>
    <x:row r="751">
      <x:c r="A751" s="895" t="n">
        <x:v>45491</x:v>
      </x:c>
      <x:c r="B751" s="898" t="n">
        <x:v>64.08</x:v>
      </x:c>
      <x:c r="C751" s="898" t="n">
        <x:v>64.88</x:v>
      </x:c>
      <x:c r="D751" s="898" t="n">
        <x:v>62.96</x:v>
      </x:c>
      <x:c r="E751" s="898" t="n">
        <x:v>64</x:v>
      </x:c>
      <x:c r="F751" s="901" t="n">
        <x:v>1351321</x:v>
      </x:c>
      <x:c r="G751" s="904" t="n">
        <x:v>1270.95</x:v>
      </x:c>
      <x:c r="H751" s="904" t="n">
        <x:v>1274.67</x:v>
      </x:c>
      <x:c r="I751" s="904" t="n">
        <x:v>1256.21</x:v>
      </x:c>
      <x:c r="J751" s="904" t="n">
        <x:v>1274.44</x:v>
      </x:c>
      <x:c r="K751" s="901" t="n">
        <x:v>612004645</x:v>
      </x:c>
      <x:c r="L751" s="907" t="str">
        <x:v>SRC-P404</x:v>
      </x:c>
      <x:c r="M751" s="907" t="str">
        <x:v>VNStock API actual</x:v>
      </x:c>
      <x:c r="N751" s="1032" t="n">
        <x:v>46229.241747685184</x:v>
      </x:c>
    </x:row>
    <x:row r="752">
      <x:c r="A752" s="895" t="n">
        <x:v>45492</x:v>
      </x:c>
      <x:c r="B752" s="898" t="n">
        <x:v>63.52</x:v>
      </x:c>
      <x:c r="C752" s="898" t="n">
        <x:v>64.24</x:v>
      </x:c>
      <x:c r="D752" s="898" t="n">
        <x:v>62.16</x:v>
      </x:c>
      <x:c r="E752" s="898" t="n">
        <x:v>63.12</x:v>
      </x:c>
      <x:c r="F752" s="901" t="n">
        <x:v>1300910</x:v>
      </x:c>
      <x:c r="G752" s="904" t="n">
        <x:v>1275.28</x:v>
      </x:c>
      <x:c r="H752" s="904" t="n">
        <x:v>1279.94</x:v>
      </x:c>
      <x:c r="I752" s="904" t="n">
        <x:v>1260.68</x:v>
      </x:c>
      <x:c r="J752" s="904" t="n">
        <x:v>1264.78</x:v>
      </x:c>
      <x:c r="K752" s="901" t="n">
        <x:v>682708976</x:v>
      </x:c>
      <x:c r="L752" s="907" t="str">
        <x:v>SRC-P404</x:v>
      </x:c>
      <x:c r="M752" s="907" t="str">
        <x:v>VNStock API actual</x:v>
      </x:c>
      <x:c r="N752" s="1032" t="n">
        <x:v>46229.241747685184</x:v>
      </x:c>
    </x:row>
    <x:row r="753">
      <x:c r="A753" s="895" t="n">
        <x:v>45495</x:v>
      </x:c>
      <x:c r="B753" s="898" t="n">
        <x:v>62.64</x:v>
      </x:c>
      <x:c r="C753" s="898" t="n">
        <x:v>62.64</x:v>
      </x:c>
      <x:c r="D753" s="898" t="n">
        <x:v>61.04</x:v>
      </x:c>
      <x:c r="E753" s="898" t="n">
        <x:v>62.48</x:v>
      </x:c>
      <x:c r="F753" s="901" t="n">
        <x:v>1766523</x:v>
      </x:c>
      <x:c r="G753" s="904" t="n">
        <x:v>1261.42</x:v>
      </x:c>
      <x:c r="H753" s="904" t="n">
        <x:v>1267.43</x:v>
      </x:c>
      <x:c r="I753" s="904" t="n">
        <x:v>1245.02</x:v>
      </x:c>
      <x:c r="J753" s="904" t="n">
        <x:v>1254.64</x:v>
      </x:c>
      <x:c r="K753" s="901" t="n">
        <x:v>777593563</x:v>
      </x:c>
      <x:c r="L753" s="907" t="str">
        <x:v>SRC-P404</x:v>
      </x:c>
      <x:c r="M753" s="907" t="str">
        <x:v>VNStock API actual</x:v>
      </x:c>
      <x:c r="N753" s="1032" t="n">
        <x:v>46229.241747685184</x:v>
      </x:c>
    </x:row>
    <x:row r="754">
      <x:c r="A754" s="895" t="n">
        <x:v>45496</x:v>
      </x:c>
      <x:c r="B754" s="898" t="n">
        <x:v>62.48</x:v>
      </x:c>
      <x:c r="C754" s="898" t="n">
        <x:v>62.48</x:v>
      </x:c>
      <x:c r="D754" s="898" t="n">
        <x:v>61.2</x:v>
      </x:c>
      <x:c r="E754" s="898" t="n">
        <x:v>61.36</x:v>
      </x:c>
      <x:c r="F754" s="901" t="n">
        <x:v>955281</x:v>
      </x:c>
      <x:c r="G754" s="904" t="n">
        <x:v>1256.72</x:v>
      </x:c>
      <x:c r="H754" s="904" t="n">
        <x:v>1258.74</x:v>
      </x:c>
      <x:c r="I754" s="904" t="n">
        <x:v>1231.81</x:v>
      </x:c>
      <x:c r="J754" s="904" t="n">
        <x:v>1231.81</x:v>
      </x:c>
      <x:c r="K754" s="901" t="n">
        <x:v>616528413</x:v>
      </x:c>
      <x:c r="L754" s="907" t="str">
        <x:v>SRC-P404</x:v>
      </x:c>
      <x:c r="M754" s="907" t="str">
        <x:v>VNStock API actual</x:v>
      </x:c>
      <x:c r="N754" s="1032" t="n">
        <x:v>46229.241747685184</x:v>
      </x:c>
    </x:row>
    <x:row r="755">
      <x:c r="A755" s="895" t="n">
        <x:v>45497</x:v>
      </x:c>
      <x:c r="B755" s="898" t="n">
        <x:v>59.84</x:v>
      </x:c>
      <x:c r="C755" s="898" t="n">
        <x:v>62.64</x:v>
      </x:c>
      <x:c r="D755" s="898" t="n">
        <x:v>59.84</x:v>
      </x:c>
      <x:c r="E755" s="898" t="n">
        <x:v>62.4</x:v>
      </x:c>
      <x:c r="F755" s="901" t="n">
        <x:v>1359170</x:v>
      </x:c>
      <x:c r="G755" s="904" t="n">
        <x:v>1225.5</x:v>
      </x:c>
      <x:c r="H755" s="904" t="n">
        <x:v>1242.4</x:v>
      </x:c>
      <x:c r="I755" s="904" t="n">
        <x:v>1218.65</x:v>
      </x:c>
      <x:c r="J755" s="904" t="n">
        <x:v>1238.47</x:v>
      </x:c>
      <x:c r="K755" s="901" t="n">
        <x:v>614914657</x:v>
      </x:c>
      <x:c r="L755" s="907" t="str">
        <x:v>SRC-P404</x:v>
      </x:c>
      <x:c r="M755" s="907" t="str">
        <x:v>VNStock API actual</x:v>
      </x:c>
      <x:c r="N755" s="1032" t="n">
        <x:v>46229.241747685184</x:v>
      </x:c>
    </x:row>
    <x:row r="756">
      <x:c r="A756" s="895" t="n">
        <x:v>45498</x:v>
      </x:c>
      <x:c r="B756" s="898" t="n">
        <x:v>61.68</x:v>
      </x:c>
      <x:c r="C756" s="898" t="n">
        <x:v>62.24</x:v>
      </x:c>
      <x:c r="D756" s="898" t="n">
        <x:v>61.6</x:v>
      </x:c>
      <x:c r="E756" s="898" t="n">
        <x:v>62.24</x:v>
      </x:c>
      <x:c r="F756" s="901" t="n">
        <x:v>415025</x:v>
      </x:c>
      <x:c r="G756" s="904" t="n">
        <x:v>1232.92</x:v>
      </x:c>
      <x:c r="H756" s="904" t="n">
        <x:v>1235.67</x:v>
      </x:c>
      <x:c r="I756" s="904" t="n">
        <x:v>1226.2</x:v>
      </x:c>
      <x:c r="J756" s="904" t="n">
        <x:v>1233.19</x:v>
      </x:c>
      <x:c r="K756" s="901" t="n">
        <x:v>382805489</x:v>
      </x:c>
      <x:c r="L756" s="907" t="str">
        <x:v>SRC-P404</x:v>
      </x:c>
      <x:c r="M756" s="907" t="str">
        <x:v>VNStock API actual</x:v>
      </x:c>
      <x:c r="N756" s="1032" t="n">
        <x:v>46229.241747685184</x:v>
      </x:c>
    </x:row>
    <x:row r="757">
      <x:c r="A757" s="895" t="n">
        <x:v>45499</x:v>
      </x:c>
      <x:c r="B757" s="898" t="n">
        <x:v>62.24</x:v>
      </x:c>
      <x:c r="C757" s="898" t="n">
        <x:v>63.28</x:v>
      </x:c>
      <x:c r="D757" s="898" t="n">
        <x:v>62</x:v>
      </x:c>
      <x:c r="E757" s="898" t="n">
        <x:v>63.28</x:v>
      </x:c>
      <x:c r="F757" s="901" t="n">
        <x:v>643651</x:v>
      </x:c>
      <x:c r="G757" s="904" t="n">
        <x:v>1235.21</x:v>
      </x:c>
      <x:c r="H757" s="904" t="n">
        <x:v>1242.11</x:v>
      </x:c>
      <x:c r="I757" s="904" t="n">
        <x:v>1234.05</x:v>
      </x:c>
      <x:c r="J757" s="904" t="n">
        <x:v>1242.11</x:v>
      </x:c>
      <x:c r="K757" s="901" t="n">
        <x:v>383860021</x:v>
      </x:c>
      <x:c r="L757" s="907" t="str">
        <x:v>SRC-P404</x:v>
      </x:c>
      <x:c r="M757" s="907" t="str">
        <x:v>VNStock API actual</x:v>
      </x:c>
      <x:c r="N757" s="1032" t="n">
        <x:v>46229.241747685184</x:v>
      </x:c>
    </x:row>
    <x:row r="758">
      <x:c r="A758" s="895" t="n">
        <x:v>45502</x:v>
      </x:c>
      <x:c r="B758" s="898" t="n">
        <x:v>63.36</x:v>
      </x:c>
      <x:c r="C758" s="898" t="n">
        <x:v>63.68</x:v>
      </x:c>
      <x:c r="D758" s="898" t="n">
        <x:v>63.04</x:v>
      </x:c>
      <x:c r="E758" s="898" t="n">
        <x:v>63.28</x:v>
      </x:c>
      <x:c r="F758" s="901" t="n">
        <x:v>272095</x:v>
      </x:c>
      <x:c r="G758" s="904" t="n">
        <x:v>1247.71</x:v>
      </x:c>
      <x:c r="H758" s="904" t="n">
        <x:v>1249.68</x:v>
      </x:c>
      <x:c r="I758" s="904" t="n">
        <x:v>1243.08</x:v>
      </x:c>
      <x:c r="J758" s="904" t="n">
        <x:v>1246.6</x:v>
      </x:c>
      <x:c r="K758" s="901" t="n">
        <x:v>422568067</x:v>
      </x:c>
      <x:c r="L758" s="907" t="str">
        <x:v>SRC-P404</x:v>
      </x:c>
      <x:c r="M758" s="907" t="str">
        <x:v>VNStock API actual</x:v>
      </x:c>
      <x:c r="N758" s="1032" t="n">
        <x:v>46229.241747685184</x:v>
      </x:c>
    </x:row>
    <x:row r="759">
      <x:c r="A759" s="895" t="n">
        <x:v>45503</x:v>
      </x:c>
      <x:c r="B759" s="898" t="n">
        <x:v>62.88</x:v>
      </x:c>
      <x:c r="C759" s="898" t="n">
        <x:v>63.44</x:v>
      </x:c>
      <x:c r="D759" s="898" t="n">
        <x:v>62.88</x:v>
      </x:c>
      <x:c r="E759" s="898" t="n">
        <x:v>63.28</x:v>
      </x:c>
      <x:c r="F759" s="901" t="n">
        <x:v>472744</x:v>
      </x:c>
      <x:c r="G759" s="904" t="n">
        <x:v>1247.23</x:v>
      </x:c>
      <x:c r="H759" s="904" t="n">
        <x:v>1248.73</x:v>
      </x:c>
      <x:c r="I759" s="904" t="n">
        <x:v>1236.97</x:v>
      </x:c>
      <x:c r="J759" s="904" t="n">
        <x:v>1245.06</x:v>
      </x:c>
      <x:c r="K759" s="901" t="n">
        <x:v>566133540</x:v>
      </x:c>
      <x:c r="L759" s="907" t="str">
        <x:v>SRC-P404</x:v>
      </x:c>
      <x:c r="M759" s="907" t="str">
        <x:v>VNStock API actual</x:v>
      </x:c>
      <x:c r="N759" s="1032" t="n">
        <x:v>46229.241747685184</x:v>
      </x:c>
    </x:row>
    <x:row r="760">
      <x:c r="A760" s="895" t="n">
        <x:v>45504</x:v>
      </x:c>
      <x:c r="B760" s="898" t="n">
        <x:v>63.28</x:v>
      </x:c>
      <x:c r="C760" s="898" t="n">
        <x:v>64.08</x:v>
      </x:c>
      <x:c r="D760" s="898" t="n">
        <x:v>62.88</x:v>
      </x:c>
      <x:c r="E760" s="898" t="n">
        <x:v>64.08</x:v>
      </x:c>
      <x:c r="F760" s="901" t="n">
        <x:v>797416</x:v>
      </x:c>
      <x:c r="G760" s="904" t="n">
        <x:v>1247.45</x:v>
      </x:c>
      <x:c r="H760" s="904" t="n">
        <x:v>1255.77</x:v>
      </x:c>
      <x:c r="I760" s="904" t="n">
        <x:v>1246.3</x:v>
      </x:c>
      <x:c r="J760" s="904" t="n">
        <x:v>1251.51</x:v>
      </x:c>
      <x:c r="K760" s="901" t="n">
        <x:v>626496505</x:v>
      </x:c>
      <x:c r="L760" s="907" t="str">
        <x:v>SRC-P404</x:v>
      </x:c>
      <x:c r="M760" s="907" t="str">
        <x:v>VNStock API actual</x:v>
      </x:c>
      <x:c r="N760" s="1032" t="n">
        <x:v>46229.241747685184</x:v>
      </x:c>
    </x:row>
    <x:row r="761">
      <x:c r="A761" s="895" t="n">
        <x:v>45505</x:v>
      </x:c>
      <x:c r="B761" s="898" t="n">
        <x:v>63.92</x:v>
      </x:c>
      <x:c r="C761" s="898" t="n">
        <x:v>63.92</x:v>
      </x:c>
      <x:c r="D761" s="898" t="n">
        <x:v>62.72</x:v>
      </x:c>
      <x:c r="E761" s="898" t="n">
        <x:v>63.2</x:v>
      </x:c>
      <x:c r="F761" s="901" t="n">
        <x:v>1052275</x:v>
      </x:c>
      <x:c r="G761" s="904" t="n">
        <x:v>1254.59</x:v>
      </x:c>
      <x:c r="H761" s="904" t="n">
        <x:v>1257.85</x:v>
      </x:c>
      <x:c r="I761" s="904" t="n">
        <x:v>1222.51</x:v>
      </x:c>
      <x:c r="J761" s="904" t="n">
        <x:v>1226.96</x:v>
      </x:c>
      <x:c r="K761" s="901" t="n">
        <x:v>792496617</x:v>
      </x:c>
      <x:c r="L761" s="907" t="str">
        <x:v>SRC-P404</x:v>
      </x:c>
      <x:c r="M761" s="907" t="str">
        <x:v>VNStock API actual</x:v>
      </x:c>
      <x:c r="N761" s="1032" t="n">
        <x:v>46229.241747685184</x:v>
      </x:c>
    </x:row>
    <x:row r="762">
      <x:c r="A762" s="895" t="n">
        <x:v>45506</x:v>
      </x:c>
      <x:c r="B762" s="898" t="n">
        <x:v>61.12</x:v>
      </x:c>
      <x:c r="C762" s="898" t="n">
        <x:v>64.88</x:v>
      </x:c>
      <x:c r="D762" s="898" t="n">
        <x:v>61.12</x:v>
      </x:c>
      <x:c r="E762" s="898" t="n">
        <x:v>64.88</x:v>
      </x:c>
      <x:c r="F762" s="901" t="n">
        <x:v>1278649</x:v>
      </x:c>
      <x:c r="G762" s="904" t="n">
        <x:v>1215.67</x:v>
      </x:c>
      <x:c r="H762" s="904" t="n">
        <x:v>1236.6</x:v>
      </x:c>
      <x:c r="I762" s="904" t="n">
        <x:v>1209.77</x:v>
      </x:c>
      <x:c r="J762" s="904" t="n">
        <x:v>1236.6</x:v>
      </x:c>
      <x:c r="K762" s="901" t="n">
        <x:v>611459171</x:v>
      </x:c>
      <x:c r="L762" s="907" t="str">
        <x:v>SRC-P404</x:v>
      </x:c>
      <x:c r="M762" s="907" t="str">
        <x:v>VNStock API actual</x:v>
      </x:c>
      <x:c r="N762" s="1032" t="n">
        <x:v>46229.241747685184</x:v>
      </x:c>
    </x:row>
    <x:row r="763">
      <x:c r="A763" s="895" t="n">
        <x:v>45509</x:v>
      </x:c>
      <x:c r="B763" s="898" t="n">
        <x:v>63.12</x:v>
      </x:c>
      <x:c r="C763" s="898" t="n">
        <x:v>63.84</x:v>
      </x:c>
      <x:c r="D763" s="898" t="n">
        <x:v>60.56</x:v>
      </x:c>
      <x:c r="E763" s="898" t="n">
        <x:v>60.56</x:v>
      </x:c>
      <x:c r="F763" s="901" t="n">
        <x:v>1116790</x:v>
      </x:c>
      <x:c r="G763" s="904" t="n">
        <x:v>1219.05</x:v>
      </x:c>
      <x:c r="H763" s="904" t="n">
        <x:v>1220.99</x:v>
      </x:c>
      <x:c r="I763" s="904" t="n">
        <x:v>1184.53</x:v>
      </x:c>
      <x:c r="J763" s="904" t="n">
        <x:v>1188.07</x:v>
      </x:c>
      <x:c r="K763" s="901" t="n">
        <x:v>871578892</x:v>
      </x:c>
      <x:c r="L763" s="907" t="str">
        <x:v>SRC-P404</x:v>
      </x:c>
      <x:c r="M763" s="907" t="str">
        <x:v>VNStock API actual</x:v>
      </x:c>
      <x:c r="N763" s="1032" t="n">
        <x:v>46229.241747685184</x:v>
      </x:c>
    </x:row>
    <x:row r="764">
      <x:c r="A764" s="895" t="n">
        <x:v>45510</x:v>
      </x:c>
      <x:c r="B764" s="898" t="n">
        <x:v>60.24</x:v>
      </x:c>
      <x:c r="C764" s="898" t="n">
        <x:v>61.68</x:v>
      </x:c>
      <x:c r="D764" s="898" t="n">
        <x:v>60.16</x:v>
      </x:c>
      <x:c r="E764" s="898" t="n">
        <x:v>61.68</x:v>
      </x:c>
      <x:c r="F764" s="901" t="n">
        <x:v>786763</x:v>
      </x:c>
      <x:c r="G764" s="904" t="n">
        <x:v>1197.52</x:v>
      </x:c>
      <x:c r="H764" s="904" t="n">
        <x:v>1213.35</x:v>
      </x:c>
      <x:c r="I764" s="904" t="n">
        <x:v>1186.74</x:v>
      </x:c>
      <x:c r="J764" s="904" t="n">
        <x:v>1210.28</x:v>
      </x:c>
      <x:c r="K764" s="901" t="n">
        <x:v>552603849</x:v>
      </x:c>
      <x:c r="L764" s="907" t="str">
        <x:v>SRC-P404</x:v>
      </x:c>
      <x:c r="M764" s="907" t="str">
        <x:v>VNStock API actual</x:v>
      </x:c>
      <x:c r="N764" s="1032" t="n">
        <x:v>46229.241747685184</x:v>
      </x:c>
    </x:row>
    <x:row r="765">
      <x:c r="A765" s="895" t="n">
        <x:v>45511</x:v>
      </x:c>
      <x:c r="B765" s="898" t="n">
        <x:v>61.6</x:v>
      </x:c>
      <x:c r="C765" s="898" t="n">
        <x:v>61.68</x:v>
      </x:c>
      <x:c r="D765" s="898" t="n">
        <x:v>60.56</x:v>
      </x:c>
      <x:c r="E765" s="898" t="n">
        <x:v>61.12</x:v>
      </x:c>
      <x:c r="F765" s="901" t="n">
        <x:v>485323</x:v>
      </x:c>
      <x:c r="G765" s="904" t="n">
        <x:v>1216.96</x:v>
      </x:c>
      <x:c r="H765" s="904" t="n">
        <x:v>1217.79</x:v>
      </x:c>
      <x:c r="I765" s="904" t="n">
        <x:v>1205.11</x:v>
      </x:c>
      <x:c r="J765" s="904" t="n">
        <x:v>1215.88</x:v>
      </x:c>
      <x:c r="K765" s="901" t="n">
        <x:v>461425878</x:v>
      </x:c>
      <x:c r="L765" s="907" t="str">
        <x:v>SRC-P404</x:v>
      </x:c>
      <x:c r="M765" s="907" t="str">
        <x:v>VNStock API actual</x:v>
      </x:c>
      <x:c r="N765" s="1032" t="n">
        <x:v>46229.241747685184</x:v>
      </x:c>
    </x:row>
    <x:row r="766">
      <x:c r="A766" s="895" t="n">
        <x:v>45512</x:v>
      </x:c>
      <x:c r="B766" s="898" t="n">
        <x:v>60.72</x:v>
      </x:c>
      <x:c r="C766" s="898" t="n">
        <x:v>61.36</x:v>
      </x:c>
      <x:c r="D766" s="898" t="n">
        <x:v>60.4</x:v>
      </x:c>
      <x:c r="E766" s="898" t="n">
        <x:v>61.28</x:v>
      </x:c>
      <x:c r="F766" s="901" t="n">
        <x:v>446565</x:v>
      </x:c>
      <x:c r="G766" s="904" t="n">
        <x:v>1211.83</x:v>
      </x:c>
      <x:c r="H766" s="904" t="n">
        <x:v>1219.97</x:v>
      </x:c>
      <x:c r="I766" s="904" t="n">
        <x:v>1202.58</x:v>
      </x:c>
      <x:c r="J766" s="904" t="n">
        <x:v>1208.32</x:v>
      </x:c>
      <x:c r="K766" s="901" t="n">
        <x:v>579962780</x:v>
      </x:c>
      <x:c r="L766" s="907" t="str">
        <x:v>SRC-P404</x:v>
      </x:c>
      <x:c r="M766" s="907" t="str">
        <x:v>VNStock API actual</x:v>
      </x:c>
      <x:c r="N766" s="1032" t="n">
        <x:v>46229.241747685184</x:v>
      </x:c>
    </x:row>
    <x:row r="767">
      <x:c r="A767" s="895" t="n">
        <x:v>45513</x:v>
      </x:c>
      <x:c r="B767" s="898" t="n">
        <x:v>61.52</x:v>
      </x:c>
      <x:c r="C767" s="898" t="n">
        <x:v>62.32</x:v>
      </x:c>
      <x:c r="D767" s="898" t="n">
        <x:v>61.04</x:v>
      </x:c>
      <x:c r="E767" s="898" t="n">
        <x:v>61.76</x:v>
      </x:c>
      <x:c r="F767" s="901" t="n">
        <x:v>694195</x:v>
      </x:c>
      <x:c r="G767" s="904" t="n">
        <x:v>1215.3</x:v>
      </x:c>
      <x:c r="H767" s="904" t="n">
        <x:v>1225.02</x:v>
      </x:c>
      <x:c r="I767" s="904" t="n">
        <x:v>1212.4</x:v>
      </x:c>
      <x:c r="J767" s="904" t="n">
        <x:v>1223.64</x:v>
      </x:c>
      <x:c r="K767" s="901" t="n">
        <x:v>502888457</x:v>
      </x:c>
      <x:c r="L767" s="907" t="str">
        <x:v>SRC-P404</x:v>
      </x:c>
      <x:c r="M767" s="907" t="str">
        <x:v>VNStock API actual</x:v>
      </x:c>
      <x:c r="N767" s="1032" t="n">
        <x:v>46229.241747685184</x:v>
      </x:c>
    </x:row>
    <x:row r="768">
      <x:c r="A768" s="895" t="n">
        <x:v>45516</x:v>
      </x:c>
      <x:c r="B768" s="898" t="n">
        <x:v>62.4</x:v>
      </x:c>
      <x:c r="C768" s="898" t="n">
        <x:v>63.92</x:v>
      </x:c>
      <x:c r="D768" s="898" t="n">
        <x:v>62.08</x:v>
      </x:c>
      <x:c r="E768" s="898" t="n">
        <x:v>63.28</x:v>
      </x:c>
      <x:c r="F768" s="901" t="n">
        <x:v>563600</x:v>
      </x:c>
      <x:c r="G768" s="904" t="n">
        <x:v>1225.95</x:v>
      </x:c>
      <x:c r="H768" s="904" t="n">
        <x:v>1231.46</x:v>
      </x:c>
      <x:c r="I768" s="904" t="n">
        <x:v>1221.16</x:v>
      </x:c>
      <x:c r="J768" s="904" t="n">
        <x:v>1230.28</x:v>
      </x:c>
      <x:c r="K768" s="901" t="n">
        <x:v>447955533</x:v>
      </x:c>
      <x:c r="L768" s="907" t="str">
        <x:v>SRC-P404</x:v>
      </x:c>
      <x:c r="M768" s="907" t="str">
        <x:v>VNStock API actual</x:v>
      </x:c>
      <x:c r="N768" s="1032" t="n">
        <x:v>46229.241747685184</x:v>
      </x:c>
    </x:row>
    <x:row r="769">
      <x:c r="A769" s="895" t="n">
        <x:v>45517</x:v>
      </x:c>
      <x:c r="B769" s="898" t="n">
        <x:v>63.52</x:v>
      </x:c>
      <x:c r="C769" s="898" t="n">
        <x:v>63.6</x:v>
      </x:c>
      <x:c r="D769" s="898" t="n">
        <x:v>62.72</x:v>
      </x:c>
      <x:c r="E769" s="898" t="n">
        <x:v>62.96</x:v>
      </x:c>
      <x:c r="F769" s="901" t="n">
        <x:v>220971</x:v>
      </x:c>
      <x:c r="G769" s="904" t="n">
        <x:v>1229.81</x:v>
      </x:c>
      <x:c r="H769" s="904" t="n">
        <x:v>1231.55</x:v>
      </x:c>
      <x:c r="I769" s="904" t="n">
        <x:v>1223.01</x:v>
      </x:c>
      <x:c r="J769" s="904" t="n">
        <x:v>1230.42</x:v>
      </x:c>
      <x:c r="K769" s="901" t="n">
        <x:v>447926581</x:v>
      </x:c>
      <x:c r="L769" s="907" t="str">
        <x:v>SRC-P404</x:v>
      </x:c>
      <x:c r="M769" s="907" t="str">
        <x:v>VNStock API actual</x:v>
      </x:c>
      <x:c r="N769" s="1032" t="n">
        <x:v>46229.241747685184</x:v>
      </x:c>
    </x:row>
    <x:row r="770">
      <x:c r="A770" s="895" t="n">
        <x:v>45518</x:v>
      </x:c>
      <x:c r="B770" s="898" t="n">
        <x:v>63.28</x:v>
      </x:c>
      <x:c r="C770" s="898" t="n">
        <x:v>63.28</x:v>
      </x:c>
      <x:c r="D770" s="898" t="n">
        <x:v>62.24</x:v>
      </x:c>
      <x:c r="E770" s="898" t="n">
        <x:v>63.12</x:v>
      </x:c>
      <x:c r="F770" s="901" t="n">
        <x:v>707944</x:v>
      </x:c>
      <x:c r="G770" s="904" t="n">
        <x:v>1233.7</x:v>
      </x:c>
      <x:c r="H770" s="904" t="n">
        <x:v>1236.51</x:v>
      </x:c>
      <x:c r="I770" s="904" t="n">
        <x:v>1228.93</x:v>
      </x:c>
      <x:c r="J770" s="904" t="n">
        <x:v>1230.36</x:v>
      </x:c>
      <x:c r="K770" s="901" t="n">
        <x:v>404202277</x:v>
      </x:c>
      <x:c r="L770" s="907" t="str">
        <x:v>SRC-P404</x:v>
      </x:c>
      <x:c r="M770" s="907" t="str">
        <x:v>VNStock API actual</x:v>
      </x:c>
      <x:c r="N770" s="1032" t="n">
        <x:v>46229.241747685184</x:v>
      </x:c>
    </x:row>
    <x:row r="771">
      <x:c r="A771" s="895" t="n">
        <x:v>45519</x:v>
      </x:c>
      <x:c r="B771" s="898" t="n">
        <x:v>63.2</x:v>
      </x:c>
      <x:c r="C771" s="898" t="n">
        <x:v>63.92</x:v>
      </x:c>
      <x:c r="D771" s="898" t="n">
        <x:v>62.48</x:v>
      </x:c>
      <x:c r="E771" s="898" t="n">
        <x:v>63.44</x:v>
      </x:c>
      <x:c r="F771" s="901" t="n">
        <x:v>700387</x:v>
      </x:c>
      <x:c r="G771" s="904" t="n">
        <x:v>1230.58</x:v>
      </x:c>
      <x:c r="H771" s="904" t="n">
        <x:v>1231.69</x:v>
      </x:c>
      <x:c r="I771" s="904" t="n">
        <x:v>1222.28</x:v>
      </x:c>
      <x:c r="J771" s="904" t="n">
        <x:v>1223.56</x:v>
      </x:c>
      <x:c r="K771" s="901" t="n">
        <x:v>394681474</x:v>
      </x:c>
      <x:c r="L771" s="907" t="str">
        <x:v>SRC-P404</x:v>
      </x:c>
      <x:c r="M771" s="907" t="str">
        <x:v>VNStock API actual</x:v>
      </x:c>
      <x:c r="N771" s="1032" t="n">
        <x:v>46229.241747685184</x:v>
      </x:c>
    </x:row>
    <x:row r="772">
      <x:c r="A772" s="895" t="n">
        <x:v>45520</x:v>
      </x:c>
      <x:c r="B772" s="898" t="n">
        <x:v>63.76</x:v>
      </x:c>
      <x:c r="C772" s="898" t="n">
        <x:v>64.48</x:v>
      </x:c>
      <x:c r="D772" s="898" t="n">
        <x:v>63.28</x:v>
      </x:c>
      <x:c r="E772" s="898" t="n">
        <x:v>63.92</x:v>
      </x:c>
      <x:c r="F772" s="901" t="n">
        <x:v>676925</x:v>
      </x:c>
      <x:c r="G772" s="904" t="n">
        <x:v>1228.27</x:v>
      </x:c>
      <x:c r="H772" s="904" t="n">
        <x:v>1253.24</x:v>
      </x:c>
      <x:c r="I772" s="904" t="n">
        <x:v>1227.94</x:v>
      </x:c>
      <x:c r="J772" s="904" t="n">
        <x:v>1252.23</x:v>
      </x:c>
      <x:c r="K772" s="901" t="n">
        <x:v>859565834</x:v>
      </x:c>
      <x:c r="L772" s="907" t="str">
        <x:v>SRC-P404</x:v>
      </x:c>
      <x:c r="M772" s="907" t="str">
        <x:v>VNStock API actual</x:v>
      </x:c>
      <x:c r="N772" s="1032" t="n">
        <x:v>46229.241747685184</x:v>
      </x:c>
    </x:row>
    <x:row r="773">
      <x:c r="A773" s="895" t="n">
        <x:v>45523</x:v>
      </x:c>
      <x:c r="B773" s="898" t="n">
        <x:v>64.08</x:v>
      </x:c>
      <x:c r="C773" s="898" t="n">
        <x:v>67.37</x:v>
      </x:c>
      <x:c r="D773" s="898" t="n">
        <x:v>64</x:v>
      </x:c>
      <x:c r="E773" s="898" t="n">
        <x:v>66.33</x:v>
      </x:c>
      <x:c r="F773" s="901" t="n">
        <x:v>2591093</x:v>
      </x:c>
      <x:c r="G773" s="904" t="n">
        <x:v>1259.36</x:v>
      </x:c>
      <x:c r="H773" s="904" t="n">
        <x:v>1263.84</x:v>
      </x:c>
      <x:c r="I773" s="904" t="n">
        <x:v>1256.45</x:v>
      </x:c>
      <x:c r="J773" s="904" t="n">
        <x:v>1261.62</x:v>
      </x:c>
      <x:c r="K773" s="901" t="n">
        <x:v>560120742</x:v>
      </x:c>
      <x:c r="L773" s="907" t="str">
        <x:v>SRC-P404</x:v>
      </x:c>
      <x:c r="M773" s="907" t="str">
        <x:v>VNStock API actual</x:v>
      </x:c>
      <x:c r="N773" s="1032" t="n">
        <x:v>46229.241747685184</x:v>
      </x:c>
    </x:row>
    <x:row r="774">
      <x:c r="A774" s="895" t="n">
        <x:v>45524</x:v>
      </x:c>
      <x:c r="B774" s="898" t="n">
        <x:v>66.33</x:v>
      </x:c>
      <x:c r="C774" s="898" t="n">
        <x:v>66.73</x:v>
      </x:c>
      <x:c r="D774" s="898" t="n">
        <x:v>65.52</x:v>
      </x:c>
      <x:c r="E774" s="898" t="n">
        <x:v>66.33</x:v>
      </x:c>
      <x:c r="F774" s="901" t="n">
        <x:v>836500</x:v>
      </x:c>
      <x:c r="G774" s="904" t="n">
        <x:v>1263.65</x:v>
      </x:c>
      <x:c r="H774" s="904" t="n">
        <x:v>1275.95</x:v>
      </x:c>
      <x:c r="I774" s="904" t="n">
        <x:v>1263.65</x:v>
      </x:c>
      <x:c r="J774" s="904" t="n">
        <x:v>1272.55</x:v>
      </x:c>
      <x:c r="K774" s="901" t="n">
        <x:v>724078305</x:v>
      </x:c>
      <x:c r="L774" s="907" t="str">
        <x:v>SRC-P404</x:v>
      </x:c>
      <x:c r="M774" s="907" t="str">
        <x:v>VNStock API actual</x:v>
      </x:c>
      <x:c r="N774" s="1032" t="n">
        <x:v>46229.241747685184</x:v>
      </x:c>
    </x:row>
    <x:row r="775">
      <x:c r="A775" s="895" t="n">
        <x:v>45525</x:v>
      </x:c>
      <x:c r="B775" s="898" t="n">
        <x:v>66.73</x:v>
      </x:c>
      <x:c r="C775" s="898" t="n">
        <x:v>66.97</x:v>
      </x:c>
      <x:c r="D775" s="898" t="n">
        <x:v>65.92</x:v>
      </x:c>
      <x:c r="E775" s="898" t="n">
        <x:v>66.81</x:v>
      </x:c>
      <x:c r="F775" s="901" t="n">
        <x:v>1080893</x:v>
      </x:c>
      <x:c r="G775" s="904" t="n">
        <x:v>1272.34</x:v>
      </x:c>
      <x:c r="H775" s="904" t="n">
        <x:v>1284.05</x:v>
      </x:c>
      <x:c r="I775" s="904" t="n">
        <x:v>1268.91</x:v>
      </x:c>
      <x:c r="J775" s="904" t="n">
        <x:v>1284.05</x:v>
      </x:c>
      <x:c r="K775" s="901" t="n">
        <x:v>670203726</x:v>
      </x:c>
      <x:c r="L775" s="907" t="str">
        <x:v>SRC-P404</x:v>
      </x:c>
      <x:c r="M775" s="907" t="str">
        <x:v>VNStock API actual</x:v>
      </x:c>
      <x:c r="N775" s="1032" t="n">
        <x:v>46229.241747685184</x:v>
      </x:c>
    </x:row>
    <x:row r="776">
      <x:c r="A776" s="895" t="n">
        <x:v>45526</x:v>
      </x:c>
      <x:c r="B776" s="898" t="n">
        <x:v>66.81</x:v>
      </x:c>
      <x:c r="C776" s="898" t="n">
        <x:v>66.89</x:v>
      </x:c>
      <x:c r="D776" s="898" t="n">
        <x:v>65.92</x:v>
      </x:c>
      <x:c r="E776" s="898" t="n">
        <x:v>66.41</x:v>
      </x:c>
      <x:c r="F776" s="901" t="n">
        <x:v>714593</x:v>
      </x:c>
      <x:c r="G776" s="904" t="n">
        <x:v>1287.34</x:v>
      </x:c>
      <x:c r="H776" s="904" t="n">
        <x:v>1288.42</x:v>
      </x:c>
      <x:c r="I776" s="904" t="n">
        <x:v>1280.42</x:v>
      </x:c>
      <x:c r="J776" s="904" t="n">
        <x:v>1282.78</x:v>
      </x:c>
      <x:c r="K776" s="901" t="n">
        <x:v>551649974</x:v>
      </x:c>
      <x:c r="L776" s="907" t="str">
        <x:v>SRC-P404</x:v>
      </x:c>
      <x:c r="M776" s="907" t="str">
        <x:v>VNStock API actual</x:v>
      </x:c>
      <x:c r="N776" s="1032" t="n">
        <x:v>46229.241747685184</x:v>
      </x:c>
    </x:row>
    <x:row r="777">
      <x:c r="A777" s="895" t="n">
        <x:v>45527</x:v>
      </x:c>
      <x:c r="B777" s="898" t="n">
        <x:v>66.17</x:v>
      </x:c>
      <x:c r="C777" s="898" t="n">
        <x:v>66.33</x:v>
      </x:c>
      <x:c r="D777" s="898" t="n">
        <x:v>65.28</x:v>
      </x:c>
      <x:c r="E777" s="898" t="n">
        <x:v>65.92</x:v>
      </x:c>
      <x:c r="F777" s="901" t="n">
        <x:v>858727</x:v>
      </x:c>
      <x:c r="G777" s="904" t="n">
        <x:v>1283.22</x:v>
      </x:c>
      <x:c r="H777" s="904" t="n">
        <x:v>1287.43</x:v>
      </x:c>
      <x:c r="I777" s="904" t="n">
        <x:v>1276.43</x:v>
      </x:c>
      <x:c r="J777" s="904" t="n">
        <x:v>1285.32</x:v>
      </x:c>
      <x:c r="K777" s="901" t="n">
        <x:v>595105295</x:v>
      </x:c>
      <x:c r="L777" s="907" t="str">
        <x:v>SRC-P404</x:v>
      </x:c>
      <x:c r="M777" s="907" t="str">
        <x:v>VNStock API actual</x:v>
      </x:c>
      <x:c r="N777" s="1032" t="n">
        <x:v>46229.241747685184</x:v>
      </x:c>
    </x:row>
    <x:row r="778">
      <x:c r="A778" s="895" t="n">
        <x:v>45530</x:v>
      </x:c>
      <x:c r="B778" s="898" t="n">
        <x:v>66.41</x:v>
      </x:c>
      <x:c r="C778" s="898" t="n">
        <x:v>66.41</x:v>
      </x:c>
      <x:c r="D778" s="898" t="n">
        <x:v>64.88</x:v>
      </x:c>
      <x:c r="E778" s="898" t="n">
        <x:v>64.96</x:v>
      </x:c>
      <x:c r="F778" s="901" t="n">
        <x:v>981838</x:v>
      </x:c>
      <x:c r="G778" s="904" t="n">
        <x:v>1289.65</x:v>
      </x:c>
      <x:c r="H778" s="904" t="n">
        <x:v>1290.45</x:v>
      </x:c>
      <x:c r="I778" s="904" t="n">
        <x:v>1278.72</x:v>
      </x:c>
      <x:c r="J778" s="904" t="n">
        <x:v>1280.02</x:v>
      </x:c>
      <x:c r="K778" s="901" t="n">
        <x:v>643948678</x:v>
      </x:c>
      <x:c r="L778" s="907" t="str">
        <x:v>SRC-P404</x:v>
      </x:c>
      <x:c r="M778" s="907" t="str">
        <x:v>VNStock API actual</x:v>
      </x:c>
      <x:c r="N778" s="1032" t="n">
        <x:v>46229.241747685184</x:v>
      </x:c>
    </x:row>
    <x:row r="779">
      <x:c r="A779" s="895" t="n">
        <x:v>45531</x:v>
      </x:c>
      <x:c r="B779" s="898" t="n">
        <x:v>64.88</x:v>
      </x:c>
      <x:c r="C779" s="898" t="n">
        <x:v>65.36</x:v>
      </x:c>
      <x:c r="D779" s="898" t="n">
        <x:v>64.08</x:v>
      </x:c>
      <x:c r="E779" s="898" t="n">
        <x:v>64.32</x:v>
      </x:c>
      <x:c r="F779" s="901" t="n">
        <x:v>820312</x:v>
      </x:c>
      <x:c r="G779" s="904" t="n">
        <x:v>1279.55</x:v>
      </x:c>
      <x:c r="H779" s="904" t="n">
        <x:v>1282.92</x:v>
      </x:c>
      <x:c r="I779" s="904" t="n">
        <x:v>1274.7</x:v>
      </x:c>
      <x:c r="J779" s="904" t="n">
        <x:v>1280.56</x:v>
      </x:c>
      <x:c r="K779" s="901" t="n">
        <x:v>538503219</x:v>
      </x:c>
      <x:c r="L779" s="907" t="str">
        <x:v>SRC-P404</x:v>
      </x:c>
      <x:c r="M779" s="907" t="str">
        <x:v>VNStock API actual</x:v>
      </x:c>
      <x:c r="N779" s="1032" t="n">
        <x:v>46229.241747685184</x:v>
      </x:c>
    </x:row>
    <x:row r="780">
      <x:c r="A780" s="895" t="n">
        <x:v>45532</x:v>
      </x:c>
      <x:c r="B780" s="898" t="n">
        <x:v>64.56</x:v>
      </x:c>
      <x:c r="C780" s="898" t="n">
        <x:v>65.12</x:v>
      </x:c>
      <x:c r="D780" s="898" t="n">
        <x:v>64.16</x:v>
      </x:c>
      <x:c r="E780" s="898" t="n">
        <x:v>64.24</x:v>
      </x:c>
      <x:c r="F780" s="901" t="n">
        <x:v>629939</x:v>
      </x:c>
      <x:c r="G780" s="904" t="n">
        <x:v>1283.41</x:v>
      </x:c>
      <x:c r="H780" s="904" t="n">
        <x:v>1285.72</x:v>
      </x:c>
      <x:c r="I780" s="904" t="n">
        <x:v>1276.9</x:v>
      </x:c>
      <x:c r="J780" s="904" t="n">
        <x:v>1281.44</x:v>
      </x:c>
      <x:c r="K780" s="901" t="n">
        <x:v>619986351</x:v>
      </x:c>
      <x:c r="L780" s="907" t="str">
        <x:v>SRC-P404</x:v>
      </x:c>
      <x:c r="M780" s="907" t="str">
        <x:v>VNStock API actual</x:v>
      </x:c>
      <x:c r="N780" s="1032" t="n">
        <x:v>46229.241747685184</x:v>
      </x:c>
    </x:row>
    <x:row r="781">
      <x:c r="A781" s="895" t="n">
        <x:v>45533</x:v>
      </x:c>
      <x:c r="B781" s="898" t="n">
        <x:v>64.24</x:v>
      </x:c>
      <x:c r="C781" s="898" t="n">
        <x:v>64.4</x:v>
      </x:c>
      <x:c r="D781" s="898" t="n">
        <x:v>64.08</x:v>
      </x:c>
      <x:c r="E781" s="898" t="n">
        <x:v>64.24</x:v>
      </x:c>
      <x:c r="F781" s="901" t="n">
        <x:v>708396</x:v>
      </x:c>
      <x:c r="G781" s="904" t="n">
        <x:v>1281.05</x:v>
      </x:c>
      <x:c r="H781" s="904" t="n">
        <x:v>1288.2</x:v>
      </x:c>
      <x:c r="I781" s="904" t="n">
        <x:v>1280.24</x:v>
      </x:c>
      <x:c r="J781" s="904" t="n">
        <x:v>1281.47</x:v>
      </x:c>
      <x:c r="K781" s="901" t="n">
        <x:v>530557167</x:v>
      </x:c>
      <x:c r="L781" s="907" t="str">
        <x:v>SRC-P404</x:v>
      </x:c>
      <x:c r="M781" s="907" t="str">
        <x:v>VNStock API actual</x:v>
      </x:c>
      <x:c r="N781" s="1032" t="n">
        <x:v>46229.241747685184</x:v>
      </x:c>
    </x:row>
    <x:row r="782">
      <x:c r="A782" s="895" t="n">
        <x:v>45534</x:v>
      </x:c>
      <x:c r="B782" s="898" t="n">
        <x:v>64.64</x:v>
      </x:c>
      <x:c r="C782" s="898" t="n">
        <x:v>64.88</x:v>
      </x:c>
      <x:c r="D782" s="898" t="n">
        <x:v>64.16</x:v>
      </x:c>
      <x:c r="E782" s="898" t="n">
        <x:v>64.48</x:v>
      </x:c>
      <x:c r="F782" s="901" t="n">
        <x:v>437301</x:v>
      </x:c>
      <x:c r="G782" s="904" t="n">
        <x:v>1283.61</x:v>
      </x:c>
      <x:c r="H782" s="904" t="n">
        <x:v>1286.84</x:v>
      </x:c>
      <x:c r="I782" s="904" t="n">
        <x:v>1282.58</x:v>
      </x:c>
      <x:c r="J782" s="904" t="n">
        <x:v>1283.87</x:v>
      </x:c>
      <x:c r="K782" s="901" t="n">
        <x:v>473075527</x:v>
      </x:c>
      <x:c r="L782" s="907" t="str">
        <x:v>SRC-P404</x:v>
      </x:c>
      <x:c r="M782" s="907" t="str">
        <x:v>VNStock API actual</x:v>
      </x:c>
      <x:c r="N782" s="1032" t="n">
        <x:v>46229.241747685184</x:v>
      </x:c>
    </x:row>
    <x:row r="783">
      <x:c r="A783" s="895" t="n">
        <x:v>45539</x:v>
      </x:c>
      <x:c r="B783" s="898" t="n">
        <x:v>64.4</x:v>
      </x:c>
      <x:c r="C783" s="898" t="n">
        <x:v>64.4</x:v>
      </x:c>
      <x:c r="D783" s="898" t="n">
        <x:v>62.72</x:v>
      </x:c>
      <x:c r="E783" s="898" t="n">
        <x:v>63.28</x:v>
      </x:c>
      <x:c r="F783" s="901" t="n">
        <x:v>987432</x:v>
      </x:c>
      <x:c r="G783" s="904" t="n">
        <x:v>1271.39</x:v>
      </x:c>
      <x:c r="H783" s="904" t="n">
        <x:v>1277.27</x:v>
      </x:c>
      <x:c r="I783" s="904" t="n">
        <x:v>1268.43</x:v>
      </x:c>
      <x:c r="J783" s="904" t="n">
        <x:v>1275.8</x:v>
      </x:c>
      <x:c r="K783" s="901" t="n">
        <x:v>546685039</x:v>
      </x:c>
      <x:c r="L783" s="907" t="str">
        <x:v>SRC-P404</x:v>
      </x:c>
      <x:c r="M783" s="907" t="str">
        <x:v>VNStock API actual</x:v>
      </x:c>
      <x:c r="N783" s="1032" t="n">
        <x:v>46229.241747685184</x:v>
      </x:c>
    </x:row>
    <x:row r="784">
      <x:c r="A784" s="895" t="n">
        <x:v>45540</x:v>
      </x:c>
      <x:c r="B784" s="898" t="n">
        <x:v>63.44</x:v>
      </x:c>
      <x:c r="C784" s="898" t="n">
        <x:v>63.44</x:v>
      </x:c>
      <x:c r="D784" s="898" t="n">
        <x:v>61.44</x:v>
      </x:c>
      <x:c r="E784" s="898" t="n">
        <x:v>63.12</x:v>
      </x:c>
      <x:c r="F784" s="901" t="n">
        <x:v>1941008</x:v>
      </x:c>
      <x:c r="G784" s="904" t="n">
        <x:v>1276.35</x:v>
      </x:c>
      <x:c r="H784" s="904" t="n">
        <x:v>1282.21</x:v>
      </x:c>
      <x:c r="I784" s="904" t="n">
        <x:v>1266.05</x:v>
      </x:c>
      <x:c r="J784" s="904" t="n">
        <x:v>1268.21</x:v>
      </x:c>
      <x:c r="K784" s="901" t="n">
        <x:v>537013671</x:v>
      </x:c>
      <x:c r="L784" s="907" t="str">
        <x:v>SRC-P404</x:v>
      </x:c>
      <x:c r="M784" s="907" t="str">
        <x:v>VNStock API actual</x:v>
      </x:c>
      <x:c r="N784" s="1032" t="n">
        <x:v>46229.241747685184</x:v>
      </x:c>
    </x:row>
    <x:row r="785">
      <x:c r="A785" s="895" t="n">
        <x:v>45541</x:v>
      </x:c>
      <x:c r="B785" s="898" t="n">
        <x:v>62.48</x:v>
      </x:c>
      <x:c r="C785" s="898" t="n">
        <x:v>63.04</x:v>
      </x:c>
      <x:c r="D785" s="898" t="n">
        <x:v>61.84</x:v>
      </x:c>
      <x:c r="E785" s="898" t="n">
        <x:v>62.48</x:v>
      </x:c>
      <x:c r="F785" s="901" t="n">
        <x:v>678013</x:v>
      </x:c>
      <x:c r="G785" s="904" t="n">
        <x:v>1268.22</x:v>
      </x:c>
      <x:c r="H785" s="904" t="n">
        <x:v>1274.44</x:v>
      </x:c>
      <x:c r="I785" s="904" t="n">
        <x:v>1262.94</x:v>
      </x:c>
      <x:c r="J785" s="904" t="n">
        <x:v>1273.96</x:v>
      </x:c>
      <x:c r="K785" s="901" t="n">
        <x:v>469737427</x:v>
      </x:c>
      <x:c r="L785" s="907" t="str">
        <x:v>SRC-P404</x:v>
      </x:c>
      <x:c r="M785" s="907" t="str">
        <x:v>VNStock API actual</x:v>
      </x:c>
      <x:c r="N785" s="1032" t="n">
        <x:v>46229.241747685184</x:v>
      </x:c>
    </x:row>
    <x:row r="786">
      <x:c r="A786" s="895" t="n">
        <x:v>45544</x:v>
      </x:c>
      <x:c r="B786" s="898" t="n">
        <x:v>62.4</x:v>
      </x:c>
      <x:c r="C786" s="898" t="n">
        <x:v>62.4</x:v>
      </x:c>
      <x:c r="D786" s="898" t="n">
        <x:v>61.76</x:v>
      </x:c>
      <x:c r="E786" s="898" t="n">
        <x:v>61.92</x:v>
      </x:c>
      <x:c r="F786" s="901" t="n">
        <x:v>614955</x:v>
      </x:c>
      <x:c r="G786" s="904" t="n">
        <x:v>1269.83</x:v>
      </x:c>
      <x:c r="H786" s="904" t="n">
        <x:v>1269.92</x:v>
      </x:c>
      <x:c r="I786" s="904" t="n">
        <x:v>1262.97</x:v>
      </x:c>
      <x:c r="J786" s="904" t="n">
        <x:v>1267.73</x:v>
      </x:c>
      <x:c r="K786" s="901" t="n">
        <x:v>399316190</x:v>
      </x:c>
      <x:c r="L786" s="907" t="str">
        <x:v>SRC-P404</x:v>
      </x:c>
      <x:c r="M786" s="907" t="str">
        <x:v>VNStock API actual</x:v>
      </x:c>
      <x:c r="N786" s="1032" t="n">
        <x:v>46229.241747685184</x:v>
      </x:c>
    </x:row>
    <x:row r="787">
      <x:c r="A787" s="895" t="n">
        <x:v>45545</x:v>
      </x:c>
      <x:c r="B787" s="898" t="n">
        <x:v>61.84</x:v>
      </x:c>
      <x:c r="C787" s="898" t="n">
        <x:v>62.32</x:v>
      </x:c>
      <x:c r="D787" s="898" t="n">
        <x:v>61.84</x:v>
      </x:c>
      <x:c r="E787" s="898" t="n">
        <x:v>61.92</x:v>
      </x:c>
      <x:c r="F787" s="901" t="n">
        <x:v>1048080</x:v>
      </x:c>
      <x:c r="G787" s="904" t="n">
        <x:v>1269.83</x:v>
      </x:c>
      <x:c r="H787" s="904" t="n">
        <x:v>1271.83</x:v>
      </x:c>
      <x:c r="I787" s="904" t="n">
        <x:v>1252.22</x:v>
      </x:c>
      <x:c r="J787" s="904" t="n">
        <x:v>1255.23</x:v>
      </x:c>
      <x:c r="K787" s="901" t="n">
        <x:v>548188299</x:v>
      </x:c>
      <x:c r="L787" s="907" t="str">
        <x:v>SRC-P404</x:v>
      </x:c>
      <x:c r="M787" s="907" t="str">
        <x:v>VNStock API actual</x:v>
      </x:c>
      <x:c r="N787" s="1032" t="n">
        <x:v>46229.241747685184</x:v>
      </x:c>
    </x:row>
    <x:row r="788">
      <x:c r="A788" s="895" t="n">
        <x:v>45546</x:v>
      </x:c>
      <x:c r="B788" s="898" t="n">
        <x:v>62</x:v>
      </x:c>
      <x:c r="C788" s="898" t="n">
        <x:v>62.08</x:v>
      </x:c>
      <x:c r="D788" s="898" t="n">
        <x:v>61.6</x:v>
      </x:c>
      <x:c r="E788" s="898" t="n">
        <x:v>61.76</x:v>
      </x:c>
      <x:c r="F788" s="901" t="n">
        <x:v>421907</x:v>
      </x:c>
      <x:c r="G788" s="904" t="n">
        <x:v>1254.25</x:v>
      </x:c>
      <x:c r="H788" s="904" t="n">
        <x:v>1256.86</x:v>
      </x:c>
      <x:c r="I788" s="904" t="n">
        <x:v>1244.79</x:v>
      </x:c>
      <x:c r="J788" s="904" t="n">
        <x:v>1253.27</x:v>
      </x:c>
      <x:c r="K788" s="901" t="n">
        <x:v>469969175</x:v>
      </x:c>
      <x:c r="L788" s="907" t="str">
        <x:v>SRC-P404</x:v>
      </x:c>
      <x:c r="M788" s="907" t="str">
        <x:v>VNStock API actual</x:v>
      </x:c>
      <x:c r="N788" s="1032" t="n">
        <x:v>46229.241747685184</x:v>
      </x:c>
    </x:row>
    <x:row r="789">
      <x:c r="A789" s="895" t="n">
        <x:v>45547</x:v>
      </x:c>
      <x:c r="B789" s="898" t="n">
        <x:v>61.92</x:v>
      </x:c>
      <x:c r="C789" s="898" t="n">
        <x:v>62.32</x:v>
      </x:c>
      <x:c r="D789" s="898" t="n">
        <x:v>61.76</x:v>
      </x:c>
      <x:c r="E789" s="898" t="n">
        <x:v>62.08</x:v>
      </x:c>
      <x:c r="F789" s="901" t="n">
        <x:v>888996</x:v>
      </x:c>
      <x:c r="G789" s="904" t="n">
        <x:v>1258.42</x:v>
      </x:c>
      <x:c r="H789" s="904" t="n">
        <x:v>1260.93</x:v>
      </x:c>
      <x:c r="I789" s="904" t="n">
        <x:v>1255.87</x:v>
      </x:c>
      <x:c r="J789" s="904" t="n">
        <x:v>1256.35</x:v>
      </x:c>
      <x:c r="K789" s="901" t="n">
        <x:v>353322514</x:v>
      </x:c>
      <x:c r="L789" s="907" t="str">
        <x:v>SRC-P404</x:v>
      </x:c>
      <x:c r="M789" s="907" t="str">
        <x:v>VNStock API actual</x:v>
      </x:c>
      <x:c r="N789" s="1032" t="n">
        <x:v>46229.241747685184</x:v>
      </x:c>
    </x:row>
    <x:row r="790">
      <x:c r="A790" s="895" t="n">
        <x:v>45548</x:v>
      </x:c>
      <x:c r="B790" s="898" t="n">
        <x:v>62.16</x:v>
      </x:c>
      <x:c r="C790" s="898" t="n">
        <x:v>62.48</x:v>
      </x:c>
      <x:c r="D790" s="898" t="n">
        <x:v>61.76</x:v>
      </x:c>
      <x:c r="E790" s="898" t="n">
        <x:v>61.84</x:v>
      </x:c>
      <x:c r="F790" s="901" t="n">
        <x:v>311315</x:v>
      </x:c>
      <x:c r="G790" s="904" t="n">
        <x:v>1253.48</x:v>
      </x:c>
      <x:c r="H790" s="904" t="n">
        <x:v>1254.24</x:v>
      </x:c>
      <x:c r="I790" s="904" t="n">
        <x:v>1248.78</x:v>
      </x:c>
      <x:c r="J790" s="904" t="n">
        <x:v>1251.71</x:v>
      </x:c>
      <x:c r="K790" s="901" t="n">
        <x:v>345075622</x:v>
      </x:c>
      <x:c r="L790" s="907" t="str">
        <x:v>SRC-P404</x:v>
      </x:c>
      <x:c r="M790" s="907" t="str">
        <x:v>VNStock API actual</x:v>
      </x:c>
      <x:c r="N790" s="1032" t="n">
        <x:v>46229.241747685184</x:v>
      </x:c>
    </x:row>
    <x:row r="791">
      <x:c r="A791" s="895" t="n">
        <x:v>45551</x:v>
      </x:c>
      <x:c r="B791" s="898" t="n">
        <x:v>61.84</x:v>
      </x:c>
      <x:c r="C791" s="898" t="n">
        <x:v>62</x:v>
      </x:c>
      <x:c r="D791" s="898" t="n">
        <x:v>61.2</x:v>
      </x:c>
      <x:c r="E791" s="898" t="n">
        <x:v>61.2</x:v>
      </x:c>
      <x:c r="F791" s="901" t="n">
        <x:v>889191</x:v>
      </x:c>
      <x:c r="G791" s="904" t="n">
        <x:v>1251</x:v>
      </x:c>
      <x:c r="H791" s="904" t="n">
        <x:v>1255.42</x:v>
      </x:c>
      <x:c r="I791" s="904" t="n">
        <x:v>1239.26</x:v>
      </x:c>
      <x:c r="J791" s="904" t="n">
        <x:v>1239.26</x:v>
      </x:c>
      <x:c r="K791" s="901" t="n">
        <x:v>406084647</x:v>
      </x:c>
      <x:c r="L791" s="907" t="str">
        <x:v>SRC-P404</x:v>
      </x:c>
      <x:c r="M791" s="907" t="str">
        <x:v>VNStock API actual</x:v>
      </x:c>
      <x:c r="N791" s="1032" t="n">
        <x:v>46229.241747685184</x:v>
      </x:c>
    </x:row>
    <x:row r="792">
      <x:c r="A792" s="895" t="n">
        <x:v>45552</x:v>
      </x:c>
      <x:c r="B792" s="898" t="n">
        <x:v>61.2</x:v>
      </x:c>
      <x:c r="C792" s="898" t="n">
        <x:v>61.76</x:v>
      </x:c>
      <x:c r="D792" s="898" t="n">
        <x:v>61.04</x:v>
      </x:c>
      <x:c r="E792" s="898" t="n">
        <x:v>61.52</x:v>
      </x:c>
      <x:c r="F792" s="901" t="n">
        <x:v>439651</x:v>
      </x:c>
      <x:c r="G792" s="904" t="n">
        <x:v>1240</x:v>
      </x:c>
      <x:c r="H792" s="904" t="n">
        <x:v>1258.95</x:v>
      </x:c>
      <x:c r="I792" s="904" t="n">
        <x:v>1238.69</x:v>
      </x:c>
      <x:c r="J792" s="904" t="n">
        <x:v>1258.95</x:v>
      </x:c>
      <x:c r="K792" s="901" t="n">
        <x:v>418063385</x:v>
      </x:c>
      <x:c r="L792" s="907" t="str">
        <x:v>SRC-P404</x:v>
      </x:c>
      <x:c r="M792" s="907" t="str">
        <x:v>VNStock API actual</x:v>
      </x:c>
      <x:c r="N792" s="1032" t="n">
        <x:v>46229.241747685184</x:v>
      </x:c>
    </x:row>
    <x:row r="793">
      <x:c r="A793" s="895" t="n">
        <x:v>45553</x:v>
      </x:c>
      <x:c r="B793" s="898" t="n">
        <x:v>62.4</x:v>
      </x:c>
      <x:c r="C793" s="898" t="n">
        <x:v>62.48</x:v>
      </x:c>
      <x:c r="D793" s="898" t="n">
        <x:v>61.92</x:v>
      </x:c>
      <x:c r="E793" s="898" t="n">
        <x:v>62.32</x:v>
      </x:c>
      <x:c r="F793" s="901" t="n">
        <x:v>764021</x:v>
      </x:c>
      <x:c r="G793" s="904" t="n">
        <x:v>1261.23</x:v>
      </x:c>
      <x:c r="H793" s="904" t="n">
        <x:v>1271.77</x:v>
      </x:c>
      <x:c r="I793" s="904" t="n">
        <x:v>1257.93</x:v>
      </x:c>
      <x:c r="J793" s="904" t="n">
        <x:v>1264.9</x:v>
      </x:c>
      <x:c r="K793" s="901" t="n">
        <x:v>542560781</x:v>
      </x:c>
      <x:c r="L793" s="907" t="str">
        <x:v>SRC-P404</x:v>
      </x:c>
      <x:c r="M793" s="907" t="str">
        <x:v>VNStock API actual</x:v>
      </x:c>
      <x:c r="N793" s="1032" t="n">
        <x:v>46229.241747685184</x:v>
      </x:c>
    </x:row>
    <x:row r="794">
      <x:c r="A794" s="895" t="n">
        <x:v>45554</x:v>
      </x:c>
      <x:c r="B794" s="898" t="n">
        <x:v>62.32</x:v>
      </x:c>
      <x:c r="C794" s="898" t="n">
        <x:v>62.64</x:v>
      </x:c>
      <x:c r="D794" s="898" t="n">
        <x:v>62.32</x:v>
      </x:c>
      <x:c r="E794" s="898" t="n">
        <x:v>62.64</x:v>
      </x:c>
      <x:c r="F794" s="901" t="n">
        <x:v>450368</x:v>
      </x:c>
      <x:c r="G794" s="904" t="n">
        <x:v>1268.08</x:v>
      </x:c>
      <x:c r="H794" s="904" t="n">
        <x:v>1271.27</x:v>
      </x:c>
      <x:c r="I794" s="904" t="n">
        <x:v>1264.82</x:v>
      </x:c>
      <x:c r="J794" s="904" t="n">
        <x:v>1271.27</x:v>
      </x:c>
      <x:c r="K794" s="901" t="n">
        <x:v>444118910</x:v>
      </x:c>
      <x:c r="L794" s="907" t="str">
        <x:v>SRC-P404</x:v>
      </x:c>
      <x:c r="M794" s="907" t="str">
        <x:v>VNStock API actual</x:v>
      </x:c>
      <x:c r="N794" s="1032" t="n">
        <x:v>46229.241747685184</x:v>
      </x:c>
    </x:row>
    <x:row r="795">
      <x:c r="A795" s="895" t="n">
        <x:v>45555</x:v>
      </x:c>
      <x:c r="B795" s="898" t="n">
        <x:v>62.56</x:v>
      </x:c>
      <x:c r="C795" s="898" t="n">
        <x:v>63.12</x:v>
      </x:c>
      <x:c r="D795" s="898" t="n">
        <x:v>62.56</x:v>
      </x:c>
      <x:c r="E795" s="898" t="n">
        <x:v>62.8</x:v>
      </x:c>
      <x:c r="F795" s="901" t="n">
        <x:v>679438</x:v>
      </x:c>
      <x:c r="G795" s="904" t="n">
        <x:v>1277.73</x:v>
      </x:c>
      <x:c r="H795" s="904" t="n">
        <x:v>1283.3</x:v>
      </x:c>
      <x:c r="I795" s="904" t="n">
        <x:v>1272.04</x:v>
      </x:c>
      <x:c r="J795" s="904" t="n">
        <x:v>1272.04</x:v>
      </x:c>
      <x:c r="K795" s="901" t="n">
        <x:v>773588806</x:v>
      </x:c>
      <x:c r="L795" s="907" t="str">
        <x:v>SRC-P404</x:v>
      </x:c>
      <x:c r="M795" s="907" t="str">
        <x:v>VNStock API actual</x:v>
      </x:c>
      <x:c r="N795" s="1032" t="n">
        <x:v>46229.241747685184</x:v>
      </x:c>
    </x:row>
    <x:row r="796">
      <x:c r="A796" s="895" t="n">
        <x:v>45558</x:v>
      </x:c>
      <x:c r="B796" s="898" t="n">
        <x:v>62.48</x:v>
      </x:c>
      <x:c r="C796" s="898" t="n">
        <x:v>63.28</x:v>
      </x:c>
      <x:c r="D796" s="898" t="n">
        <x:v>62.32</x:v>
      </x:c>
      <x:c r="E796" s="898" t="n">
        <x:v>63.28</x:v>
      </x:c>
      <x:c r="F796" s="901" t="n">
        <x:v>525409</x:v>
      </x:c>
      <x:c r="G796" s="904" t="n">
        <x:v>1275.15</x:v>
      </x:c>
      <x:c r="H796" s="904" t="n">
        <x:v>1276.99</x:v>
      </x:c>
      <x:c r="I796" s="904" t="n">
        <x:v>1267.87</x:v>
      </x:c>
      <x:c r="J796" s="904" t="n">
        <x:v>1268.48</x:v>
      </x:c>
      <x:c r="K796" s="901" t="n">
        <x:v>416937911</x:v>
      </x:c>
      <x:c r="L796" s="907" t="str">
        <x:v>SRC-P404</x:v>
      </x:c>
      <x:c r="M796" s="907" t="str">
        <x:v>VNStock API actual</x:v>
      </x:c>
      <x:c r="N796" s="1032" t="n">
        <x:v>46229.241747685184</x:v>
      </x:c>
    </x:row>
    <x:row r="797">
      <x:c r="A797" s="895" t="n">
        <x:v>45559</x:v>
      </x:c>
      <x:c r="B797" s="898" t="n">
        <x:v>62.8</x:v>
      </x:c>
      <x:c r="C797" s="898" t="n">
        <x:v>63.36</x:v>
      </x:c>
      <x:c r="D797" s="898" t="n">
        <x:v>62.8</x:v>
      </x:c>
      <x:c r="E797" s="898" t="n">
        <x:v>63.28</x:v>
      </x:c>
      <x:c r="F797" s="901" t="n">
        <x:v>209594</x:v>
      </x:c>
      <x:c r="G797" s="904" t="n">
        <x:v>1268.25</x:v>
      </x:c>
      <x:c r="H797" s="904" t="n">
        <x:v>1276.99</x:v>
      </x:c>
      <x:c r="I797" s="904" t="n">
        <x:v>1266.68</x:v>
      </x:c>
      <x:c r="J797" s="904" t="n">
        <x:v>1276.99</x:v>
      </x:c>
      <x:c r="K797" s="901" t="n">
        <x:v>450952923</x:v>
      </x:c>
      <x:c r="L797" s="907" t="str">
        <x:v>SRC-P404</x:v>
      </x:c>
      <x:c r="M797" s="907" t="str">
        <x:v>VNStock API actual</x:v>
      </x:c>
      <x:c r="N797" s="1032" t="n">
        <x:v>46229.241747685184</x:v>
      </x:c>
    </x:row>
    <x:row r="798">
      <x:c r="A798" s="895" t="n">
        <x:v>45560</x:v>
      </x:c>
      <x:c r="B798" s="898" t="n">
        <x:v>63.44</x:v>
      </x:c>
      <x:c r="C798" s="898" t="n">
        <x:v>63.6</x:v>
      </x:c>
      <x:c r="D798" s="898" t="n">
        <x:v>62.64</x:v>
      </x:c>
      <x:c r="E798" s="898" t="n">
        <x:v>63.28</x:v>
      </x:c>
      <x:c r="F798" s="901" t="n">
        <x:v>577430</x:v>
      </x:c>
      <x:c r="G798" s="904" t="n">
        <x:v>1282.48</x:v>
      </x:c>
      <x:c r="H798" s="904" t="n">
        <x:v>1288.44</x:v>
      </x:c>
      <x:c r="I798" s="904" t="n">
        <x:v>1280.47</x:v>
      </x:c>
      <x:c r="J798" s="904" t="n">
        <x:v>1287.48</x:v>
      </x:c>
      <x:c r="K798" s="901" t="n">
        <x:v>841960747</x:v>
      </x:c>
      <x:c r="L798" s="907" t="str">
        <x:v>SRC-P404</x:v>
      </x:c>
      <x:c r="M798" s="907" t="str">
        <x:v>VNStock API actual</x:v>
      </x:c>
      <x:c r="N798" s="1032" t="n">
        <x:v>46229.241747685184</x:v>
      </x:c>
    </x:row>
    <x:row r="799">
      <x:c r="A799" s="895" t="n">
        <x:v>45561</x:v>
      </x:c>
      <x:c r="B799" s="898" t="n">
        <x:v>63.28</x:v>
      </x:c>
      <x:c r="C799" s="898" t="n">
        <x:v>63.44</x:v>
      </x:c>
      <x:c r="D799" s="898" t="n">
        <x:v>62.96</x:v>
      </x:c>
      <x:c r="E799" s="898" t="n">
        <x:v>63.2</x:v>
      </x:c>
      <x:c r="F799" s="901" t="n">
        <x:v>450430</x:v>
      </x:c>
      <x:c r="G799" s="904" t="n">
        <x:v>1290.03</x:v>
      </x:c>
      <x:c r="H799" s="904" t="n">
        <x:v>1298.71</x:v>
      </x:c>
      <x:c r="I799" s="904" t="n">
        <x:v>1289.15</x:v>
      </x:c>
      <x:c r="J799" s="904" t="n">
        <x:v>1291.49</x:v>
      </x:c>
      <x:c r="K799" s="901" t="n">
        <x:v>828772734</x:v>
      </x:c>
      <x:c r="L799" s="907" t="str">
        <x:v>SRC-P404</x:v>
      </x:c>
      <x:c r="M799" s="907" t="str">
        <x:v>VNStock API actual</x:v>
      </x:c>
      <x:c r="N799" s="1032" t="n">
        <x:v>46229.241747685184</x:v>
      </x:c>
    </x:row>
    <x:row r="800">
      <x:c r="A800" s="895" t="n">
        <x:v>45562</x:v>
      </x:c>
      <x:c r="B800" s="898" t="n">
        <x:v>62.96</x:v>
      </x:c>
      <x:c r="C800" s="898" t="n">
        <x:v>63.2</x:v>
      </x:c>
      <x:c r="D800" s="898" t="n">
        <x:v>62.32</x:v>
      </x:c>
      <x:c r="E800" s="898" t="n">
        <x:v>62.88</x:v>
      </x:c>
      <x:c r="F800" s="901" t="n">
        <x:v>565584</x:v>
      </x:c>
      <x:c r="G800" s="904" t="n">
        <x:v>1295.03</x:v>
      </x:c>
      <x:c r="H800" s="904" t="n">
        <x:v>1300.31</x:v>
      </x:c>
      <x:c r="I800" s="904" t="n">
        <x:v>1287.21</x:v>
      </x:c>
      <x:c r="J800" s="904" t="n">
        <x:v>1290.92</x:v>
      </x:c>
      <x:c r="K800" s="901" t="n">
        <x:v>811528634</x:v>
      </x:c>
      <x:c r="L800" s="907" t="str">
        <x:v>SRC-P404</x:v>
      </x:c>
      <x:c r="M800" s="907" t="str">
        <x:v>VNStock API actual</x:v>
      </x:c>
      <x:c r="N800" s="1032" t="n">
        <x:v>46229.241747685184</x:v>
      </x:c>
    </x:row>
    <x:row r="801">
      <x:c r="A801" s="895" t="n">
        <x:v>45565</x:v>
      </x:c>
      <x:c r="B801" s="898" t="n">
        <x:v>62.88</x:v>
      </x:c>
      <x:c r="C801" s="898" t="n">
        <x:v>62.88</x:v>
      </x:c>
      <x:c r="D801" s="898" t="n">
        <x:v>61.36</x:v>
      </x:c>
      <x:c r="E801" s="898" t="n">
        <x:v>62.48</x:v>
      </x:c>
      <x:c r="F801" s="901" t="n">
        <x:v>1178532</x:v>
      </x:c>
      <x:c r="G801" s="904" t="n">
        <x:v>1290.17</x:v>
      </x:c>
      <x:c r="H801" s="904" t="n">
        <x:v>1292.03</x:v>
      </x:c>
      <x:c r="I801" s="904" t="n">
        <x:v>1283.92</x:v>
      </x:c>
      <x:c r="J801" s="904" t="n">
        <x:v>1287.94</x:v>
      </x:c>
      <x:c r="K801" s="901" t="n">
        <x:v>636582014</x:v>
      </x:c>
      <x:c r="L801" s="907" t="str">
        <x:v>SRC-P404</x:v>
      </x:c>
      <x:c r="M801" s="907" t="str">
        <x:v>VNStock API actual</x:v>
      </x:c>
      <x:c r="N801" s="1032" t="n">
        <x:v>46229.241747685184</x:v>
      </x:c>
    </x:row>
    <x:row r="802">
      <x:c r="A802" s="895" t="n">
        <x:v>45566</x:v>
      </x:c>
      <x:c r="B802" s="898" t="n">
        <x:v>62.24</x:v>
      </x:c>
      <x:c r="C802" s="898" t="n">
        <x:v>62.56</x:v>
      </x:c>
      <x:c r="D802" s="898" t="n">
        <x:v>62</x:v>
      </x:c>
      <x:c r="E802" s="898" t="n">
        <x:v>62</x:v>
      </x:c>
      <x:c r="F802" s="901" t="n">
        <x:v>572831</x:v>
      </x:c>
      <x:c r="G802" s="904" t="n">
        <x:v>1290.68</x:v>
      </x:c>
      <x:c r="H802" s="904" t="n">
        <x:v>1302.22</x:v>
      </x:c>
      <x:c r="I802" s="904" t="n">
        <x:v>1290.68</x:v>
      </x:c>
      <x:c r="J802" s="904" t="n">
        <x:v>1292.2</x:v>
      </x:c>
      <x:c r="K802" s="901" t="n">
        <x:v>833023683</x:v>
      </x:c>
      <x:c r="L802" s="907" t="str">
        <x:v>SRC-P404</x:v>
      </x:c>
      <x:c r="M802" s="907" t="str">
        <x:v>VNStock API actual</x:v>
      </x:c>
      <x:c r="N802" s="1032" t="n">
        <x:v>46229.241747685184</x:v>
      </x:c>
    </x:row>
    <x:row r="803">
      <x:c r="A803" s="895" t="n">
        <x:v>45567</x:v>
      </x:c>
      <x:c r="B803" s="898" t="n">
        <x:v>61.84</x:v>
      </x:c>
      <x:c r="C803" s="898" t="n">
        <x:v>62.96</x:v>
      </x:c>
      <x:c r="D803" s="898" t="n">
        <x:v>61.84</x:v>
      </x:c>
      <x:c r="E803" s="898" t="n">
        <x:v>62.32</x:v>
      </x:c>
      <x:c r="F803" s="901" t="n">
        <x:v>810371</x:v>
      </x:c>
      <x:c r="G803" s="904" t="n">
        <x:v>1289.65</x:v>
      </x:c>
      <x:c r="H803" s="904" t="n">
        <x:v>1293.69</x:v>
      </x:c>
      <x:c r="I803" s="904" t="n">
        <x:v>1285.14</x:v>
      </x:c>
      <x:c r="J803" s="904" t="n">
        <x:v>1287.84</x:v>
      </x:c>
      <x:c r="K803" s="901" t="n">
        <x:v>615948736</x:v>
      </x:c>
      <x:c r="L803" s="907" t="str">
        <x:v>SRC-P404</x:v>
      </x:c>
      <x:c r="M803" s="907" t="str">
        <x:v>VNStock API actual</x:v>
      </x:c>
      <x:c r="N803" s="1032" t="n">
        <x:v>46229.241747685184</x:v>
      </x:c>
    </x:row>
    <x:row r="804">
      <x:c r="A804" s="895" t="n">
        <x:v>45568</x:v>
      </x:c>
      <x:c r="B804" s="898" t="n">
        <x:v>62.48</x:v>
      </x:c>
      <x:c r="C804" s="898" t="n">
        <x:v>62.48</x:v>
      </x:c>
      <x:c r="D804" s="898" t="n">
        <x:v>61.6</x:v>
      </x:c>
      <x:c r="E804" s="898" t="n">
        <x:v>62</x:v>
      </x:c>
      <x:c r="F804" s="901" t="n">
        <x:v>477320</x:v>
      </x:c>
      <x:c r="G804" s="904" t="n">
        <x:v>1288.45</x:v>
      </x:c>
      <x:c r="H804" s="904" t="n">
        <x:v>1299.36</x:v>
      </x:c>
      <x:c r="I804" s="904" t="n">
        <x:v>1276.51</x:v>
      </x:c>
      <x:c r="J804" s="904" t="n">
        <x:v>1278.1</x:v>
      </x:c>
      <x:c r="K804" s="901" t="n">
        <x:v>929324954</x:v>
      </x:c>
      <x:c r="L804" s="907" t="str">
        <x:v>SRC-P404</x:v>
      </x:c>
      <x:c r="M804" s="907" t="str">
        <x:v>VNStock API actual</x:v>
      </x:c>
      <x:c r="N804" s="1032" t="n">
        <x:v>46229.241747685184</x:v>
      </x:c>
    </x:row>
    <x:row r="805">
      <x:c r="A805" s="895" t="n">
        <x:v>45569</x:v>
      </x:c>
      <x:c r="B805" s="898" t="n">
        <x:v>62</x:v>
      </x:c>
      <x:c r="C805" s="898" t="n">
        <x:v>62.24</x:v>
      </x:c>
      <x:c r="D805" s="898" t="n">
        <x:v>61.52</x:v>
      </x:c>
      <x:c r="E805" s="898" t="n">
        <x:v>61.52</x:v>
      </x:c>
      <x:c r="F805" s="901" t="n">
        <x:v>307929</x:v>
      </x:c>
      <x:c r="G805" s="904" t="n">
        <x:v>1278.9</x:v>
      </x:c>
      <x:c r="H805" s="904" t="n">
        <x:v>1279.33</x:v>
      </x:c>
      <x:c r="I805" s="904" t="n">
        <x:v>1270.6</x:v>
      </x:c>
      <x:c r="J805" s="904" t="n">
        <x:v>1270.6</x:v>
      </x:c>
      <x:c r="K805" s="901" t="n">
        <x:v>516838768</x:v>
      </x:c>
      <x:c r="L805" s="907" t="str">
        <x:v>SRC-P404</x:v>
      </x:c>
      <x:c r="M805" s="907" t="str">
        <x:v>VNStock API actual</x:v>
      </x:c>
      <x:c r="N805" s="1032" t="n">
        <x:v>46229.241747685184</x:v>
      </x:c>
    </x:row>
    <x:row r="806">
      <x:c r="A806" s="895" t="n">
        <x:v>45572</x:v>
      </x:c>
      <x:c r="B806" s="898" t="n">
        <x:v>61.52</x:v>
      </x:c>
      <x:c r="C806" s="898" t="n">
        <x:v>61.76</x:v>
      </x:c>
      <x:c r="D806" s="898" t="n">
        <x:v>60.88</x:v>
      </x:c>
      <x:c r="E806" s="898" t="n">
        <x:v>61.2</x:v>
      </x:c>
      <x:c r="F806" s="901" t="n">
        <x:v>366279</x:v>
      </x:c>
      <x:c r="G806" s="904" t="n">
        <x:v>1275.59</x:v>
      </x:c>
      <x:c r="H806" s="904" t="n">
        <x:v>1278.61</x:v>
      </x:c>
      <x:c r="I806" s="904" t="n">
        <x:v>1264.65</x:v>
      </x:c>
      <x:c r="J806" s="904" t="n">
        <x:v>1269.93</x:v>
      </x:c>
      <x:c r="K806" s="901" t="n">
        <x:v>431746999</x:v>
      </x:c>
      <x:c r="L806" s="907" t="str">
        <x:v>SRC-P404</x:v>
      </x:c>
      <x:c r="M806" s="907" t="str">
        <x:v>VNStock API actual</x:v>
      </x:c>
      <x:c r="N806" s="1032" t="n">
        <x:v>46229.241747685184</x:v>
      </x:c>
    </x:row>
    <x:row r="807">
      <x:c r="A807" s="895" t="n">
        <x:v>45573</x:v>
      </x:c>
      <x:c r="B807" s="898" t="n">
        <x:v>61.28</x:v>
      </x:c>
      <x:c r="C807" s="898" t="n">
        <x:v>61.36</x:v>
      </x:c>
      <x:c r="D807" s="898" t="n">
        <x:v>60.32</x:v>
      </x:c>
      <x:c r="E807" s="898" t="n">
        <x:v>60.32</x:v>
      </x:c>
      <x:c r="F807" s="901" t="n">
        <x:v>784113</x:v>
      </x:c>
      <x:c r="G807" s="904" t="n">
        <x:v>1271.98</x:v>
      </x:c>
      <x:c r="H807" s="904" t="n">
        <x:v>1275.82</x:v>
      </x:c>
      <x:c r="I807" s="904" t="n">
        <x:v>1266.94</x:v>
      </x:c>
      <x:c r="J807" s="904" t="n">
        <x:v>1271.98</x:v>
      </x:c>
      <x:c r="K807" s="901" t="n">
        <x:v>592176851</x:v>
      </x:c>
      <x:c r="L807" s="907" t="str">
        <x:v>SRC-P404</x:v>
      </x:c>
      <x:c r="M807" s="907" t="str">
        <x:v>VNStock API actual</x:v>
      </x:c>
      <x:c r="N807" s="1032" t="n">
        <x:v>46229.241747685184</x:v>
      </x:c>
    </x:row>
    <x:row r="808">
      <x:c r="A808" s="895" t="n">
        <x:v>45574</x:v>
      </x:c>
      <x:c r="B808" s="898" t="n">
        <x:v>60.48</x:v>
      </x:c>
      <x:c r="C808" s="898" t="n">
        <x:v>60.88</x:v>
      </x:c>
      <x:c r="D808" s="898" t="n">
        <x:v>60.32</x:v>
      </x:c>
      <x:c r="E808" s="898" t="n">
        <x:v>60.48</x:v>
      </x:c>
      <x:c r="F808" s="901" t="n">
        <x:v>332600</x:v>
      </x:c>
      <x:c r="G808" s="904" t="n">
        <x:v>1273.96</x:v>
      </x:c>
      <x:c r="H808" s="904" t="n">
        <x:v>1283.01</x:v>
      </x:c>
      <x:c r="I808" s="904" t="n">
        <x:v>1273.04</x:v>
      </x:c>
      <x:c r="J808" s="904" t="n">
        <x:v>1281.85</x:v>
      </x:c>
      <x:c r="K808" s="901" t="n">
        <x:v>582540343</x:v>
      </x:c>
      <x:c r="L808" s="907" t="str">
        <x:v>SRC-P404</x:v>
      </x:c>
      <x:c r="M808" s="907" t="str">
        <x:v>VNStock API actual</x:v>
      </x:c>
      <x:c r="N808" s="1032" t="n">
        <x:v>46229.241747685184</x:v>
      </x:c>
    </x:row>
    <x:row r="809">
      <x:c r="A809" s="895" t="n">
        <x:v>45575</x:v>
      </x:c>
      <x:c r="B809" s="898" t="n">
        <x:v>60.64</x:v>
      </x:c>
      <x:c r="C809" s="898" t="n">
        <x:v>61.44</x:v>
      </x:c>
      <x:c r="D809" s="898" t="n">
        <x:v>60.64</x:v>
      </x:c>
      <x:c r="E809" s="898" t="n">
        <x:v>61.36</x:v>
      </x:c>
      <x:c r="F809" s="901" t="n">
        <x:v>609488</x:v>
      </x:c>
      <x:c r="G809" s="904" t="n">
        <x:v>1289.61</x:v>
      </x:c>
      <x:c r="H809" s="904" t="n">
        <x:v>1294.33</x:v>
      </x:c>
      <x:c r="I809" s="904" t="n">
        <x:v>1284.97</x:v>
      </x:c>
      <x:c r="J809" s="904" t="n">
        <x:v>1286.36</x:v>
      </x:c>
      <x:c r="K809" s="901" t="n">
        <x:v>598891260</x:v>
      </x:c>
      <x:c r="L809" s="907" t="str">
        <x:v>SRC-P404</x:v>
      </x:c>
      <x:c r="M809" s="907" t="str">
        <x:v>VNStock API actual</x:v>
      </x:c>
      <x:c r="N809" s="1032" t="n">
        <x:v>46229.241747685184</x:v>
      </x:c>
    </x:row>
    <x:row r="810">
      <x:c r="A810" s="895" t="n">
        <x:v>45576</x:v>
      </x:c>
      <x:c r="B810" s="898" t="n">
        <x:v>61.6</x:v>
      </x:c>
      <x:c r="C810" s="898" t="n">
        <x:v>61.68</x:v>
      </x:c>
      <x:c r="D810" s="898" t="n">
        <x:v>61.36</x:v>
      </x:c>
      <x:c r="E810" s="898" t="n">
        <x:v>61.52</x:v>
      </x:c>
      <x:c r="F810" s="901" t="n">
        <x:v>368011</x:v>
      </x:c>
      <x:c r="G810" s="904" t="n">
        <x:v>1287.66</x:v>
      </x:c>
      <x:c r="H810" s="904" t="n">
        <x:v>1289.37</x:v>
      </x:c>
      <x:c r="I810" s="904" t="n">
        <x:v>1283.56</x:v>
      </x:c>
      <x:c r="J810" s="904" t="n">
        <x:v>1288.39</x:v>
      </x:c>
      <x:c r="K810" s="901" t="n">
        <x:v>437625358</x:v>
      </x:c>
      <x:c r="L810" s="907" t="str">
        <x:v>SRC-P404</x:v>
      </x:c>
      <x:c r="M810" s="907" t="str">
        <x:v>VNStock API actual</x:v>
      </x:c>
      <x:c r="N810" s="1032" t="n">
        <x:v>46229.241747685184</x:v>
      </x:c>
    </x:row>
    <x:row r="811">
      <x:c r="A811" s="895" t="n">
        <x:v>45579</x:v>
      </x:c>
      <x:c r="B811" s="898" t="n">
        <x:v>62.08</x:v>
      </x:c>
      <x:c r="C811" s="898" t="n">
        <x:v>62.08</x:v>
      </x:c>
      <x:c r="D811" s="898" t="n">
        <x:v>60.88</x:v>
      </x:c>
      <x:c r="E811" s="898" t="n">
        <x:v>60.96</x:v>
      </x:c>
      <x:c r="F811" s="901" t="n">
        <x:v>465716</x:v>
      </x:c>
      <x:c r="G811" s="904" t="n">
        <x:v>1296.54</x:v>
      </x:c>
      <x:c r="H811" s="904" t="n">
        <x:v>1297.67</x:v>
      </x:c>
      <x:c r="I811" s="904" t="n">
        <x:v>1286.13</x:v>
      </x:c>
      <x:c r="J811" s="904" t="n">
        <x:v>1286.34</x:v>
      </x:c>
      <x:c r="K811" s="901" t="n">
        <x:v>619276191</x:v>
      </x:c>
      <x:c r="L811" s="907" t="str">
        <x:v>SRC-P404</x:v>
      </x:c>
      <x:c r="M811" s="907" t="str">
        <x:v>VNStock API actual</x:v>
      </x:c>
      <x:c r="N811" s="1032" t="n">
        <x:v>46229.241747685184</x:v>
      </x:c>
    </x:row>
    <x:row r="812">
      <x:c r="A812" s="895" t="n">
        <x:v>45580</x:v>
      </x:c>
      <x:c r="B812" s="898" t="n">
        <x:v>61.2</x:v>
      </x:c>
      <x:c r="C812" s="898" t="n">
        <x:v>61.44</x:v>
      </x:c>
      <x:c r="D812" s="898" t="n">
        <x:v>60.48</x:v>
      </x:c>
      <x:c r="E812" s="898" t="n">
        <x:v>60.56</x:v>
      </x:c>
      <x:c r="F812" s="901" t="n">
        <x:v>779972</x:v>
      </x:c>
      <x:c r="G812" s="904" t="n">
        <x:v>1287.81</x:v>
      </x:c>
      <x:c r="H812" s="904" t="n">
        <x:v>1294.05</x:v>
      </x:c>
      <x:c r="I812" s="904" t="n">
        <x:v>1279.81</x:v>
      </x:c>
      <x:c r="J812" s="904" t="n">
        <x:v>1281.08</x:v>
      </x:c>
      <x:c r="K812" s="901" t="n">
        <x:v>619610197</x:v>
      </x:c>
      <x:c r="L812" s="907" t="str">
        <x:v>SRC-P404</x:v>
      </x:c>
      <x:c r="M812" s="907" t="str">
        <x:v>VNStock API actual</x:v>
      </x:c>
      <x:c r="N812" s="1032" t="n">
        <x:v>46229.241747685184</x:v>
      </x:c>
    </x:row>
    <x:row r="813">
      <x:c r="A813" s="895" t="n">
        <x:v>45581</x:v>
      </x:c>
      <x:c r="B813" s="898" t="n">
        <x:v>60.16</x:v>
      </x:c>
      <x:c r="C813" s="898" t="n">
        <x:v>60.4</x:v>
      </x:c>
      <x:c r="D813" s="898" t="n">
        <x:v>60.08</x:v>
      </x:c>
      <x:c r="E813" s="898" t="n">
        <x:v>60.16</x:v>
      </x:c>
      <x:c r="F813" s="901" t="n">
        <x:v>601515</x:v>
      </x:c>
      <x:c r="G813" s="904" t="n">
        <x:v>1279.86</x:v>
      </x:c>
      <x:c r="H813" s="904" t="n">
        <x:v>1283.33</x:v>
      </x:c>
      <x:c r="I813" s="904" t="n">
        <x:v>1276.4</x:v>
      </x:c>
      <x:c r="J813" s="904" t="n">
        <x:v>1279.48</x:v>
      </x:c>
      <x:c r="K813" s="901" t="n">
        <x:v>440452844</x:v>
      </x:c>
      <x:c r="L813" s="907" t="str">
        <x:v>SRC-P404</x:v>
      </x:c>
      <x:c r="M813" s="907" t="str">
        <x:v>VNStock API actual</x:v>
      </x:c>
      <x:c r="N813" s="1032" t="n">
        <x:v>46229.241747685184</x:v>
      </x:c>
    </x:row>
    <x:row r="814">
      <x:c r="A814" s="895" t="n">
        <x:v>45582</x:v>
      </x:c>
      <x:c r="B814" s="898" t="n">
        <x:v>60.24</x:v>
      </x:c>
      <x:c r="C814" s="898" t="n">
        <x:v>60.24</x:v>
      </x:c>
      <x:c r="D814" s="898" t="n">
        <x:v>58.4</x:v>
      </x:c>
      <x:c r="E814" s="898" t="n">
        <x:v>58.56</x:v>
      </x:c>
      <x:c r="F814" s="901" t="n">
        <x:v>1499517</x:v>
      </x:c>
      <x:c r="G814" s="904" t="n">
        <x:v>1282.65</x:v>
      </x:c>
      <x:c r="H814" s="904" t="n">
        <x:v>1286.52</x:v>
      </x:c>
      <x:c r="I814" s="904" t="n">
        <x:v>1271.82</x:v>
      </x:c>
      <x:c r="J814" s="904" t="n">
        <x:v>1286.52</x:v>
      </x:c>
      <x:c r="K814" s="901" t="n">
        <x:v>579305856</x:v>
      </x:c>
      <x:c r="L814" s="907" t="str">
        <x:v>SRC-P404</x:v>
      </x:c>
      <x:c r="M814" s="907" t="str">
        <x:v>VNStock API actual</x:v>
      </x:c>
      <x:c r="N814" s="1032" t="n">
        <x:v>46229.241747685184</x:v>
      </x:c>
    </x:row>
    <x:row r="815">
      <x:c r="A815" s="895" t="n">
        <x:v>45583</x:v>
      </x:c>
      <x:c r="B815" s="898" t="n">
        <x:v>58.48</x:v>
      </x:c>
      <x:c r="C815" s="898" t="n">
        <x:v>58.8</x:v>
      </x:c>
      <x:c r="D815" s="898" t="n">
        <x:v>57.51</x:v>
      </x:c>
      <x:c r="E815" s="898" t="n">
        <x:v>57.51</x:v>
      </x:c>
      <x:c r="F815" s="901" t="n">
        <x:v>1265107</x:v>
      </x:c>
      <x:c r="G815" s="904" t="n">
        <x:v>1291.16</x:v>
      </x:c>
      <x:c r="H815" s="904" t="n">
        <x:v>1294.1</x:v>
      </x:c>
      <x:c r="I815" s="904" t="n">
        <x:v>1285.46</x:v>
      </x:c>
      <x:c r="J815" s="904" t="n">
        <x:v>1285.46</x:v>
      </x:c>
      <x:c r="K815" s="901" t="n">
        <x:v>546249354</x:v>
      </x:c>
      <x:c r="L815" s="907" t="str">
        <x:v>SRC-P404</x:v>
      </x:c>
      <x:c r="M815" s="907" t="str">
        <x:v>VNStock API actual</x:v>
      </x:c>
      <x:c r="N815" s="1032" t="n">
        <x:v>46229.241747685184</x:v>
      </x:c>
    </x:row>
    <x:row r="816">
      <x:c r="A816" s="895" t="n">
        <x:v>45586</x:v>
      </x:c>
      <x:c r="B816" s="898" t="n">
        <x:v>57.51</x:v>
      </x:c>
      <x:c r="C816" s="898" t="n">
        <x:v>57.67</x:v>
      </x:c>
      <x:c r="D816" s="898" t="n">
        <x:v>56.31</x:v>
      </x:c>
      <x:c r="E816" s="898" t="n">
        <x:v>57.11</x:v>
      </x:c>
      <x:c r="F816" s="901" t="n">
        <x:v>1959393</x:v>
      </x:c>
      <x:c r="G816" s="904" t="n">
        <x:v>1284.17</x:v>
      </x:c>
      <x:c r="H816" s="904" t="n">
        <x:v>1287.71</x:v>
      </x:c>
      <x:c r="I816" s="904" t="n">
        <x:v>1279.77</x:v>
      </x:c>
      <x:c r="J816" s="904" t="n">
        <x:v>1279.77</x:v>
      </x:c>
      <x:c r="K816" s="901" t="n">
        <x:v>528557901</x:v>
      </x:c>
      <x:c r="L816" s="907" t="str">
        <x:v>SRC-P404</x:v>
      </x:c>
      <x:c r="M816" s="907" t="str">
        <x:v>VNStock API actual</x:v>
      </x:c>
      <x:c r="N816" s="1032" t="n">
        <x:v>46229.241747685184</x:v>
      </x:c>
    </x:row>
    <x:row r="817">
      <x:c r="A817" s="895" t="n">
        <x:v>45587</x:v>
      </x:c>
      <x:c r="B817" s="898" t="n">
        <x:v>57.65</x:v>
      </x:c>
      <x:c r="C817" s="898" t="n">
        <x:v>59.25</x:v>
      </x:c>
      <x:c r="D817" s="898" t="n">
        <x:v>57.65</x:v>
      </x:c>
      <x:c r="E817" s="898" t="n">
        <x:v>59.06</x:v>
      </x:c>
      <x:c r="F817" s="901" t="n">
        <x:v>891744</x:v>
      </x:c>
      <x:c r="G817" s="904" t="n">
        <x:v>1280.21</x:v>
      </x:c>
      <x:c r="H817" s="904" t="n">
        <x:v>1280.21</x:v>
      </x:c>
      <x:c r="I817" s="904" t="n">
        <x:v>1265.44</x:v>
      </x:c>
      <x:c r="J817" s="904" t="n">
        <x:v>1269.89</x:v>
      </x:c>
      <x:c r="K817" s="901" t="n">
        <x:v>667541526</x:v>
      </x:c>
      <x:c r="L817" s="907" t="str">
        <x:v>SRC-P404</x:v>
      </x:c>
      <x:c r="M817" s="907" t="str">
        <x:v>VNStock API actual</x:v>
      </x:c>
      <x:c r="N817" s="1032" t="n">
        <x:v>46229.241747685184</x:v>
      </x:c>
    </x:row>
    <x:row r="818">
      <x:c r="A818" s="895" t="n">
        <x:v>45588</x:v>
      </x:c>
      <x:c r="B818" s="898" t="n">
        <x:v>59.06</x:v>
      </x:c>
      <x:c r="C818" s="898" t="n">
        <x:v>59.06</x:v>
      </x:c>
      <x:c r="D818" s="898" t="n">
        <x:v>58.12</x:v>
      </x:c>
      <x:c r="E818" s="898" t="n">
        <x:v>59.06</x:v>
      </x:c>
      <x:c r="F818" s="901" t="n">
        <x:v>598745</x:v>
      </x:c>
      <x:c r="G818" s="904" t="n">
        <x:v>1270.58</x:v>
      </x:c>
      <x:c r="H818" s="904" t="n">
        <x:v>1273.21</x:v>
      </x:c>
      <x:c r="I818" s="904" t="n">
        <x:v>1263.26</x:v>
      </x:c>
      <x:c r="J818" s="904" t="n">
        <x:v>1270.9</x:v>
      </x:c>
      <x:c r="K818" s="901" t="n">
        <x:v>489929001</x:v>
      </x:c>
      <x:c r="L818" s="907" t="str">
        <x:v>SRC-P404</x:v>
      </x:c>
      <x:c r="M818" s="907" t="str">
        <x:v>VNStock API actual</x:v>
      </x:c>
      <x:c r="N818" s="1032" t="n">
        <x:v>46229.241747685184</x:v>
      </x:c>
    </x:row>
    <x:row r="819">
      <x:c r="A819" s="895" t="n">
        <x:v>45589</x:v>
      </x:c>
      <x:c r="B819" s="898" t="n">
        <x:v>58.59</x:v>
      </x:c>
      <x:c r="C819" s="898" t="n">
        <x:v>59.06</x:v>
      </x:c>
      <x:c r="D819" s="898" t="n">
        <x:v>58.03</x:v>
      </x:c>
      <x:c r="E819" s="898" t="n">
        <x:v>59.06</x:v>
      </x:c>
      <x:c r="F819" s="901" t="n">
        <x:v>968168</x:v>
      </x:c>
      <x:c r="G819" s="904" t="n">
        <x:v>1271.17</x:v>
      </x:c>
      <x:c r="H819" s="904" t="n">
        <x:v>1274.11</x:v>
      </x:c>
      <x:c r="I819" s="904" t="n">
        <x:v>1257.41</x:v>
      </x:c>
      <x:c r="J819" s="904" t="n">
        <x:v>1257.41</x:v>
      </x:c>
      <x:c r="K819" s="901" t="n">
        <x:v>532020991</x:v>
      </x:c>
      <x:c r="L819" s="907" t="str">
        <x:v>SRC-P404</x:v>
      </x:c>
      <x:c r="M819" s="907" t="str">
        <x:v>VNStock API actual</x:v>
      </x:c>
      <x:c r="N819" s="1032" t="n">
        <x:v>46229.241747685184</x:v>
      </x:c>
    </x:row>
    <x:row r="820">
      <x:c r="A820" s="895" t="n">
        <x:v>45590</x:v>
      </x:c>
      <x:c r="B820" s="898" t="n">
        <x:v>58.88</x:v>
      </x:c>
      <x:c r="C820" s="898" t="n">
        <x:v>59.25</x:v>
      </x:c>
      <x:c r="D820" s="898" t="n">
        <x:v>58.31</x:v>
      </x:c>
      <x:c r="E820" s="898" t="n">
        <x:v>58.97</x:v>
      </x:c>
      <x:c r="F820" s="901" t="n">
        <x:v>731785</x:v>
      </x:c>
      <x:c r="G820" s="904" t="n">
        <x:v>1260.94</x:v>
      </x:c>
      <x:c r="H820" s="904" t="n">
        <x:v>1261.72</x:v>
      </x:c>
      <x:c r="I820" s="904" t="n">
        <x:v>1251.75</x:v>
      </x:c>
      <x:c r="J820" s="904" t="n">
        <x:v>1252.72</x:v>
      </x:c>
      <x:c r="K820" s="901" t="n">
        <x:v>480454993</x:v>
      </x:c>
      <x:c r="L820" s="907" t="str">
        <x:v>SRC-P404</x:v>
      </x:c>
      <x:c r="M820" s="907" t="str">
        <x:v>VNStock API actual</x:v>
      </x:c>
      <x:c r="N820" s="1032" t="n">
        <x:v>46229.241747685184</x:v>
      </x:c>
    </x:row>
    <x:row r="821">
      <x:c r="A821" s="895" t="n">
        <x:v>45593</x:v>
      </x:c>
      <x:c r="B821" s="898" t="n">
        <x:v>59.06</x:v>
      </x:c>
      <x:c r="C821" s="898" t="n">
        <x:v>59.06</x:v>
      </x:c>
      <x:c r="D821" s="898" t="n">
        <x:v>58.5</x:v>
      </x:c>
      <x:c r="E821" s="898" t="n">
        <x:v>58.78</x:v>
      </x:c>
      <x:c r="F821" s="901" t="n">
        <x:v>412817</x:v>
      </x:c>
      <x:c r="G821" s="904" t="n">
        <x:v>1252.76</x:v>
      </x:c>
      <x:c r="H821" s="904" t="n">
        <x:v>1255.18</x:v>
      </x:c>
      <x:c r="I821" s="904" t="n">
        <x:v>1250.94</x:v>
      </x:c>
      <x:c r="J821" s="904" t="n">
        <x:v>1254.77</x:v>
      </x:c>
      <x:c r="K821" s="901" t="n">
        <x:v>368249767</x:v>
      </x:c>
      <x:c r="L821" s="907" t="str">
        <x:v>SRC-P404</x:v>
      </x:c>
      <x:c r="M821" s="907" t="str">
        <x:v>VNStock API actual</x:v>
      </x:c>
      <x:c r="N821" s="1032" t="n">
        <x:v>46229.241747685184</x:v>
      </x:c>
    </x:row>
    <x:row r="822">
      <x:c r="A822" s="895" t="n">
        <x:v>45594</x:v>
      </x:c>
      <x:c r="B822" s="898" t="n">
        <x:v>58.78</x:v>
      </x:c>
      <x:c r="C822" s="898" t="n">
        <x:v>61.6</x:v>
      </x:c>
      <x:c r="D822" s="898" t="n">
        <x:v>58.69</x:v>
      </x:c>
      <x:c r="E822" s="898" t="n">
        <x:v>61.13</x:v>
      </x:c>
      <x:c r="F822" s="901" t="n">
        <x:v>5257939</x:v>
      </x:c>
      <x:c r="G822" s="904" t="n">
        <x:v>1258.03</x:v>
      </x:c>
      <x:c r="H822" s="904" t="n">
        <x:v>1262.38</x:v>
      </x:c>
      <x:c r="I822" s="904" t="n">
        <x:v>1257.43</x:v>
      </x:c>
      <x:c r="J822" s="904" t="n">
        <x:v>1261.78</x:v>
      </x:c>
      <x:c r="K822" s="901" t="n">
        <x:v>454099020</x:v>
      </x:c>
      <x:c r="L822" s="907" t="str">
        <x:v>SRC-P404</x:v>
      </x:c>
      <x:c r="M822" s="907" t="str">
        <x:v>VNStock API actual</x:v>
      </x:c>
      <x:c r="N822" s="1032" t="n">
        <x:v>46229.241747685184</x:v>
      </x:c>
    </x:row>
    <x:row r="823">
      <x:c r="A823" s="895" t="n">
        <x:v>45595</x:v>
      </x:c>
      <x:c r="B823" s="898" t="n">
        <x:v>61.23</x:v>
      </x:c>
      <x:c r="C823" s="898" t="n">
        <x:v>61.98</x:v>
      </x:c>
      <x:c r="D823" s="898" t="n">
        <x:v>60.76</x:v>
      </x:c>
      <x:c r="E823" s="898" t="n">
        <x:v>61.23</x:v>
      </x:c>
      <x:c r="F823" s="901" t="n">
        <x:v>1104008</x:v>
      </x:c>
      <x:c r="G823" s="904" t="n">
        <x:v>1263.57</x:v>
      </x:c>
      <x:c r="H823" s="904" t="n">
        <x:v>1264.84</x:v>
      </x:c>
      <x:c r="I823" s="904" t="n">
        <x:v>1255.07</x:v>
      </x:c>
      <x:c r="J823" s="904" t="n">
        <x:v>1258.63</x:v>
      </x:c>
      <x:c r="K823" s="901" t="n">
        <x:v>429794790</x:v>
      </x:c>
      <x:c r="L823" s="907" t="str">
        <x:v>SRC-P404</x:v>
      </x:c>
      <x:c r="M823" s="907" t="str">
        <x:v>VNStock API actual</x:v>
      </x:c>
      <x:c r="N823" s="1032" t="n">
        <x:v>46229.241747685184</x:v>
      </x:c>
    </x:row>
    <x:row r="824">
      <x:c r="A824" s="895" t="n">
        <x:v>45596</x:v>
      </x:c>
      <x:c r="B824" s="898" t="n">
        <x:v>61.23</x:v>
      </x:c>
      <x:c r="C824" s="898" t="n">
        <x:v>61.7</x:v>
      </x:c>
      <x:c r="D824" s="898" t="n">
        <x:v>60.38</x:v>
      </x:c>
      <x:c r="E824" s="898" t="n">
        <x:v>61.42</x:v>
      </x:c>
      <x:c r="F824" s="901" t="n">
        <x:v>1353763</x:v>
      </x:c>
      <x:c r="G824" s="904" t="n">
        <x:v>1260.23</x:v>
      </x:c>
      <x:c r="H824" s="904" t="n">
        <x:v>1267.88</x:v>
      </x:c>
      <x:c r="I824" s="904" t="n">
        <x:v>1255.55</x:v>
      </x:c>
      <x:c r="J824" s="904" t="n">
        <x:v>1264.48</x:v>
      </x:c>
      <x:c r="K824" s="901" t="n">
        <x:v>409737985</x:v>
      </x:c>
      <x:c r="L824" s="907" t="str">
        <x:v>SRC-P404</x:v>
      </x:c>
      <x:c r="M824" s="907" t="str">
        <x:v>VNStock API actual</x:v>
      </x:c>
      <x:c r="N824" s="1032" t="n">
        <x:v>46229.241747685184</x:v>
      </x:c>
    </x:row>
    <x:row r="825">
      <x:c r="A825" s="895" t="n">
        <x:v>45597</x:v>
      </x:c>
      <x:c r="B825" s="898" t="n">
        <x:v>61.42</x:v>
      </x:c>
      <x:c r="C825" s="898" t="n">
        <x:v>62.07</x:v>
      </x:c>
      <x:c r="D825" s="898" t="n">
        <x:v>60.38</x:v>
      </x:c>
      <x:c r="E825" s="898" t="n">
        <x:v>60.38</x:v>
      </x:c>
      <x:c r="F825" s="901" t="n">
        <x:v>3482825</x:v>
      </x:c>
      <x:c r="G825" s="904" t="n">
        <x:v>1262.39</x:v>
      </x:c>
      <x:c r="H825" s="904" t="n">
        <x:v>1264.67</x:v>
      </x:c>
      <x:c r="I825" s="904" t="n">
        <x:v>1254.33</x:v>
      </x:c>
      <x:c r="J825" s="904" t="n">
        <x:v>1254.89</x:v>
      </x:c>
      <x:c r="K825" s="901" t="n">
        <x:v>497670931</x:v>
      </x:c>
      <x:c r="L825" s="907" t="str">
        <x:v>SRC-P404</x:v>
      </x:c>
      <x:c r="M825" s="907" t="str">
        <x:v>VNStock API actual</x:v>
      </x:c>
      <x:c r="N825" s="1032" t="n">
        <x:v>46229.241747685184</x:v>
      </x:c>
    </x:row>
    <x:row r="826">
      <x:c r="A826" s="895" t="n">
        <x:v>45600</x:v>
      </x:c>
      <x:c r="B826" s="898" t="n">
        <x:v>61.04</x:v>
      </x:c>
      <x:c r="C826" s="898" t="n">
        <x:v>61.04</x:v>
      </x:c>
      <x:c r="D826" s="898" t="n">
        <x:v>59.06</x:v>
      </x:c>
      <x:c r="E826" s="898" t="n">
        <x:v>60.47</x:v>
      </x:c>
      <x:c r="F826" s="901" t="n">
        <x:v>951881</x:v>
      </x:c>
      <x:c r="G826" s="904" t="n">
        <x:v>1255.92</x:v>
      </x:c>
      <x:c r="H826" s="904" t="n">
        <x:v>1256.96</x:v>
      </x:c>
      <x:c r="I826" s="904" t="n">
        <x:v>1242.36</x:v>
      </x:c>
      <x:c r="J826" s="904" t="n">
        <x:v>1244.71</x:v>
      </x:c>
      <x:c r="K826" s="901" t="n">
        <x:v>543721609</x:v>
      </x:c>
      <x:c r="L826" s="907" t="str">
        <x:v>SRC-P404</x:v>
      </x:c>
      <x:c r="M826" s="907" t="str">
        <x:v>VNStock API actual</x:v>
      </x:c>
      <x:c r="N826" s="1032" t="n">
        <x:v>46229.241747685184</x:v>
      </x:c>
    </x:row>
    <x:row r="827">
      <x:c r="A827" s="895" t="n">
        <x:v>45601</x:v>
      </x:c>
      <x:c r="B827" s="898" t="n">
        <x:v>60.19</x:v>
      </x:c>
      <x:c r="C827" s="898" t="n">
        <x:v>60.47</x:v>
      </x:c>
      <x:c r="D827" s="898" t="n">
        <x:v>59.63</x:v>
      </x:c>
      <x:c r="E827" s="898" t="n">
        <x:v>60.1</x:v>
      </x:c>
      <x:c r="F827" s="901" t="n">
        <x:v>780543</x:v>
      </x:c>
      <x:c r="G827" s="904" t="n">
        <x:v>1244.85</x:v>
      </x:c>
      <x:c r="H827" s="904" t="n">
        <x:v>1248.97</x:v>
      </x:c>
      <x:c r="I827" s="904" t="n">
        <x:v>1243.55</x:v>
      </x:c>
      <x:c r="J827" s="904" t="n">
        <x:v>1245.76</x:v>
      </x:c>
      <x:c r="K827" s="901" t="n">
        <x:v>314945393</x:v>
      </x:c>
      <x:c r="L827" s="907" t="str">
        <x:v>SRC-P404</x:v>
      </x:c>
      <x:c r="M827" s="907" t="str">
        <x:v>VNStock API actual</x:v>
      </x:c>
      <x:c r="N827" s="1032" t="n">
        <x:v>46229.241747685184</x:v>
      </x:c>
    </x:row>
    <x:row r="828">
      <x:c r="A828" s="895" t="n">
        <x:v>45602</x:v>
      </x:c>
      <x:c r="B828" s="898" t="n">
        <x:v>60.19</x:v>
      </x:c>
      <x:c r="C828" s="898" t="n">
        <x:v>60.94</x:v>
      </x:c>
      <x:c r="D828" s="898" t="n">
        <x:v>60</x:v>
      </x:c>
      <x:c r="E828" s="898" t="n">
        <x:v>60.66</x:v>
      </x:c>
      <x:c r="F828" s="901" t="n">
        <x:v>995686</x:v>
      </x:c>
      <x:c r="G828" s="904" t="n">
        <x:v>1251.22</x:v>
      </x:c>
      <x:c r="H828" s="904" t="n">
        <x:v>1262.44</x:v>
      </x:c>
      <x:c r="I828" s="904" t="n">
        <x:v>1250.57</x:v>
      </x:c>
      <x:c r="J828" s="904" t="n">
        <x:v>1261.28</x:v>
      </x:c>
      <x:c r="K828" s="901" t="n">
        <x:v>463915932</x:v>
      </x:c>
      <x:c r="L828" s="907" t="str">
        <x:v>SRC-P404</x:v>
      </x:c>
      <x:c r="M828" s="907" t="str">
        <x:v>VNStock API actual</x:v>
      </x:c>
      <x:c r="N828" s="1032" t="n">
        <x:v>46229.241747685184</x:v>
      </x:c>
    </x:row>
    <x:row r="829">
      <x:c r="A829" s="895" t="n">
        <x:v>45603</x:v>
      </x:c>
      <x:c r="B829" s="898" t="n">
        <x:v>61.23</x:v>
      </x:c>
      <x:c r="C829" s="898" t="n">
        <x:v>61.51</x:v>
      </x:c>
      <x:c r="D829" s="898" t="n">
        <x:v>60.66</x:v>
      </x:c>
      <x:c r="E829" s="898" t="n">
        <x:v>61.13</x:v>
      </x:c>
      <x:c r="F829" s="901" t="n">
        <x:v>1329623</x:v>
      </x:c>
      <x:c r="G829" s="904" t="n">
        <x:v>1266.61</x:v>
      </x:c>
      <x:c r="H829" s="904" t="n">
        <x:v>1267.09</x:v>
      </x:c>
      <x:c r="I829" s="904" t="n">
        <x:v>1259.75</x:v>
      </x:c>
      <x:c r="J829" s="904" t="n">
        <x:v>1259.75</x:v>
      </x:c>
      <x:c r="K829" s="901" t="n">
        <x:v>436110981</x:v>
      </x:c>
      <x:c r="L829" s="907" t="str">
        <x:v>SRC-P404</x:v>
      </x:c>
      <x:c r="M829" s="907" t="str">
        <x:v>VNStock API actual</x:v>
      </x:c>
      <x:c r="N829" s="1032" t="n">
        <x:v>46229.241747685184</x:v>
      </x:c>
    </x:row>
    <x:row r="830">
      <x:c r="A830" s="895" t="n">
        <x:v>45604</x:v>
      </x:c>
      <x:c r="B830" s="898" t="n">
        <x:v>61.23</x:v>
      </x:c>
      <x:c r="C830" s="898" t="n">
        <x:v>61.32</x:v>
      </x:c>
      <x:c r="D830" s="898" t="n">
        <x:v>60.66</x:v>
      </x:c>
      <x:c r="E830" s="898" t="n">
        <x:v>60.76</x:v>
      </x:c>
      <x:c r="F830" s="901" t="n">
        <x:v>637354</x:v>
      </x:c>
      <x:c r="G830" s="904" t="n">
        <x:v>1262.84</x:v>
      </x:c>
      <x:c r="H830" s="904" t="n">
        <x:v>1264.09</x:v>
      </x:c>
      <x:c r="I830" s="904" t="n">
        <x:v>1250.77</x:v>
      </x:c>
      <x:c r="J830" s="904" t="n">
        <x:v>1252.56</x:v>
      </x:c>
      <x:c r="K830" s="901" t="n">
        <x:v>472794115</x:v>
      </x:c>
      <x:c r="L830" s="907" t="str">
        <x:v>SRC-P404</x:v>
      </x:c>
      <x:c r="M830" s="907" t="str">
        <x:v>VNStock API actual</x:v>
      </x:c>
      <x:c r="N830" s="1032" t="n">
        <x:v>46229.241747685184</x:v>
      </x:c>
    </x:row>
    <x:row r="831">
      <x:c r="A831" s="895" t="n">
        <x:v>45607</x:v>
      </x:c>
      <x:c r="B831" s="898" t="n">
        <x:v>60.29</x:v>
      </x:c>
      <x:c r="C831" s="898" t="n">
        <x:v>61.98</x:v>
      </x:c>
      <x:c r="D831" s="898" t="n">
        <x:v>60.19</x:v>
      </x:c>
      <x:c r="E831" s="898" t="n">
        <x:v>61.89</x:v>
      </x:c>
      <x:c r="F831" s="901" t="n">
        <x:v>2053923</x:v>
      </x:c>
      <x:c r="G831" s="904" t="n">
        <x:v>1253.81</x:v>
      </x:c>
      <x:c r="H831" s="904" t="n">
        <x:v>1253.87</x:v>
      </x:c>
      <x:c r="I831" s="904" t="n">
        <x:v>1241.29</x:v>
      </x:c>
      <x:c r="J831" s="904" t="n">
        <x:v>1250.32</x:v>
      </x:c>
      <x:c r="K831" s="901" t="n">
        <x:v>664742714</x:v>
      </x:c>
      <x:c r="L831" s="907" t="str">
        <x:v>SRC-P404</x:v>
      </x:c>
      <x:c r="M831" s="907" t="str">
        <x:v>VNStock API actual</x:v>
      </x:c>
      <x:c r="N831" s="1032" t="n">
        <x:v>46229.241747685184</x:v>
      </x:c>
    </x:row>
    <x:row r="832">
      <x:c r="A832" s="895" t="n">
        <x:v>45608</x:v>
      </x:c>
      <x:c r="B832" s="898" t="n">
        <x:v>61.89</x:v>
      </x:c>
      <x:c r="C832" s="898" t="n">
        <x:v>62.07</x:v>
      </x:c>
      <x:c r="D832" s="898" t="n">
        <x:v>60.94</x:v>
      </x:c>
      <x:c r="E832" s="898" t="n">
        <x:v>61.98</x:v>
      </x:c>
      <x:c r="F832" s="901" t="n">
        <x:v>1223534</x:v>
      </x:c>
      <x:c r="G832" s="904" t="n">
        <x:v>1251.79</x:v>
      </x:c>
      <x:c r="H832" s="904" t="n">
        <x:v>1257.02</x:v>
      </x:c>
      <x:c r="I832" s="904" t="n">
        <x:v>1242.91</x:v>
      </x:c>
      <x:c r="J832" s="904" t="n">
        <x:v>1244.82</x:v>
      </x:c>
      <x:c r="K832" s="901" t="n">
        <x:v>478703119</x:v>
      </x:c>
      <x:c r="L832" s="907" t="str">
        <x:v>SRC-P404</x:v>
      </x:c>
      <x:c r="M832" s="907" t="str">
        <x:v>VNStock API actual</x:v>
      </x:c>
      <x:c r="N832" s="1032" t="n">
        <x:v>46229.241747685184</x:v>
      </x:c>
    </x:row>
    <x:row r="833">
      <x:c r="A833" s="895" t="n">
        <x:v>45609</x:v>
      </x:c>
      <x:c r="B833" s="898" t="n">
        <x:v>61.98</x:v>
      </x:c>
      <x:c r="C833" s="898" t="n">
        <x:v>61.98</x:v>
      </x:c>
      <x:c r="D833" s="898" t="n">
        <x:v>60.94</x:v>
      </x:c>
      <x:c r="E833" s="898" t="n">
        <x:v>61.89</x:v>
      </x:c>
      <x:c r="F833" s="901" t="n">
        <x:v>730442</x:v>
      </x:c>
      <x:c r="G833" s="904" t="n">
        <x:v>1242.94</x:v>
      </x:c>
      <x:c r="H833" s="904" t="n">
        <x:v>1247.04</x:v>
      </x:c>
      <x:c r="I833" s="904" t="n">
        <x:v>1234.62</x:v>
      </x:c>
      <x:c r="J833" s="904" t="n">
        <x:v>1246.04</x:v>
      </x:c>
      <x:c r="K833" s="901" t="n">
        <x:v>556101320</x:v>
      </x:c>
      <x:c r="L833" s="907" t="str">
        <x:v>SRC-P404</x:v>
      </x:c>
      <x:c r="M833" s="907" t="str">
        <x:v>VNStock API actual</x:v>
      </x:c>
      <x:c r="N833" s="1032" t="n">
        <x:v>46229.241747685184</x:v>
      </x:c>
    </x:row>
    <x:row r="834">
      <x:c r="A834" s="895" t="n">
        <x:v>45610</x:v>
      </x:c>
      <x:c r="B834" s="898" t="n">
        <x:v>61.51</x:v>
      </x:c>
      <x:c r="C834" s="898" t="n">
        <x:v>63.67</x:v>
      </x:c>
      <x:c r="D834" s="898" t="n">
        <x:v>61.42</x:v>
      </x:c>
      <x:c r="E834" s="898" t="n">
        <x:v>62.64</x:v>
      </x:c>
      <x:c r="F834" s="901" t="n">
        <x:v>2483373</x:v>
      </x:c>
      <x:c r="G834" s="904" t="n">
        <x:v>1243.85</x:v>
      </x:c>
      <x:c r="H834" s="904" t="n">
        <x:v>1247.07</x:v>
      </x:c>
      <x:c r="I834" s="904" t="n">
        <x:v>1231.69</x:v>
      </x:c>
      <x:c r="J834" s="904" t="n">
        <x:v>1231.89</x:v>
      </x:c>
      <x:c r="K834" s="901" t="n">
        <x:v>530216570</x:v>
      </x:c>
      <x:c r="L834" s="907" t="str">
        <x:v>SRC-P404</x:v>
      </x:c>
      <x:c r="M834" s="907" t="str">
        <x:v>VNStock API actual</x:v>
      </x:c>
      <x:c r="N834" s="1032" t="n">
        <x:v>46229.241747685184</x:v>
      </x:c>
    </x:row>
    <x:row r="835">
      <x:c r="A835" s="895" t="n">
        <x:v>45611</x:v>
      </x:c>
      <x:c r="B835" s="898" t="n">
        <x:v>62.36</x:v>
      </x:c>
      <x:c r="C835" s="898" t="n">
        <x:v>62.54</x:v>
      </x:c>
      <x:c r="D835" s="898" t="n">
        <x:v>61.23</x:v>
      </x:c>
      <x:c r="E835" s="898" t="n">
        <x:v>61.89</x:v>
      </x:c>
      <x:c r="F835" s="901" t="n">
        <x:v>816839</x:v>
      </x:c>
      <x:c r="G835" s="904" t="n">
        <x:v>1229.36</x:v>
      </x:c>
      <x:c r="H835" s="904" t="n">
        <x:v>1229.59</x:v>
      </x:c>
      <x:c r="I835" s="904" t="n">
        <x:v>1217.03</x:v>
      </x:c>
      <x:c r="J835" s="904" t="n">
        <x:v>1218.57</x:v>
      </x:c>
      <x:c r="K835" s="901" t="n">
        <x:v>634822173</x:v>
      </x:c>
      <x:c r="L835" s="907" t="str">
        <x:v>SRC-P404</x:v>
      </x:c>
      <x:c r="M835" s="907" t="str">
        <x:v>VNStock API actual</x:v>
      </x:c>
      <x:c r="N835" s="1032" t="n">
        <x:v>46229.241747685184</x:v>
      </x:c>
    </x:row>
    <x:row r="836">
      <x:c r="A836" s="895" t="n">
        <x:v>45614</x:v>
      </x:c>
      <x:c r="B836" s="898" t="n">
        <x:v>61.6</x:v>
      </x:c>
      <x:c r="C836" s="898" t="n">
        <x:v>61.6</x:v>
      </x:c>
      <x:c r="D836" s="898" t="n">
        <x:v>59.63</x:v>
      </x:c>
      <x:c r="E836" s="898" t="n">
        <x:v>60.76</x:v>
      </x:c>
      <x:c r="F836" s="901" t="n">
        <x:v>1143812</x:v>
      </x:c>
      <x:c r="G836" s="904" t="n">
        <x:v>1218.3</x:v>
      </x:c>
      <x:c r="H836" s="904" t="n">
        <x:v>1225.38</x:v>
      </x:c>
      <x:c r="I836" s="904" t="n">
        <x:v>1204.6</x:v>
      </x:c>
      <x:c r="J836" s="904" t="n">
        <x:v>1217.12</x:v>
      </x:c>
      <x:c r="K836" s="901" t="n">
        <x:v>519684737</x:v>
      </x:c>
      <x:c r="L836" s="907" t="str">
        <x:v>SRC-P404</x:v>
      </x:c>
      <x:c r="M836" s="907" t="str">
        <x:v>VNStock API actual</x:v>
      </x:c>
      <x:c r="N836" s="1032" t="n">
        <x:v>46229.241747685184</x:v>
      </x:c>
    </x:row>
    <x:row r="837">
      <x:c r="A837" s="895" t="n">
        <x:v>45615</x:v>
      </x:c>
      <x:c r="B837" s="898" t="n">
        <x:v>60.76</x:v>
      </x:c>
      <x:c r="C837" s="898" t="n">
        <x:v>60.76</x:v>
      </x:c>
      <x:c r="D837" s="898" t="n">
        <x:v>57.94</x:v>
      </x:c>
      <x:c r="E837" s="898" t="n">
        <x:v>60</x:v>
      </x:c>
      <x:c r="F837" s="901" t="n">
        <x:v>1722855</x:v>
      </x:c>
      <x:c r="G837" s="904" t="n">
        <x:v>1220.68</x:v>
      </x:c>
      <x:c r="H837" s="904" t="n">
        <x:v>1221.4</x:v>
      </x:c>
      <x:c r="I837" s="904" t="n">
        <x:v>1205.15</x:v>
      </x:c>
      <x:c r="J837" s="904" t="n">
        <x:v>1205.15</x:v>
      </x:c>
      <x:c r="K837" s="901" t="n">
        <x:v>411580431</x:v>
      </x:c>
      <x:c r="L837" s="907" t="str">
        <x:v>SRC-P404</x:v>
      </x:c>
      <x:c r="M837" s="907" t="str">
        <x:v>VNStock API actual</x:v>
      </x:c>
      <x:c r="N837" s="1032" t="n">
        <x:v>46229.241747685184</x:v>
      </x:c>
    </x:row>
    <x:row r="838">
      <x:c r="A838" s="895" t="n">
        <x:v>45616</x:v>
      </x:c>
      <x:c r="B838" s="898" t="n">
        <x:v>59.53</x:v>
      </x:c>
      <x:c r="C838" s="898" t="n">
        <x:v>60.19</x:v>
      </x:c>
      <x:c r="D838" s="898" t="n">
        <x:v>57.94</x:v>
      </x:c>
      <x:c r="E838" s="898" t="n">
        <x:v>59.91</x:v>
      </x:c>
      <x:c r="F838" s="901" t="n">
        <x:v>1199195</x:v>
      </x:c>
      <x:c r="G838" s="904" t="n">
        <x:v>1203.71</x:v>
      </x:c>
      <x:c r="H838" s="904" t="n">
        <x:v>1222.73</x:v>
      </x:c>
      <x:c r="I838" s="904" t="n">
        <x:v>1197.99</x:v>
      </x:c>
      <x:c r="J838" s="904" t="n">
        <x:v>1216.54</x:v>
      </x:c>
      <x:c r="K838" s="901" t="n">
        <x:v>595053508</x:v>
      </x:c>
      <x:c r="L838" s="907" t="str">
        <x:v>SRC-P404</x:v>
      </x:c>
      <x:c r="M838" s="907" t="str">
        <x:v>VNStock API actual</x:v>
      </x:c>
      <x:c r="N838" s="1032" t="n">
        <x:v>46229.241747685184</x:v>
      </x:c>
    </x:row>
    <x:row r="839">
      <x:c r="A839" s="895" t="n">
        <x:v>45617</x:v>
      </x:c>
      <x:c r="B839" s="898" t="n">
        <x:v>59.35</x:v>
      </x:c>
      <x:c r="C839" s="898" t="n">
        <x:v>61.13</x:v>
      </x:c>
      <x:c r="D839" s="898" t="n">
        <x:v>58.88</x:v>
      </x:c>
      <x:c r="E839" s="898" t="n">
        <x:v>61.13</x:v>
      </x:c>
      <x:c r="F839" s="901" t="n">
        <x:v>994755</x:v>
      </x:c>
      <x:c r="G839" s="904" t="n">
        <x:v>1217.3</x:v>
      </x:c>
      <x:c r="H839" s="904" t="n">
        <x:v>1228.55</x:v>
      </x:c>
      <x:c r="I839" s="904" t="n">
        <x:v>1214.06</x:v>
      </x:c>
      <x:c r="J839" s="904" t="n">
        <x:v>1228.33</x:v>
      </x:c>
      <x:c r="K839" s="901" t="n">
        <x:v>385541342</x:v>
      </x:c>
      <x:c r="L839" s="907" t="str">
        <x:v>SRC-P404</x:v>
      </x:c>
      <x:c r="M839" s="907" t="str">
        <x:v>VNStock API actual</x:v>
      </x:c>
      <x:c r="N839" s="1032" t="n">
        <x:v>46229.241747685184</x:v>
      </x:c>
    </x:row>
    <x:row r="840">
      <x:c r="A840" s="895" t="n">
        <x:v>45618</x:v>
      </x:c>
      <x:c r="B840" s="898" t="n">
        <x:v>60.85</x:v>
      </x:c>
      <x:c r="C840" s="898" t="n">
        <x:v>60.85</x:v>
      </x:c>
      <x:c r="D840" s="898" t="n">
        <x:v>60</x:v>
      </x:c>
      <x:c r="E840" s="898" t="n">
        <x:v>60.29</x:v>
      </x:c>
      <x:c r="F840" s="901" t="n">
        <x:v>554618</x:v>
      </x:c>
      <x:c r="G840" s="904" t="n">
        <x:v>1228.95</x:v>
      </x:c>
      <x:c r="H840" s="904" t="n">
        <x:v>1233.42</x:v>
      </x:c>
      <x:c r="I840" s="904" t="n">
        <x:v>1226.33</x:v>
      </x:c>
      <x:c r="J840" s="904" t="n">
        <x:v>1228.1</x:v>
      </x:c>
      <x:c r="K840" s="901" t="n">
        <x:v>416151649</x:v>
      </x:c>
      <x:c r="L840" s="907" t="str">
        <x:v>SRC-P404</x:v>
      </x:c>
      <x:c r="M840" s="907" t="str">
        <x:v>VNStock API actual</x:v>
      </x:c>
      <x:c r="N840" s="1032" t="n">
        <x:v>46229.241747685184</x:v>
      </x:c>
    </x:row>
    <x:row r="841">
      <x:c r="A841" s="895" t="n">
        <x:v>45621</x:v>
      </x:c>
      <x:c r="B841" s="898" t="n">
        <x:v>60.19</x:v>
      </x:c>
      <x:c r="C841" s="898" t="n">
        <x:v>61.04</x:v>
      </x:c>
      <x:c r="D841" s="898" t="n">
        <x:v>59.91</x:v>
      </x:c>
      <x:c r="E841" s="898" t="n">
        <x:v>60.19</x:v>
      </x:c>
      <x:c r="F841" s="901" t="n">
        <x:v>584899</x:v>
      </x:c>
      <x:c r="G841" s="904" t="n">
        <x:v>1229.39</x:v>
      </x:c>
      <x:c r="H841" s="904" t="n">
        <x:v>1236.57</x:v>
      </x:c>
      <x:c r="I841" s="904" t="n">
        <x:v>1229.02</x:v>
      </x:c>
      <x:c r="J841" s="904" t="n">
        <x:v>1234.7</x:v>
      </x:c>
      <x:c r="K841" s="901" t="n">
        <x:v>382227104</x:v>
      </x:c>
      <x:c r="L841" s="907" t="str">
        <x:v>SRC-P404</x:v>
      </x:c>
      <x:c r="M841" s="907" t="str">
        <x:v>VNStock API actual</x:v>
      </x:c>
      <x:c r="N841" s="1032" t="n">
        <x:v>46229.241747685184</x:v>
      </x:c>
    </x:row>
    <x:row r="842">
      <x:c r="A842" s="895" t="n">
        <x:v>45622</x:v>
      </x:c>
      <x:c r="B842" s="898" t="n">
        <x:v>60.29</x:v>
      </x:c>
      <x:c r="C842" s="898" t="n">
        <x:v>61.13</x:v>
      </x:c>
      <x:c r="D842" s="898" t="n">
        <x:v>60.1</x:v>
      </x:c>
      <x:c r="E842" s="898" t="n">
        <x:v>61.04</x:v>
      </x:c>
      <x:c r="F842" s="901" t="n">
        <x:v>849047</x:v>
      </x:c>
      <x:c r="G842" s="904" t="n">
        <x:v>1235.63</x:v>
      </x:c>
      <x:c r="H842" s="904" t="n">
        <x:v>1246.83</x:v>
      </x:c>
      <x:c r="I842" s="904" t="n">
        <x:v>1235.22</x:v>
      </x:c>
      <x:c r="J842" s="904" t="n">
        <x:v>1242.13</x:v>
      </x:c>
      <x:c r="K842" s="901" t="n">
        <x:v>470846416</x:v>
      </x:c>
      <x:c r="L842" s="907" t="str">
        <x:v>SRC-P404</x:v>
      </x:c>
      <x:c r="M842" s="907" t="str">
        <x:v>VNStock API actual</x:v>
      </x:c>
      <x:c r="N842" s="1032" t="n">
        <x:v>46229.241747685184</x:v>
      </x:c>
    </x:row>
    <x:row r="843">
      <x:c r="A843" s="895" t="n">
        <x:v>45623</x:v>
      </x:c>
      <x:c r="B843" s="898" t="n">
        <x:v>61.04</x:v>
      </x:c>
      <x:c r="C843" s="898" t="n">
        <x:v>61.13</x:v>
      </x:c>
      <x:c r="D843" s="898" t="n">
        <x:v>60.47</x:v>
      </x:c>
      <x:c r="E843" s="898" t="n">
        <x:v>60.47</x:v>
      </x:c>
      <x:c r="F843" s="901" t="n">
        <x:v>446190</x:v>
      </x:c>
      <x:c r="G843" s="904" t="n">
        <x:v>1241.36</x:v>
      </x:c>
      <x:c r="H843" s="904" t="n">
        <x:v>1245.34</x:v>
      </x:c>
      <x:c r="I843" s="904" t="n">
        <x:v>1239.23</x:v>
      </x:c>
      <x:c r="J843" s="904" t="n">
        <x:v>1241.97</x:v>
      </x:c>
      <x:c r="K843" s="901" t="n">
        <x:v>330000841</x:v>
      </x:c>
      <x:c r="L843" s="907" t="str">
        <x:v>SRC-P404</x:v>
      </x:c>
      <x:c r="M843" s="907" t="str">
        <x:v>VNStock API actual</x:v>
      </x:c>
      <x:c r="N843" s="1032" t="n">
        <x:v>46229.241747685184</x:v>
      </x:c>
    </x:row>
    <x:row r="844">
      <x:c r="A844" s="895" t="n">
        <x:v>45624</x:v>
      </x:c>
      <x:c r="B844" s="898" t="n">
        <x:v>60.57</x:v>
      </x:c>
      <x:c r="C844" s="898" t="n">
        <x:v>60.94</x:v>
      </x:c>
      <x:c r="D844" s="898" t="n">
        <x:v>60</x:v>
      </x:c>
      <x:c r="E844" s="898" t="n">
        <x:v>60.85</x:v>
      </x:c>
      <x:c r="F844" s="901" t="n">
        <x:v>734184</x:v>
      </x:c>
      <x:c r="G844" s="904" t="n">
        <x:v>1246.37</x:v>
      </x:c>
      <x:c r="H844" s="904" t="n">
        <x:v>1250.46</x:v>
      </x:c>
      <x:c r="I844" s="904" t="n">
        <x:v>1240.91</x:v>
      </x:c>
      <x:c r="J844" s="904" t="n">
        <x:v>1242.11</x:v>
      </x:c>
      <x:c r="K844" s="901" t="n">
        <x:v>374803536</x:v>
      </x:c>
      <x:c r="L844" s="907" t="str">
        <x:v>SRC-P404</x:v>
      </x:c>
      <x:c r="M844" s="907" t="str">
        <x:v>VNStock API actual</x:v>
      </x:c>
      <x:c r="N844" s="1032" t="n">
        <x:v>46229.241747685184</x:v>
      </x:c>
    </x:row>
    <x:row r="845">
      <x:c r="A845" s="895" t="n">
        <x:v>45625</x:v>
      </x:c>
      <x:c r="B845" s="898" t="n">
        <x:v>60.85</x:v>
      </x:c>
      <x:c r="C845" s="898" t="n">
        <x:v>61.42</x:v>
      </x:c>
      <x:c r="D845" s="898" t="n">
        <x:v>60.38</x:v>
      </x:c>
      <x:c r="E845" s="898" t="n">
        <x:v>60.85</x:v>
      </x:c>
      <x:c r="F845" s="901" t="n">
        <x:v>814356</x:v>
      </x:c>
      <x:c r="G845" s="904" t="n">
        <x:v>1242.51</x:v>
      </x:c>
      <x:c r="H845" s="904" t="n">
        <x:v>1250.92</x:v>
      </x:c>
      <x:c r="I845" s="904" t="n">
        <x:v>1241</x:v>
      </x:c>
      <x:c r="J845" s="904" t="n">
        <x:v>1250.46</x:v>
      </x:c>
      <x:c r="K845" s="901" t="n">
        <x:v>396117434</x:v>
      </x:c>
      <x:c r="L845" s="907" t="str">
        <x:v>SRC-P404</x:v>
      </x:c>
      <x:c r="M845" s="907" t="str">
        <x:v>VNStock API actual</x:v>
      </x:c>
      <x:c r="N845" s="1032" t="n">
        <x:v>46229.241747685184</x:v>
      </x:c>
    </x:row>
    <x:row r="846">
      <x:c r="A846" s="895" t="n">
        <x:v>45628</x:v>
      </x:c>
      <x:c r="B846" s="898" t="n">
        <x:v>61.13</x:v>
      </x:c>
      <x:c r="C846" s="898" t="n">
        <x:v>61.13</x:v>
      </x:c>
      <x:c r="D846" s="898" t="n">
        <x:v>60.19</x:v>
      </x:c>
      <x:c r="E846" s="898" t="n">
        <x:v>60.47</x:v>
      </x:c>
      <x:c r="F846" s="901" t="n">
        <x:v>670067</x:v>
      </x:c>
      <x:c r="G846" s="904" t="n">
        <x:v>1255.73</x:v>
      </x:c>
      <x:c r="H846" s="904" t="n">
        <x:v>1258.05</x:v>
      </x:c>
      <x:c r="I846" s="904" t="n">
        <x:v>1247.74</x:v>
      </x:c>
      <x:c r="J846" s="904" t="n">
        <x:v>1251.21</x:v>
      </x:c>
      <x:c r="K846" s="901" t="n">
        <x:v>352806149</x:v>
      </x:c>
      <x:c r="L846" s="907" t="str">
        <x:v>SRC-P404</x:v>
      </x:c>
      <x:c r="M846" s="907" t="str">
        <x:v>VNStock API actual</x:v>
      </x:c>
      <x:c r="N846" s="1032" t="n">
        <x:v>46229.241747685184</x:v>
      </x:c>
    </x:row>
    <x:row r="847">
      <x:c r="A847" s="895" t="n">
        <x:v>45629</x:v>
      </x:c>
      <x:c r="B847" s="898" t="n">
        <x:v>60.19</x:v>
      </x:c>
      <x:c r="C847" s="898" t="n">
        <x:v>61.04</x:v>
      </x:c>
      <x:c r="D847" s="898" t="n">
        <x:v>60.19</x:v>
      </x:c>
      <x:c r="E847" s="898" t="n">
        <x:v>60.19</x:v>
      </x:c>
      <x:c r="F847" s="901" t="n">
        <x:v>968355</x:v>
      </x:c>
      <x:c r="G847" s="904" t="n">
        <x:v>1251.43</x:v>
      </x:c>
      <x:c r="H847" s="904" t="n">
        <x:v>1253.83</x:v>
      </x:c>
      <x:c r="I847" s="904" t="n">
        <x:v>1244.91</x:v>
      </x:c>
      <x:c r="J847" s="904" t="n">
        <x:v>1249.83</x:v>
      </x:c>
      <x:c r="K847" s="901" t="n">
        <x:v>439728204</x:v>
      </x:c>
      <x:c r="L847" s="907" t="str">
        <x:v>SRC-P404</x:v>
      </x:c>
      <x:c r="M847" s="907" t="str">
        <x:v>VNStock API actual</x:v>
      </x:c>
      <x:c r="N847" s="1032" t="n">
        <x:v>46229.241747685184</x:v>
      </x:c>
    </x:row>
    <x:row r="848">
      <x:c r="A848" s="895" t="n">
        <x:v>45630</x:v>
      </x:c>
      <x:c r="B848" s="898" t="n">
        <x:v>60.29</x:v>
      </x:c>
      <x:c r="C848" s="898" t="n">
        <x:v>60.85</x:v>
      </x:c>
      <x:c r="D848" s="898" t="n">
        <x:v>60</x:v>
      </x:c>
      <x:c r="E848" s="898" t="n">
        <x:v>60.85</x:v>
      </x:c>
      <x:c r="F848" s="901" t="n">
        <x:v>641396</x:v>
      </x:c>
      <x:c r="G848" s="904" t="n">
        <x:v>1247.34</x:v>
      </x:c>
      <x:c r="H848" s="904" t="n">
        <x:v>1247.78</x:v>
      </x:c>
      <x:c r="I848" s="904" t="n">
        <x:v>1239.82</x:v>
      </x:c>
      <x:c r="J848" s="904" t="n">
        <x:v>1240.41</x:v>
      </x:c>
      <x:c r="K848" s="901" t="n">
        <x:v>465502194</x:v>
      </x:c>
      <x:c r="L848" s="907" t="str">
        <x:v>SRC-P404</x:v>
      </x:c>
      <x:c r="M848" s="907" t="str">
        <x:v>VNStock API actual</x:v>
      </x:c>
      <x:c r="N848" s="1032" t="n">
        <x:v>46229.241747685184</x:v>
      </x:c>
    </x:row>
    <x:row r="849">
      <x:c r="A849" s="895" t="n">
        <x:v>45631</x:v>
      </x:c>
      <x:c r="B849" s="898" t="n">
        <x:v>60.94</x:v>
      </x:c>
      <x:c r="C849" s="898" t="n">
        <x:v>62.36</x:v>
      </x:c>
      <x:c r="D849" s="898" t="n">
        <x:v>60.66</x:v>
      </x:c>
      <x:c r="E849" s="898" t="n">
        <x:v>62.07</x:v>
      </x:c>
      <x:c r="F849" s="901" t="n">
        <x:v>1470884</x:v>
      </x:c>
      <x:c r="G849" s="904" t="n">
        <x:v>1241.81</x:v>
      </x:c>
      <x:c r="H849" s="904" t="n">
        <x:v>1269.18</x:v>
      </x:c>
      <x:c r="I849" s="904" t="n">
        <x:v>1238.49</x:v>
      </x:c>
      <x:c r="J849" s="904" t="n">
        <x:v>1267.53</x:v>
      </x:c>
      <x:c r="K849" s="901" t="n">
        <x:v>779993372</x:v>
      </x:c>
      <x:c r="L849" s="907" t="str">
        <x:v>SRC-P404</x:v>
      </x:c>
      <x:c r="M849" s="907" t="str">
        <x:v>VNStock API actual</x:v>
      </x:c>
      <x:c r="N849" s="1032" t="n">
        <x:v>46229.241747685184</x:v>
      </x:c>
    </x:row>
    <x:row r="850">
      <x:c r="A850" s="895" t="n">
        <x:v>45632</x:v>
      </x:c>
      <x:c r="B850" s="898" t="n">
        <x:v>62.07</x:v>
      </x:c>
      <x:c r="C850" s="898" t="n">
        <x:v>63.77</x:v>
      </x:c>
      <x:c r="D850" s="898" t="n">
        <x:v>61.51</x:v>
      </x:c>
      <x:c r="E850" s="898" t="n">
        <x:v>63.39</x:v>
      </x:c>
      <x:c r="F850" s="901" t="n">
        <x:v>1934954</x:v>
      </x:c>
      <x:c r="G850" s="904" t="n">
        <x:v>1270.96</x:v>
      </x:c>
      <x:c r="H850" s="904" t="n">
        <x:v>1276.1</x:v>
      </x:c>
      <x:c r="I850" s="904" t="n">
        <x:v>1268.58</x:v>
      </x:c>
      <x:c r="J850" s="904" t="n">
        <x:v>1270.14</x:v>
      </x:c>
      <x:c r="K850" s="901" t="n">
        <x:v>565715866</x:v>
      </x:c>
      <x:c r="L850" s="907" t="str">
        <x:v>SRC-P404</x:v>
      </x:c>
      <x:c r="M850" s="907" t="str">
        <x:v>VNStock API actual</x:v>
      </x:c>
      <x:c r="N850" s="1032" t="n">
        <x:v>46229.241747685184</x:v>
      </x:c>
    </x:row>
    <x:row r="851">
      <x:c r="A851" s="895" t="n">
        <x:v>45635</x:v>
      </x:c>
      <x:c r="B851" s="898" t="n">
        <x:v>63.39</x:v>
      </x:c>
      <x:c r="C851" s="898" t="n">
        <x:v>63.39</x:v>
      </x:c>
      <x:c r="D851" s="898" t="n">
        <x:v>62.73</x:v>
      </x:c>
      <x:c r="E851" s="898" t="n">
        <x:v>63.3</x:v>
      </x:c>
      <x:c r="F851" s="901" t="n">
        <x:v>1047646</x:v>
      </x:c>
      <x:c r="G851" s="904" t="n">
        <x:v>1271.46</x:v>
      </x:c>
      <x:c r="H851" s="904" t="n">
        <x:v>1277.69</x:v>
      </x:c>
      <x:c r="I851" s="904" t="n">
        <x:v>1268.69</x:v>
      </x:c>
      <x:c r="J851" s="904" t="n">
        <x:v>1273.84</x:v>
      </x:c>
      <x:c r="K851" s="901" t="n">
        <x:v>546454671</x:v>
      </x:c>
      <x:c r="L851" s="907" t="str">
        <x:v>SRC-P404</x:v>
      </x:c>
      <x:c r="M851" s="907" t="str">
        <x:v>VNStock API actual</x:v>
      </x:c>
      <x:c r="N851" s="1032" t="n">
        <x:v>46229.241747685184</x:v>
      </x:c>
    </x:row>
    <x:row r="852">
      <x:c r="A852" s="895" t="n">
        <x:v>45636</x:v>
      </x:c>
      <x:c r="B852" s="898" t="n">
        <x:v>63.3</x:v>
      </x:c>
      <x:c r="C852" s="898" t="n">
        <x:v>63.3</x:v>
      </x:c>
      <x:c r="D852" s="898" t="n">
        <x:v>62.26</x:v>
      </x:c>
      <x:c r="E852" s="898" t="n">
        <x:v>62.92</x:v>
      </x:c>
      <x:c r="F852" s="901" t="n">
        <x:v>826697</x:v>
      </x:c>
      <x:c r="G852" s="904" t="n">
        <x:v>1274.29</x:v>
      </x:c>
      <x:c r="H852" s="904" t="n">
        <x:v>1277.32</x:v>
      </x:c>
      <x:c r="I852" s="904" t="n">
        <x:v>1270.32</x:v>
      </x:c>
      <x:c r="J852" s="904" t="n">
        <x:v>1272.07</x:v>
      </x:c>
      <x:c r="K852" s="901" t="n">
        <x:v>462691547</x:v>
      </x:c>
      <x:c r="L852" s="907" t="str">
        <x:v>SRC-P404</x:v>
      </x:c>
      <x:c r="M852" s="907" t="str">
        <x:v>VNStock API actual</x:v>
      </x:c>
      <x:c r="N852" s="1032" t="n">
        <x:v>46229.241747685184</x:v>
      </x:c>
    </x:row>
    <x:row r="853">
      <x:c r="A853" s="895" t="n">
        <x:v>45637</x:v>
      </x:c>
      <x:c r="B853" s="898" t="n">
        <x:v>62.64</x:v>
      </x:c>
      <x:c r="C853" s="898" t="n">
        <x:v>63.01</x:v>
      </x:c>
      <x:c r="D853" s="898" t="n">
        <x:v>61.98</x:v>
      </x:c>
      <x:c r="E853" s="898" t="n">
        <x:v>61.98</x:v>
      </x:c>
      <x:c r="F853" s="901" t="n">
        <x:v>610382</x:v>
      </x:c>
      <x:c r="G853" s="904" t="n">
        <x:v>1273.23</x:v>
      </x:c>
      <x:c r="H853" s="904" t="n">
        <x:v>1276.67</x:v>
      </x:c>
      <x:c r="I853" s="904" t="n">
        <x:v>1264.15</x:v>
      </x:c>
      <x:c r="J853" s="904" t="n">
        <x:v>1268.86</x:v>
      </x:c>
      <x:c r="K853" s="901" t="n">
        <x:v>473457175</x:v>
      </x:c>
      <x:c r="L853" s="907" t="str">
        <x:v>SRC-P404</x:v>
      </x:c>
      <x:c r="M853" s="907" t="str">
        <x:v>VNStock API actual</x:v>
      </x:c>
      <x:c r="N853" s="1032" t="n">
        <x:v>46229.241747685184</x:v>
      </x:c>
    </x:row>
    <x:row r="854">
      <x:c r="A854" s="895" t="n">
        <x:v>45638</x:v>
      </x:c>
      <x:c r="B854" s="898" t="n">
        <x:v>62.17</x:v>
      </x:c>
      <x:c r="C854" s="898" t="n">
        <x:v>62.54</x:v>
      </x:c>
      <x:c r="D854" s="898" t="n">
        <x:v>61.23</x:v>
      </x:c>
      <x:c r="E854" s="898" t="n">
        <x:v>62.45</x:v>
      </x:c>
      <x:c r="F854" s="901" t="n">
        <x:v>1080680</x:v>
      </x:c>
      <x:c r="G854" s="904" t="n">
        <x:v>1270.86</x:v>
      </x:c>
      <x:c r="H854" s="904" t="n">
        <x:v>1275.64</x:v>
      </x:c>
      <x:c r="I854" s="904" t="n">
        <x:v>1265.99</x:v>
      </x:c>
      <x:c r="J854" s="904" t="n">
        <x:v>1267.35</x:v>
      </x:c>
      <x:c r="K854" s="901" t="n">
        <x:v>461485561</x:v>
      </x:c>
      <x:c r="L854" s="907" t="str">
        <x:v>SRC-P404</x:v>
      </x:c>
      <x:c r="M854" s="907" t="str">
        <x:v>VNStock API actual</x:v>
      </x:c>
      <x:c r="N854" s="1032" t="n">
        <x:v>46229.241747685184</x:v>
      </x:c>
    </x:row>
    <x:row r="855">
      <x:c r="A855" s="895" t="n">
        <x:v>45639</x:v>
      </x:c>
      <x:c r="B855" s="898" t="n">
        <x:v>62.54</x:v>
      </x:c>
      <x:c r="C855" s="898" t="n">
        <x:v>62.73</x:v>
      </x:c>
      <x:c r="D855" s="898" t="n">
        <x:v>61.79</x:v>
      </x:c>
      <x:c r="E855" s="898" t="n">
        <x:v>61.98</x:v>
      </x:c>
      <x:c r="F855" s="901" t="n">
        <x:v>665877</x:v>
      </x:c>
      <x:c r="G855" s="904" t="n">
        <x:v>1264.98</x:v>
      </x:c>
      <x:c r="H855" s="904" t="n">
        <x:v>1266.55</x:v>
      </x:c>
      <x:c r="I855" s="904" t="n">
        <x:v>1260.48</x:v>
      </x:c>
      <x:c r="J855" s="904" t="n">
        <x:v>1262.57</x:v>
      </x:c>
      <x:c r="K855" s="901" t="n">
        <x:v>367939049</x:v>
      </x:c>
      <x:c r="L855" s="907" t="str">
        <x:v>SRC-P404</x:v>
      </x:c>
      <x:c r="M855" s="907" t="str">
        <x:v>VNStock API actual</x:v>
      </x:c>
      <x:c r="N855" s="1032" t="n">
        <x:v>46229.241747685184</x:v>
      </x:c>
    </x:row>
    <x:row r="856">
      <x:c r="A856" s="895" t="n">
        <x:v>45642</x:v>
      </x:c>
      <x:c r="B856" s="898" t="n">
        <x:v>61.89</x:v>
      </x:c>
      <x:c r="C856" s="898" t="n">
        <x:v>62.17</x:v>
      </x:c>
      <x:c r="D856" s="898" t="n">
        <x:v>61.42</x:v>
      </x:c>
      <x:c r="E856" s="898" t="n">
        <x:v>61.89</x:v>
      </x:c>
      <x:c r="F856" s="901" t="n">
        <x:v>636692</x:v>
      </x:c>
      <x:c r="G856" s="904" t="n">
        <x:v>1264.03</x:v>
      </x:c>
      <x:c r="H856" s="904" t="n">
        <x:v>1267.1</x:v>
      </x:c>
      <x:c r="I856" s="904" t="n">
        <x:v>1258.65</x:v>
      </x:c>
      <x:c r="J856" s="904" t="n">
        <x:v>1263.79</x:v>
      </x:c>
      <x:c r="K856" s="901" t="n">
        <x:v>360341279</x:v>
      </x:c>
      <x:c r="L856" s="907" t="str">
        <x:v>SRC-P404</x:v>
      </x:c>
      <x:c r="M856" s="907" t="str">
        <x:v>VNStock API actual</x:v>
      </x:c>
      <x:c r="N856" s="1032" t="n">
        <x:v>46229.241747685184</x:v>
      </x:c>
    </x:row>
    <x:row r="857">
      <x:c r="A857" s="895" t="n">
        <x:v>45643</x:v>
      </x:c>
      <x:c r="B857" s="898" t="n">
        <x:v>61.89</x:v>
      </x:c>
      <x:c r="C857" s="898" t="n">
        <x:v>62.07</x:v>
      </x:c>
      <x:c r="D857" s="898" t="n">
        <x:v>60.94</x:v>
      </x:c>
      <x:c r="E857" s="898" t="n">
        <x:v>61.6</x:v>
      </x:c>
      <x:c r="F857" s="901" t="n">
        <x:v>991466</x:v>
      </x:c>
      <x:c r="G857" s="904" t="n">
        <x:v>1264.91</x:v>
      </x:c>
      <x:c r="H857" s="904" t="n">
        <x:v>1265.45</x:v>
      </x:c>
      <x:c r="I857" s="904" t="n">
        <x:v>1260.6</x:v>
      </x:c>
      <x:c r="J857" s="904" t="n">
        <x:v>1261.72</x:v>
      </x:c>
      <x:c r="K857" s="901" t="n">
        <x:v>327584791</x:v>
      </x:c>
      <x:c r="L857" s="907" t="str">
        <x:v>SRC-P404</x:v>
      </x:c>
      <x:c r="M857" s="907" t="str">
        <x:v>VNStock API actual</x:v>
      </x:c>
      <x:c r="N857" s="1032" t="n">
        <x:v>46229.241747685184</x:v>
      </x:c>
    </x:row>
    <x:row r="858">
      <x:c r="A858" s="895" t="n">
        <x:v>45644</x:v>
      </x:c>
      <x:c r="B858" s="898" t="n">
        <x:v>61.13</x:v>
      </x:c>
      <x:c r="C858" s="898" t="n">
        <x:v>61.6</x:v>
      </x:c>
      <x:c r="D858" s="898" t="n">
        <x:v>61.04</x:v>
      </x:c>
      <x:c r="E858" s="898" t="n">
        <x:v>61.51</x:v>
      </x:c>
      <x:c r="F858" s="901" t="n">
        <x:v>445694</x:v>
      </x:c>
      <x:c r="G858" s="904" t="n">
        <x:v>1262.57</x:v>
      </x:c>
      <x:c r="H858" s="904" t="n">
        <x:v>1266.53</x:v>
      </x:c>
      <x:c r="I858" s="904" t="n">
        <x:v>1261.49</x:v>
      </x:c>
      <x:c r="J858" s="904" t="n">
        <x:v>1266</x:v>
      </x:c>
      <x:c r="K858" s="901" t="n">
        <x:v>362329721</x:v>
      </x:c>
      <x:c r="L858" s="907" t="str">
        <x:v>SRC-P404</x:v>
      </x:c>
      <x:c r="M858" s="907" t="str">
        <x:v>VNStock API actual</x:v>
      </x:c>
      <x:c r="N858" s="1032" t="n">
        <x:v>46229.241747685184</x:v>
      </x:c>
    </x:row>
    <x:row r="859">
      <x:c r="A859" s="895" t="n">
        <x:v>45645</x:v>
      </x:c>
      <x:c r="B859" s="898" t="n">
        <x:v>61.04</x:v>
      </x:c>
      <x:c r="C859" s="898" t="n">
        <x:v>61.89</x:v>
      </x:c>
      <x:c r="D859" s="898" t="n">
        <x:v>60.94</x:v>
      </x:c>
      <x:c r="E859" s="898" t="n">
        <x:v>61.23</x:v>
      </x:c>
      <x:c r="F859" s="901" t="n">
        <x:v>661790</x:v>
      </x:c>
      <x:c r="G859" s="904" t="n">
        <x:v>1256.9</x:v>
      </x:c>
      <x:c r="H859" s="904" t="n">
        <x:v>1259.76</x:v>
      </x:c>
      <x:c r="I859" s="904" t="n">
        <x:v>1249.39</x:v>
      </x:c>
      <x:c r="J859" s="904" t="n">
        <x:v>1254.67</x:v>
      </x:c>
      <x:c r="K859" s="901" t="n">
        <x:v>628846329</x:v>
      </x:c>
      <x:c r="L859" s="907" t="str">
        <x:v>SRC-P404</x:v>
      </x:c>
      <x:c r="M859" s="907" t="str">
        <x:v>VNStock API actual</x:v>
      </x:c>
      <x:c r="N859" s="1032" t="n">
        <x:v>46229.241747685184</x:v>
      </x:c>
    </x:row>
    <x:row r="860">
      <x:c r="A860" s="895" t="n">
        <x:v>45646</x:v>
      </x:c>
      <x:c r="B860" s="898" t="n">
        <x:v>61.23</x:v>
      </x:c>
      <x:c r="C860" s="898" t="n">
        <x:v>62.17</x:v>
      </x:c>
      <x:c r="D860" s="898" t="n">
        <x:v>60.85</x:v>
      </x:c>
      <x:c r="E860" s="898" t="n">
        <x:v>61.13</x:v>
      </x:c>
      <x:c r="F860" s="901" t="n">
        <x:v>774283</x:v>
      </x:c>
      <x:c r="G860" s="904" t="n">
        <x:v>1255.6</x:v>
      </x:c>
      <x:c r="H860" s="904" t="n">
        <x:v>1259</x:v>
      </x:c>
      <x:c r="I860" s="904" t="n">
        <x:v>1253.9</x:v>
      </x:c>
      <x:c r="J860" s="904" t="n">
        <x:v>1257.5</x:v>
      </x:c>
      <x:c r="K860" s="901" t="n">
        <x:v>428104838</x:v>
      </x:c>
      <x:c r="L860" s="907" t="str">
        <x:v>SRC-P404</x:v>
      </x:c>
      <x:c r="M860" s="907" t="str">
        <x:v>VNStock API actual</x:v>
      </x:c>
      <x:c r="N860" s="1032" t="n">
        <x:v>46229.241747685184</x:v>
      </x:c>
    </x:row>
    <x:row r="861">
      <x:c r="A861" s="895" t="n">
        <x:v>45649</x:v>
      </x:c>
      <x:c r="B861" s="898" t="n">
        <x:v>61.23</x:v>
      </x:c>
      <x:c r="C861" s="898" t="n">
        <x:v>61.7</x:v>
      </x:c>
      <x:c r="D861" s="898" t="n">
        <x:v>61.04</x:v>
      </x:c>
      <x:c r="E861" s="898" t="n">
        <x:v>61.13</x:v>
      </x:c>
      <x:c r="F861" s="901" t="n">
        <x:v>318703</x:v>
      </x:c>
      <x:c r="G861" s="904" t="n">
        <x:v>1262.45</x:v>
      </x:c>
      <x:c r="H861" s="904" t="n">
        <x:v>1265.2</x:v>
      </x:c>
      <x:c r="I861" s="904" t="n">
        <x:v>1261.62</x:v>
      </x:c>
      <x:c r="J861" s="904" t="n">
        <x:v>1262.76</x:v>
      </x:c>
      <x:c r="K861" s="901" t="n">
        <x:v>363896212</x:v>
      </x:c>
      <x:c r="L861" s="907" t="str">
        <x:v>SRC-P404</x:v>
      </x:c>
      <x:c r="M861" s="907" t="str">
        <x:v>VNStock API actual</x:v>
      </x:c>
      <x:c r="N861" s="1032" t="n">
        <x:v>46229.241747685184</x:v>
      </x:c>
    </x:row>
    <x:row r="862">
      <x:c r="A862" s="895" t="n">
        <x:v>45650</x:v>
      </x:c>
      <x:c r="B862" s="898" t="n">
        <x:v>61.42</x:v>
      </x:c>
      <x:c r="C862" s="898" t="n">
        <x:v>62.36</x:v>
      </x:c>
      <x:c r="D862" s="898" t="n">
        <x:v>61.13</x:v>
      </x:c>
      <x:c r="E862" s="898" t="n">
        <x:v>61.79</x:v>
      </x:c>
      <x:c r="F862" s="901" t="n">
        <x:v>937704</x:v>
      </x:c>
      <x:c r="G862" s="904" t="n">
        <x:v>1263.03</x:v>
      </x:c>
      <x:c r="H862" s="904" t="n">
        <x:v>1263.05</x:v>
      </x:c>
      <x:c r="I862" s="904" t="n">
        <x:v>1253.78</x:v>
      </x:c>
      <x:c r="J862" s="904" t="n">
        <x:v>1260.36</x:v>
      </x:c>
      <x:c r="K862" s="901" t="n">
        <x:v>502564849</x:v>
      </x:c>
      <x:c r="L862" s="907" t="str">
        <x:v>SRC-P404</x:v>
      </x:c>
      <x:c r="M862" s="907" t="str">
        <x:v>VNStock API actual</x:v>
      </x:c>
      <x:c r="N862" s="1032" t="n">
        <x:v>46229.241747685184</x:v>
      </x:c>
    </x:row>
    <x:row r="863">
      <x:c r="A863" s="895" t="n">
        <x:v>45651</x:v>
      </x:c>
      <x:c r="B863" s="898" t="n">
        <x:v>61.79</x:v>
      </x:c>
      <x:c r="C863" s="898" t="n">
        <x:v>62.92</x:v>
      </x:c>
      <x:c r="D863" s="898" t="n">
        <x:v>61.79</x:v>
      </x:c>
      <x:c r="E863" s="898" t="n">
        <x:v>62.83</x:v>
      </x:c>
      <x:c r="F863" s="901" t="n">
        <x:v>984956</x:v>
      </x:c>
      <x:c r="G863" s="904" t="n">
        <x:v>1262.03</x:v>
      </x:c>
      <x:c r="H863" s="904" t="n">
        <x:v>1283.09</x:v>
      </x:c>
      <x:c r="I863" s="904" t="n">
        <x:v>1261.87</x:v>
      </x:c>
      <x:c r="J863" s="904" t="n">
        <x:v>1274.04</x:v>
      </x:c>
      <x:c r="K863" s="901" t="n">
        <x:v>666962682</x:v>
      </x:c>
      <x:c r="L863" s="907" t="str">
        <x:v>SRC-P404</x:v>
      </x:c>
      <x:c r="M863" s="907" t="str">
        <x:v>VNStock API actual</x:v>
      </x:c>
      <x:c r="N863" s="1032" t="n">
        <x:v>46229.241747685184</x:v>
      </x:c>
    </x:row>
    <x:row r="864">
      <x:c r="A864" s="895" t="n">
        <x:v>45652</x:v>
      </x:c>
      <x:c r="B864" s="898" t="n">
        <x:v>63.01</x:v>
      </x:c>
      <x:c r="C864" s="898" t="n">
        <x:v>63.01</x:v>
      </x:c>
      <x:c r="D864" s="898" t="n">
        <x:v>62.07</x:v>
      </x:c>
      <x:c r="E864" s="898" t="n">
        <x:v>62.83</x:v>
      </x:c>
      <x:c r="F864" s="901" t="n">
        <x:v>587910</x:v>
      </x:c>
      <x:c r="G864" s="904" t="n">
        <x:v>1275.68</x:v>
      </x:c>
      <x:c r="H864" s="904" t="n">
        <x:v>1277.17</x:v>
      </x:c>
      <x:c r="I864" s="904" t="n">
        <x:v>1271.99</x:v>
      </x:c>
      <x:c r="J864" s="904" t="n">
        <x:v>1272.87</x:v>
      </x:c>
      <x:c r="K864" s="901" t="n">
        <x:v>453389936</x:v>
      </x:c>
      <x:c r="L864" s="907" t="str">
        <x:v>SRC-P404</x:v>
      </x:c>
      <x:c r="M864" s="907" t="str">
        <x:v>VNStock API actual</x:v>
      </x:c>
      <x:c r="N864" s="1032" t="n">
        <x:v>46229.241747685184</x:v>
      </x:c>
    </x:row>
    <x:row r="865">
      <x:c r="A865" s="895" t="n">
        <x:v>45653</x:v>
      </x:c>
      <x:c r="B865" s="898" t="n">
        <x:v>62.83</x:v>
      </x:c>
      <x:c r="C865" s="898" t="n">
        <x:v>62.83</x:v>
      </x:c>
      <x:c r="D865" s="898" t="n">
        <x:v>62.26</x:v>
      </x:c>
      <x:c r="E865" s="898" t="n">
        <x:v>62.54</x:v>
      </x:c>
      <x:c r="F865" s="901" t="n">
        <x:v>726594</x:v>
      </x:c>
      <x:c r="G865" s="904" t="n">
        <x:v>1275.56</x:v>
      </x:c>
      <x:c r="H865" s="904" t="n">
        <x:v>1277.89</x:v>
      </x:c>
      <x:c r="I865" s="904" t="n">
        <x:v>1272.23</x:v>
      </x:c>
      <x:c r="J865" s="904" t="n">
        <x:v>1275.14</x:v>
      </x:c>
      <x:c r="K865" s="901" t="n">
        <x:v>552111544</x:v>
      </x:c>
      <x:c r="L865" s="907" t="str">
        <x:v>SRC-P404</x:v>
      </x:c>
      <x:c r="M865" s="907" t="str">
        <x:v>VNStock API actual</x:v>
      </x:c>
      <x:c r="N865" s="1032" t="n">
        <x:v>46229.241747685184</x:v>
      </x:c>
    </x:row>
    <x:row r="866">
      <x:c r="A866" s="895" t="n">
        <x:v>45656</x:v>
      </x:c>
      <x:c r="B866" s="898" t="n">
        <x:v>62.45</x:v>
      </x:c>
      <x:c r="C866" s="898" t="n">
        <x:v>62.45</x:v>
      </x:c>
      <x:c r="D866" s="898" t="n">
        <x:v>61.79</x:v>
      </x:c>
      <x:c r="E866" s="898" t="n">
        <x:v>62.07</x:v>
      </x:c>
      <x:c r="F866" s="901" t="n">
        <x:v>563506</x:v>
      </x:c>
      <x:c r="G866" s="904" t="n">
        <x:v>1273.75</x:v>
      </x:c>
      <x:c r="H866" s="904" t="n">
        <x:v>1274.15</x:v>
      </x:c>
      <x:c r="I866" s="904" t="n">
        <x:v>1268.77</x:v>
      </x:c>
      <x:c r="J866" s="904" t="n">
        <x:v>1272.02</x:v>
      </x:c>
      <x:c r="K866" s="901" t="n">
        <x:v>417365889</x:v>
      </x:c>
      <x:c r="L866" s="907" t="str">
        <x:v>SRC-P404</x:v>
      </x:c>
      <x:c r="M866" s="907" t="str">
        <x:v>VNStock API actual</x:v>
      </x:c>
      <x:c r="N866" s="1032" t="n">
        <x:v>46229.241747685184</x:v>
      </x:c>
    </x:row>
    <x:row r="867">
      <x:c r="A867" s="895" t="n">
        <x:v>45657</x:v>
      </x:c>
      <x:c r="B867" s="898" t="n">
        <x:v>62.07</x:v>
      </x:c>
      <x:c r="C867" s="898" t="n">
        <x:v>62.07</x:v>
      </x:c>
      <x:c r="D867" s="898" t="n">
        <x:v>61.32</x:v>
      </x:c>
      <x:c r="E867" s="898" t="n">
        <x:v>61.32</x:v>
      </x:c>
      <x:c r="F867" s="901" t="n">
        <x:v>384678</x:v>
      </x:c>
      <x:c r="G867" s="904" t="n">
        <x:v>1272.25</x:v>
      </x:c>
      <x:c r="H867" s="904" t="n">
        <x:v>1272.46</x:v>
      </x:c>
      <x:c r="I867" s="904" t="n">
        <x:v>1266.78</x:v>
      </x:c>
      <x:c r="J867" s="904" t="n">
        <x:v>1266.78</x:v>
      </x:c>
      <x:c r="K867" s="901" t="n">
        <x:v>367846747</x:v>
      </x:c>
      <x:c r="L867" s="907" t="str">
        <x:v>SRC-P404</x:v>
      </x:c>
      <x:c r="M867" s="907" t="str">
        <x:v>VNStock API actual</x:v>
      </x:c>
      <x:c r="N867" s="1032" t="n">
        <x:v>46229.241747685184</x:v>
      </x:c>
    </x:row>
    <x:row r="868">
      <x:c r="A868" s="895" t="n">
        <x:v>45659</x:v>
      </x:c>
      <x:c r="B868" s="898" t="n">
        <x:v>61.23</x:v>
      </x:c>
      <x:c r="C868" s="898" t="n">
        <x:v>62.26</x:v>
      </x:c>
      <x:c r="D868" s="898" t="n">
        <x:v>60.76</x:v>
      </x:c>
      <x:c r="E868" s="898" t="n">
        <x:v>62.26</x:v>
      </x:c>
      <x:c r="F868" s="901" t="n">
        <x:v>776123</x:v>
      </x:c>
      <x:c r="G868" s="904" t="n">
        <x:v>1268.96</x:v>
      </x:c>
      <x:c r="H868" s="904" t="n">
        <x:v>1271.13</x:v>
      </x:c>
      <x:c r="I868" s="904" t="n">
        <x:v>1263.25</x:v>
      </x:c>
      <x:c r="J868" s="904" t="n">
        <x:v>1269.71</x:v>
      </x:c>
      <x:c r="K868" s="901" t="n">
        <x:v>328258670</x:v>
      </x:c>
      <x:c r="L868" s="907" t="str">
        <x:v>SRC-P404</x:v>
      </x:c>
      <x:c r="M868" s="907" t="str">
        <x:v>VNStock API actual</x:v>
      </x:c>
      <x:c r="N868" s="1032" t="n">
        <x:v>46229.241747685184</x:v>
      </x:c>
    </x:row>
    <x:row r="869">
      <x:c r="A869" s="895" t="n">
        <x:v>45660</x:v>
      </x:c>
      <x:c r="B869" s="898" t="n">
        <x:v>62.26</x:v>
      </x:c>
      <x:c r="C869" s="898" t="n">
        <x:v>62.36</x:v>
      </x:c>
      <x:c r="D869" s="898" t="n">
        <x:v>61.51</x:v>
      </x:c>
      <x:c r="E869" s="898" t="n">
        <x:v>61.89</x:v>
      </x:c>
      <x:c r="F869" s="901" t="n">
        <x:v>713027</x:v>
      </x:c>
      <x:c r="G869" s="904" t="n">
        <x:v>1268.74</x:v>
      </x:c>
      <x:c r="H869" s="904" t="n">
        <x:v>1269.01</x:v>
      </x:c>
      <x:c r="I869" s="904" t="n">
        <x:v>1254.59</x:v>
      </x:c>
      <x:c r="J869" s="904" t="n">
        <x:v>1254.59</x:v>
      </x:c>
      <x:c r="K869" s="901" t="n">
        <x:v>463010830</x:v>
      </x:c>
      <x:c r="L869" s="907" t="str">
        <x:v>SRC-P404</x:v>
      </x:c>
      <x:c r="M869" s="907" t="str">
        <x:v>VNStock API actual</x:v>
      </x:c>
      <x:c r="N869" s="1032" t="n">
        <x:v>46229.241747685184</x:v>
      </x:c>
    </x:row>
    <x:row r="870">
      <x:c r="A870" s="895" t="n">
        <x:v>45663</x:v>
      </x:c>
      <x:c r="B870" s="898" t="n">
        <x:v>61.6</x:v>
      </x:c>
      <x:c r="C870" s="898" t="n">
        <x:v>61.89</x:v>
      </x:c>
      <x:c r="D870" s="898" t="n">
        <x:v>60</x:v>
      </x:c>
      <x:c r="E870" s="898" t="n">
        <x:v>60.29</x:v>
      </x:c>
      <x:c r="F870" s="901" t="n">
        <x:v>878781</x:v>
      </x:c>
      <x:c r="G870" s="904" t="n">
        <x:v>1254.79</x:v>
      </x:c>
      <x:c r="H870" s="904" t="n">
        <x:v>1260.37</x:v>
      </x:c>
      <x:c r="I870" s="904" t="n">
        <x:v>1244.87</x:v>
      </x:c>
      <x:c r="J870" s="904" t="n">
        <x:v>1246.35</x:v>
      </x:c>
      <x:c r="K870" s="901" t="n">
        <x:v>469222998</x:v>
      </x:c>
      <x:c r="L870" s="907" t="str">
        <x:v>SRC-P404</x:v>
      </x:c>
      <x:c r="M870" s="907" t="str">
        <x:v>VNStock API actual</x:v>
      </x:c>
      <x:c r="N870" s="1032" t="n">
        <x:v>46229.241747685184</x:v>
      </x:c>
    </x:row>
    <x:row r="871">
      <x:c r="A871" s="895" t="n">
        <x:v>45664</x:v>
      </x:c>
      <x:c r="B871" s="898" t="n">
        <x:v>60.19</x:v>
      </x:c>
      <x:c r="C871" s="898" t="n">
        <x:v>60.19</x:v>
      </x:c>
      <x:c r="D871" s="898" t="n">
        <x:v>58.97</x:v>
      </x:c>
      <x:c r="E871" s="898" t="n">
        <x:v>58.97</x:v>
      </x:c>
      <x:c r="F871" s="901" t="n">
        <x:v>847419</x:v>
      </x:c>
      <x:c r="G871" s="904" t="n">
        <x:v>1249.19</x:v>
      </x:c>
      <x:c r="H871" s="904" t="n">
        <x:v>1254.09</x:v>
      </x:c>
      <x:c r="I871" s="904" t="n">
        <x:v>1243.06</x:v>
      </x:c>
      <x:c r="J871" s="904" t="n">
        <x:v>1246.95</x:v>
      </x:c>
      <x:c r="K871" s="901" t="n">
        <x:v>461894014</x:v>
      </x:c>
      <x:c r="L871" s="907" t="str">
        <x:v>SRC-P404</x:v>
      </x:c>
      <x:c r="M871" s="907" t="str">
        <x:v>VNStock API actual</x:v>
      </x:c>
      <x:c r="N871" s="1032" t="n">
        <x:v>46229.241747685184</x:v>
      </x:c>
    </x:row>
    <x:row r="872">
      <x:c r="A872" s="895" t="n">
        <x:v>45665</x:v>
      </x:c>
      <x:c r="B872" s="898" t="n">
        <x:v>58.97</x:v>
      </x:c>
      <x:c r="C872" s="898" t="n">
        <x:v>59.72</x:v>
      </x:c>
      <x:c r="D872" s="898" t="n">
        <x:v>58.31</x:v>
      </x:c>
      <x:c r="E872" s="898" t="n">
        <x:v>59.72</x:v>
      </x:c>
      <x:c r="F872" s="901" t="n">
        <x:v>584535</x:v>
      </x:c>
      <x:c r="G872" s="904" t="n">
        <x:v>1246.16</x:v>
      </x:c>
      <x:c r="H872" s="904" t="n">
        <x:v>1251.02</x:v>
      </x:c>
      <x:c r="I872" s="904" t="n">
        <x:v>1239.67</x:v>
      </x:c>
      <x:c r="J872" s="904" t="n">
        <x:v>1251.02</x:v>
      </x:c>
      <x:c r="K872" s="901" t="n">
        <x:v>335193426</x:v>
      </x:c>
      <x:c r="L872" s="907" t="str">
        <x:v>SRC-P404</x:v>
      </x:c>
      <x:c r="M872" s="907" t="str">
        <x:v>VNStock API actual</x:v>
      </x:c>
      <x:c r="N872" s="1032" t="n">
        <x:v>46229.241747685184</x:v>
      </x:c>
    </x:row>
    <x:row r="873">
      <x:c r="A873" s="895" t="n">
        <x:v>45666</x:v>
      </x:c>
      <x:c r="B873" s="898" t="n">
        <x:v>59.63</x:v>
      </x:c>
      <x:c r="C873" s="898" t="n">
        <x:v>59.72</x:v>
      </x:c>
      <x:c r="D873" s="898" t="n">
        <x:v>58.69</x:v>
      </x:c>
      <x:c r="E873" s="898" t="n">
        <x:v>59.72</x:v>
      </x:c>
      <x:c r="F873" s="901" t="n">
        <x:v>362229</x:v>
      </x:c>
      <x:c r="G873" s="904" t="n">
        <x:v>1250.56</x:v>
      </x:c>
      <x:c r="H873" s="904" t="n">
        <x:v>1253.26</x:v>
      </x:c>
      <x:c r="I873" s="904" t="n">
        <x:v>1242.9</x:v>
      </x:c>
      <x:c r="J873" s="904" t="n">
        <x:v>1245.77</x:v>
      </x:c>
      <x:c r="K873" s="901" t="n">
        <x:v>267483879</x:v>
      </x:c>
      <x:c r="L873" s="907" t="str">
        <x:v>SRC-P404</x:v>
      </x:c>
      <x:c r="M873" s="907" t="str">
        <x:v>VNStock API actual</x:v>
      </x:c>
      <x:c r="N873" s="1032" t="n">
        <x:v>46229.241747685184</x:v>
      </x:c>
    </x:row>
    <x:row r="874">
      <x:c r="A874" s="895" t="n">
        <x:v>45667</x:v>
      </x:c>
      <x:c r="B874" s="898" t="n">
        <x:v>59.06</x:v>
      </x:c>
      <x:c r="C874" s="898" t="n">
        <x:v>59.25</x:v>
      </x:c>
      <x:c r="D874" s="898" t="n">
        <x:v>58.03</x:v>
      </x:c>
      <x:c r="E874" s="898" t="n">
        <x:v>58.31</x:v>
      </x:c>
      <x:c r="F874" s="901" t="n">
        <x:v>692097</x:v>
      </x:c>
      <x:c r="G874" s="904" t="n">
        <x:v>1245.68</x:v>
      </x:c>
      <x:c r="H874" s="904" t="n">
        <x:v>1247.8</x:v>
      </x:c>
      <x:c r="I874" s="904" t="n">
        <x:v>1230.48</x:v>
      </x:c>
      <x:c r="J874" s="904" t="n">
        <x:v>1230.48</x:v>
      </x:c>
      <x:c r="K874" s="901" t="n">
        <x:v>443618084</x:v>
      </x:c>
      <x:c r="L874" s="907" t="str">
        <x:v>SRC-P404</x:v>
      </x:c>
      <x:c r="M874" s="907" t="str">
        <x:v>VNStock API actual</x:v>
      </x:c>
      <x:c r="N874" s="1032" t="n">
        <x:v>46229.241747685184</x:v>
      </x:c>
    </x:row>
    <x:row r="875">
      <x:c r="A875" s="895" t="n">
        <x:v>45670</x:v>
      </x:c>
      <x:c r="B875" s="898" t="n">
        <x:v>57.94</x:v>
      </x:c>
      <x:c r="C875" s="898" t="n">
        <x:v>58.22</x:v>
      </x:c>
      <x:c r="D875" s="898" t="n">
        <x:v>57.37</x:v>
      </x:c>
      <x:c r="E875" s="898" t="n">
        <x:v>58.12</x:v>
      </x:c>
      <x:c r="F875" s="901" t="n">
        <x:v>601693</x:v>
      </x:c>
      <x:c r="G875" s="904" t="n">
        <x:v>1226.66</x:v>
      </x:c>
      <x:c r="H875" s="904" t="n">
        <x:v>1235.65</x:v>
      </x:c>
      <x:c r="I875" s="904" t="n">
        <x:v>1220.87</x:v>
      </x:c>
      <x:c r="J875" s="904" t="n">
        <x:v>1235.65</x:v>
      </x:c>
      <x:c r="K875" s="901" t="n">
        <x:v>398593541</x:v>
      </x:c>
      <x:c r="L875" s="907" t="str">
        <x:v>SRC-P404</x:v>
      </x:c>
      <x:c r="M875" s="907" t="str">
        <x:v>VNStock API actual</x:v>
      </x:c>
      <x:c r="N875" s="1032" t="n">
        <x:v>46229.241747685184</x:v>
      </x:c>
    </x:row>
    <x:row r="876">
      <x:c r="A876" s="895" t="n">
        <x:v>45671</x:v>
      </x:c>
      <x:c r="B876" s="898" t="n">
        <x:v>58.12</x:v>
      </x:c>
      <x:c r="C876" s="898" t="n">
        <x:v>58.12</x:v>
      </x:c>
      <x:c r="D876" s="898" t="n">
        <x:v>56.43</x:v>
      </x:c>
      <x:c r="E876" s="898" t="n">
        <x:v>56.43</x:v>
      </x:c>
      <x:c r="F876" s="901" t="n">
        <x:v>1004821</x:v>
      </x:c>
      <x:c r="G876" s="904" t="n">
        <x:v>1234.77</x:v>
      </x:c>
      <x:c r="H876" s="904" t="n">
        <x:v>1235.54</x:v>
      </x:c>
      <x:c r="I876" s="904" t="n">
        <x:v>1226.7</x:v>
      </x:c>
      <x:c r="J876" s="904" t="n">
        <x:v>1229.07</x:v>
      </x:c>
      <x:c r="K876" s="901" t="n">
        <x:v>297547932</x:v>
      </x:c>
      <x:c r="L876" s="907" t="str">
        <x:v>SRC-P404</x:v>
      </x:c>
      <x:c r="M876" s="907" t="str">
        <x:v>VNStock API actual</x:v>
      </x:c>
      <x:c r="N876" s="1032" t="n">
        <x:v>46229.241747685184</x:v>
      </x:c>
    </x:row>
    <x:row r="877">
      <x:c r="A877" s="895" t="n">
        <x:v>45672</x:v>
      </x:c>
      <x:c r="B877" s="898" t="n">
        <x:v>56.52</x:v>
      </x:c>
      <x:c r="C877" s="898" t="n">
        <x:v>57.37</x:v>
      </x:c>
      <x:c r="D877" s="898" t="n">
        <x:v>56.34</x:v>
      </x:c>
      <x:c r="E877" s="898" t="n">
        <x:v>56.62</x:v>
      </x:c>
      <x:c r="F877" s="901" t="n">
        <x:v>856907</x:v>
      </x:c>
      <x:c r="G877" s="904" t="n">
        <x:v>1233.29</x:v>
      </x:c>
      <x:c r="H877" s="904" t="n">
        <x:v>1237.46</x:v>
      </x:c>
      <x:c r="I877" s="904" t="n">
        <x:v>1231.13</x:v>
      </x:c>
      <x:c r="J877" s="904" t="n">
        <x:v>1236.18</x:v>
      </x:c>
      <x:c r="K877" s="901" t="n">
        <x:v>359903149</x:v>
      </x:c>
      <x:c r="L877" s="907" t="str">
        <x:v>SRC-P404</x:v>
      </x:c>
      <x:c r="M877" s="907" t="str">
        <x:v>VNStock API actual</x:v>
      </x:c>
      <x:c r="N877" s="1032" t="n">
        <x:v>46229.241747685184</x:v>
      </x:c>
    </x:row>
    <x:row r="878">
      <x:c r="A878" s="895" t="n">
        <x:v>45673</x:v>
      </x:c>
      <x:c r="B878" s="898" t="n">
        <x:v>56.71</x:v>
      </x:c>
      <x:c r="C878" s="898" t="n">
        <x:v>58.31</x:v>
      </x:c>
      <x:c r="D878" s="898" t="n">
        <x:v>56.52</x:v>
      </x:c>
      <x:c r="E878" s="898" t="n">
        <x:v>57.56</x:v>
      </x:c>
      <x:c r="F878" s="901" t="n">
        <x:v>901295</x:v>
      </x:c>
      <x:c r="G878" s="904" t="n">
        <x:v>1241.74</x:v>
      </x:c>
      <x:c r="H878" s="904" t="n">
        <x:v>1245.4</x:v>
      </x:c>
      <x:c r="I878" s="904" t="n">
        <x:v>1235.56</x:v>
      </x:c>
      <x:c r="J878" s="904" t="n">
        <x:v>1242.36</x:v>
      </x:c>
      <x:c r="K878" s="901" t="n">
        <x:v>372990685</x:v>
      </x:c>
      <x:c r="L878" s="907" t="str">
        <x:v>SRC-P404</x:v>
      </x:c>
      <x:c r="M878" s="907" t="str">
        <x:v>VNStock API actual</x:v>
      </x:c>
      <x:c r="N878" s="1032" t="n">
        <x:v>46229.241747685184</x:v>
      </x:c>
    </x:row>
    <x:row r="879">
      <x:c r="A879" s="895" t="n">
        <x:v>45674</x:v>
      </x:c>
      <x:c r="B879" s="898" t="n">
        <x:v>57.56</x:v>
      </x:c>
      <x:c r="C879" s="898" t="n">
        <x:v>58.31</x:v>
      </x:c>
      <x:c r="D879" s="898" t="n">
        <x:v>57.37</x:v>
      </x:c>
      <x:c r="E879" s="898" t="n">
        <x:v>58.31</x:v>
      </x:c>
      <x:c r="F879" s="901" t="n">
        <x:v>851213</x:v>
      </x:c>
      <x:c r="G879" s="904" t="n">
        <x:v>1242.38</x:v>
      </x:c>
      <x:c r="H879" s="904" t="n">
        <x:v>1249.11</x:v>
      </x:c>
      <x:c r="I879" s="904" t="n">
        <x:v>1239.63</x:v>
      </x:c>
      <x:c r="J879" s="904" t="n">
        <x:v>1249.11</x:v>
      </x:c>
      <x:c r="K879" s="901" t="n">
        <x:v>331281862</x:v>
      </x:c>
      <x:c r="L879" s="907" t="str">
        <x:v>SRC-P404</x:v>
      </x:c>
      <x:c r="M879" s="907" t="str">
        <x:v>VNStock API actual</x:v>
      </x:c>
      <x:c r="N879" s="1032" t="n">
        <x:v>46229.241747685184</x:v>
      </x:c>
    </x:row>
    <x:row r="880">
      <x:c r="A880" s="895" t="n">
        <x:v>45677</x:v>
      </x:c>
      <x:c r="B880" s="898" t="n">
        <x:v>58.31</x:v>
      </x:c>
      <x:c r="C880" s="898" t="n">
        <x:v>58.78</x:v>
      </x:c>
      <x:c r="D880" s="898" t="n">
        <x:v>58.22</x:v>
      </x:c>
      <x:c r="E880" s="898" t="n">
        <x:v>58.5</x:v>
      </x:c>
      <x:c r="F880" s="901" t="n">
        <x:v>549344</x:v>
      </x:c>
      <x:c r="G880" s="904" t="n">
        <x:v>1250.03</x:v>
      </x:c>
      <x:c r="H880" s="904" t="n">
        <x:v>1253.02</x:v>
      </x:c>
      <x:c r="I880" s="904" t="n">
        <x:v>1247.5</x:v>
      </x:c>
      <x:c r="J880" s="904" t="n">
        <x:v>1249.55</x:v>
      </x:c>
      <x:c r="K880" s="901" t="n">
        <x:v>331206750</x:v>
      </x:c>
      <x:c r="L880" s="907" t="str">
        <x:v>SRC-P404</x:v>
      </x:c>
      <x:c r="M880" s="907" t="str">
        <x:v>VNStock API actual</x:v>
      </x:c>
      <x:c r="N880" s="1032" t="n">
        <x:v>46229.241747685184</x:v>
      </x:c>
    </x:row>
    <x:row r="881">
      <x:c r="A881" s="895" t="n">
        <x:v>45678</x:v>
      </x:c>
      <x:c r="B881" s="898" t="n">
        <x:v>58.31</x:v>
      </x:c>
      <x:c r="C881" s="898" t="n">
        <x:v>58.5</x:v>
      </x:c>
      <x:c r="D881" s="898" t="n">
        <x:v>57.47</x:v>
      </x:c>
      <x:c r="E881" s="898" t="n">
        <x:v>58.31</x:v>
      </x:c>
      <x:c r="F881" s="901" t="n">
        <x:v>748576</x:v>
      </x:c>
      <x:c r="G881" s="904" t="n">
        <x:v>1252.75</x:v>
      </x:c>
      <x:c r="H881" s="904" t="n">
        <x:v>1254.17</x:v>
      </x:c>
      <x:c r="I881" s="904" t="n">
        <x:v>1243.08</x:v>
      </x:c>
      <x:c r="J881" s="904" t="n">
        <x:v>1246.09</x:v>
      </x:c>
      <x:c r="K881" s="901" t="n">
        <x:v>353722909</x:v>
      </x:c>
      <x:c r="L881" s="907" t="str">
        <x:v>SRC-P404</x:v>
      </x:c>
      <x:c r="M881" s="907" t="str">
        <x:v>VNStock API actual</x:v>
      </x:c>
      <x:c r="N881" s="1032" t="n">
        <x:v>46229.241747685184</x:v>
      </x:c>
    </x:row>
    <x:row r="882">
      <x:c r="A882" s="895" t="n">
        <x:v>45679</x:v>
      </x:c>
      <x:c r="B882" s="898" t="n">
        <x:v>58.31</x:v>
      </x:c>
      <x:c r="C882" s="898" t="n">
        <x:v>58.31</x:v>
      </x:c>
      <x:c r="D882" s="898" t="n">
        <x:v>57.47</x:v>
      </x:c>
      <x:c r="E882" s="898" t="n">
        <x:v>57.75</x:v>
      </x:c>
      <x:c r="F882" s="901" t="n">
        <x:v>619446</x:v>
      </x:c>
      <x:c r="G882" s="904" t="n">
        <x:v>1248.26</x:v>
      </x:c>
      <x:c r="H882" s="904" t="n">
        <x:v>1249.14</x:v>
      </x:c>
      <x:c r="I882" s="904" t="n">
        <x:v>1242.53</x:v>
      </x:c>
      <x:c r="J882" s="904" t="n">
        <x:v>1242.53</x:v>
      </x:c>
      <x:c r="K882" s="901" t="n">
        <x:v>374183309</x:v>
      </x:c>
      <x:c r="L882" s="907" t="str">
        <x:v>SRC-P404</x:v>
      </x:c>
      <x:c r="M882" s="907" t="str">
        <x:v>VNStock API actual</x:v>
      </x:c>
      <x:c r="N882" s="1032" t="n">
        <x:v>46229.241747685184</x:v>
      </x:c>
    </x:row>
    <x:row r="883">
      <x:c r="A883" s="895" t="n">
        <x:v>45680</x:v>
      </x:c>
      <x:c r="B883" s="898" t="n">
        <x:v>57.75</x:v>
      </x:c>
      <x:c r="C883" s="898" t="n">
        <x:v>58.31</x:v>
      </x:c>
      <x:c r="D883" s="898" t="n">
        <x:v>57.56</x:v>
      </x:c>
      <x:c r="E883" s="898" t="n">
        <x:v>58.31</x:v>
      </x:c>
      <x:c r="F883" s="901" t="n">
        <x:v>858418</x:v>
      </x:c>
      <x:c r="G883" s="904" t="n">
        <x:v>1245.59</x:v>
      </x:c>
      <x:c r="H883" s="904" t="n">
        <x:v>1263.59</x:v>
      </x:c>
      <x:c r="I883" s="904" t="n">
        <x:v>1244.77</x:v>
      </x:c>
      <x:c r="J883" s="904" t="n">
        <x:v>1259.63</x:v>
      </x:c>
      <x:c r="K883" s="901" t="n">
        <x:v>448550346</x:v>
      </x:c>
      <x:c r="L883" s="907" t="str">
        <x:v>SRC-P404</x:v>
      </x:c>
      <x:c r="M883" s="907" t="str">
        <x:v>VNStock API actual</x:v>
      </x:c>
      <x:c r="N883" s="1032" t="n">
        <x:v>46229.241747685184</x:v>
      </x:c>
    </x:row>
    <x:row r="884">
      <x:c r="A884" s="895" t="n">
        <x:v>45681</x:v>
      </x:c>
      <x:c r="B884" s="898" t="n">
        <x:v>57.94</x:v>
      </x:c>
      <x:c r="C884" s="898" t="n">
        <x:v>60.1</x:v>
      </x:c>
      <x:c r="D884" s="898" t="n">
        <x:v>57.94</x:v>
      </x:c>
      <x:c r="E884" s="898" t="n">
        <x:v>60.1</x:v>
      </x:c>
      <x:c r="F884" s="901" t="n">
        <x:v>1301594</x:v>
      </x:c>
      <x:c r="G884" s="904" t="n">
        <x:v>1259.26</x:v>
      </x:c>
      <x:c r="H884" s="904" t="n">
        <x:v>1265.38</x:v>
      </x:c>
      <x:c r="I884" s="904" t="n">
        <x:v>1258.46</x:v>
      </x:c>
      <x:c r="J884" s="904" t="n">
        <x:v>1265.05</x:v>
      </x:c>
      <x:c r="K884" s="901" t="n">
        <x:v>456657167</x:v>
      </x:c>
      <x:c r="L884" s="907" t="str">
        <x:v>SRC-P404</x:v>
      </x:c>
      <x:c r="M884" s="907" t="str">
        <x:v>VNStock API actual</x:v>
      </x:c>
      <x:c r="N884" s="1032" t="n">
        <x:v>46229.241747685184</x:v>
      </x:c>
    </x:row>
    <x:row r="885">
      <x:c r="A885" s="895" t="n">
        <x:v>45691</x:v>
      </x:c>
      <x:c r="B885" s="898" t="n">
        <x:v>59.72</x:v>
      </x:c>
      <x:c r="C885" s="898" t="n">
        <x:v>59.82</x:v>
      </x:c>
      <x:c r="D885" s="898" t="n">
        <x:v>58.59</x:v>
      </x:c>
      <x:c r="E885" s="898" t="n">
        <x:v>58.97</x:v>
      </x:c>
      <x:c r="F885" s="901" t="n">
        <x:v>953966</x:v>
      </x:c>
      <x:c r="G885" s="904" t="n">
        <x:v>1259.09</x:v>
      </x:c>
      <x:c r="H885" s="904" t="n">
        <x:v>1259.09</x:v>
      </x:c>
      <x:c r="I885" s="904" t="n">
        <x:v>1249.78</x:v>
      </x:c>
      <x:c r="J885" s="904" t="n">
        <x:v>1253.03</x:v>
      </x:c>
      <x:c r="K885" s="901" t="n">
        <x:v>462591784</x:v>
      </x:c>
      <x:c r="L885" s="907" t="str">
        <x:v>SRC-P404</x:v>
      </x:c>
      <x:c r="M885" s="907" t="str">
        <x:v>VNStock API actual</x:v>
      </x:c>
      <x:c r="N885" s="1032" t="n">
        <x:v>46229.241747685184</x:v>
      </x:c>
    </x:row>
    <x:row r="886">
      <x:c r="A886" s="895" t="n">
        <x:v>45692</x:v>
      </x:c>
      <x:c r="B886" s="898" t="n">
        <x:v>58.88</x:v>
      </x:c>
      <x:c r="C886" s="898" t="n">
        <x:v>59.63</x:v>
      </x:c>
      <x:c r="D886" s="898" t="n">
        <x:v>58.88</x:v>
      </x:c>
      <x:c r="E886" s="898" t="n">
        <x:v>59.35</x:v>
      </x:c>
      <x:c r="F886" s="901" t="n">
        <x:v>490246</x:v>
      </x:c>
      <x:c r="G886" s="904" t="n">
        <x:v>1256.91</x:v>
      </x:c>
      <x:c r="H886" s="904" t="n">
        <x:v>1264.68</x:v>
      </x:c>
      <x:c r="I886" s="904" t="n">
        <x:v>1255.44</x:v>
      </x:c>
      <x:c r="J886" s="904" t="n">
        <x:v>1264.68</x:v>
      </x:c>
      <x:c r="K886" s="901" t="n">
        <x:v>541783695</x:v>
      </x:c>
      <x:c r="L886" s="907" t="str">
        <x:v>SRC-P404</x:v>
      </x:c>
      <x:c r="M886" s="907" t="str">
        <x:v>VNStock API actual</x:v>
      </x:c>
      <x:c r="N886" s="1032" t="n">
        <x:v>46229.241747685184</x:v>
      </x:c>
    </x:row>
    <x:row r="887">
      <x:c r="A887" s="895" t="n">
        <x:v>45693</x:v>
      </x:c>
      <x:c r="B887" s="898" t="n">
        <x:v>59.16</x:v>
      </x:c>
      <x:c r="C887" s="898" t="n">
        <x:v>59.91</x:v>
      </x:c>
      <x:c r="D887" s="898" t="n">
        <x:v>59.16</x:v>
      </x:c>
      <x:c r="E887" s="898" t="n">
        <x:v>59.82</x:v>
      </x:c>
      <x:c r="F887" s="901" t="n">
        <x:v>1110358</x:v>
      </x:c>
      <x:c r="G887" s="904" t="n">
        <x:v>1268.43</x:v>
      </x:c>
      <x:c r="H887" s="904" t="n">
        <x:v>1271.8</x:v>
      </x:c>
      <x:c r="I887" s="904" t="n">
        <x:v>1266.18</x:v>
      </x:c>
      <x:c r="J887" s="904" t="n">
        <x:v>1269.61</x:v>
      </x:c>
      <x:c r="K887" s="901" t="n">
        <x:v>490473888</x:v>
      </x:c>
      <x:c r="L887" s="907" t="str">
        <x:v>SRC-P404</x:v>
      </x:c>
      <x:c r="M887" s="907" t="str">
        <x:v>VNStock API actual</x:v>
      </x:c>
      <x:c r="N887" s="1032" t="n">
        <x:v>46229.241747685184</x:v>
      </x:c>
    </x:row>
    <x:row r="888">
      <x:c r="A888" s="895" t="n">
        <x:v>45694</x:v>
      </x:c>
      <x:c r="B888" s="898" t="n">
        <x:v>59.91</x:v>
      </x:c>
      <x:c r="C888" s="898" t="n">
        <x:v>59.91</x:v>
      </x:c>
      <x:c r="D888" s="898" t="n">
        <x:v>59.25</x:v>
      </x:c>
      <x:c r="E888" s="898" t="n">
        <x:v>59.25</x:v>
      </x:c>
      <x:c r="F888" s="901" t="n">
        <x:v>713240</x:v>
      </x:c>
      <x:c r="G888" s="904" t="n">
        <x:v>1273.58</x:v>
      </x:c>
      <x:c r="H888" s="904" t="n">
        <x:v>1275.47</x:v>
      </x:c>
      <x:c r="I888" s="904" t="n">
        <x:v>1268.28</x:v>
      </x:c>
      <x:c r="J888" s="904" t="n">
        <x:v>1271.48</x:v>
      </x:c>
      <x:c r="K888" s="901" t="n">
        <x:v>489762130</x:v>
      </x:c>
      <x:c r="L888" s="907" t="str">
        <x:v>SRC-P404</x:v>
      </x:c>
      <x:c r="M888" s="907" t="str">
        <x:v>VNStock API actual</x:v>
      </x:c>
      <x:c r="N888" s="1032" t="n">
        <x:v>46229.241747685184</x:v>
      </x:c>
    </x:row>
    <x:row r="889">
      <x:c r="A889" s="895" t="n">
        <x:v>45695</x:v>
      </x:c>
      <x:c r="B889" s="898" t="n">
        <x:v>59.25</x:v>
      </x:c>
      <x:c r="C889" s="898" t="n">
        <x:v>60</x:v>
      </x:c>
      <x:c r="D889" s="898" t="n">
        <x:v>58.88</x:v>
      </x:c>
      <x:c r="E889" s="898" t="n">
        <x:v>58.88</x:v>
      </x:c>
      <x:c r="F889" s="901" t="n">
        <x:v>949412</x:v>
      </x:c>
      <x:c r="G889" s="904" t="n">
        <x:v>1271.98</x:v>
      </x:c>
      <x:c r="H889" s="904" t="n">
        <x:v>1279.35</x:v>
      </x:c>
      <x:c r="I889" s="904" t="n">
        <x:v>1269.12</x:v>
      </x:c>
      <x:c r="J889" s="904" t="n">
        <x:v>1275.2</x:v>
      </x:c>
      <x:c r="K889" s="901" t="n">
        <x:v>503342974</x:v>
      </x:c>
      <x:c r="L889" s="907" t="str">
        <x:v>SRC-P404</x:v>
      </x:c>
      <x:c r="M889" s="907" t="str">
        <x:v>VNStock API actual</x:v>
      </x:c>
      <x:c r="N889" s="1032" t="n">
        <x:v>46229.241747685184</x:v>
      </x:c>
    </x:row>
    <x:row r="890">
      <x:c r="A890" s="895" t="n">
        <x:v>45698</x:v>
      </x:c>
      <x:c r="B890" s="898" t="n">
        <x:v>58.88</x:v>
      </x:c>
      <x:c r="C890" s="898" t="n">
        <x:v>58.88</x:v>
      </x:c>
      <x:c r="D890" s="898" t="n">
        <x:v>57.94</x:v>
      </x:c>
      <x:c r="E890" s="898" t="n">
        <x:v>58.03</x:v>
      </x:c>
      <x:c r="F890" s="901" t="n">
        <x:v>830809</x:v>
      </x:c>
      <x:c r="G890" s="904" t="n">
        <x:v>1272.27</x:v>
      </x:c>
      <x:c r="H890" s="904" t="n">
        <x:v>1274.47</x:v>
      </x:c>
      <x:c r="I890" s="904" t="n">
        <x:v>1263.26</x:v>
      </x:c>
      <x:c r="J890" s="904" t="n">
        <x:v>1263.26</x:v>
      </x:c>
      <x:c r="K890" s="901" t="n">
        <x:v>652223852</x:v>
      </x:c>
      <x:c r="L890" s="907" t="str">
        <x:v>SRC-P404</x:v>
      </x:c>
      <x:c r="M890" s="907" t="str">
        <x:v>VNStock API actual</x:v>
      </x:c>
      <x:c r="N890" s="1032" t="n">
        <x:v>46229.241747685184</x:v>
      </x:c>
    </x:row>
    <x:row r="891">
      <x:c r="A891" s="895" t="n">
        <x:v>45699</x:v>
      </x:c>
      <x:c r="B891" s="898" t="n">
        <x:v>58.03</x:v>
      </x:c>
      <x:c r="C891" s="898" t="n">
        <x:v>58.03</x:v>
      </x:c>
      <x:c r="D891" s="898" t="n">
        <x:v>56.81</x:v>
      </x:c>
      <x:c r="E891" s="898" t="n">
        <x:v>57.28</x:v>
      </x:c>
      <x:c r="F891" s="901" t="n">
        <x:v>1986089</x:v>
      </x:c>
      <x:c r="G891" s="904" t="n">
        <x:v>1265.44</x:v>
      </x:c>
      <x:c r="H891" s="904" t="n">
        <x:v>1268.45</x:v>
      </x:c>
      <x:c r="I891" s="904" t="n">
        <x:v>1263.11</x:v>
      </x:c>
      <x:c r="J891" s="904" t="n">
        <x:v>1268.45</x:v>
      </x:c>
      <x:c r="K891" s="901" t="n">
        <x:v>525259444</x:v>
      </x:c>
      <x:c r="L891" s="907" t="str">
        <x:v>SRC-P404</x:v>
      </x:c>
      <x:c r="M891" s="907" t="str">
        <x:v>VNStock API actual</x:v>
      </x:c>
      <x:c r="N891" s="1032" t="n">
        <x:v>46229.241747685184</x:v>
      </x:c>
    </x:row>
    <x:row r="892">
      <x:c r="A892" s="895" t="n">
        <x:v>45700</x:v>
      </x:c>
      <x:c r="B892" s="898" t="n">
        <x:v>57.09</x:v>
      </x:c>
      <x:c r="C892" s="898" t="n">
        <x:v>57.65</x:v>
      </x:c>
      <x:c r="D892" s="898" t="n">
        <x:v>56.99</x:v>
      </x:c>
      <x:c r="E892" s="898" t="n">
        <x:v>56.99</x:v>
      </x:c>
      <x:c r="F892" s="901" t="n">
        <x:v>758091</x:v>
      </x:c>
      <x:c r="G892" s="904" t="n">
        <x:v>1270.83</x:v>
      </x:c>
      <x:c r="H892" s="904" t="n">
        <x:v>1272.86</x:v>
      </x:c>
      <x:c r="I892" s="904" t="n">
        <x:v>1266.59</x:v>
      </x:c>
      <x:c r="J892" s="904" t="n">
        <x:v>1266.91</x:v>
      </x:c>
      <x:c r="K892" s="901" t="n">
        <x:v>424173879</x:v>
      </x:c>
      <x:c r="L892" s="907" t="str">
        <x:v>SRC-P404</x:v>
      </x:c>
      <x:c r="M892" s="907" t="str">
        <x:v>VNStock API actual</x:v>
      </x:c>
      <x:c r="N892" s="1032" t="n">
        <x:v>46229.241747685184</x:v>
      </x:c>
    </x:row>
    <x:row r="893">
      <x:c r="A893" s="895" t="n">
        <x:v>45701</x:v>
      </x:c>
      <x:c r="B893" s="898" t="n">
        <x:v>56.99</x:v>
      </x:c>
      <x:c r="C893" s="898" t="n">
        <x:v>58.03</x:v>
      </x:c>
      <x:c r="D893" s="898" t="n">
        <x:v>56.99</x:v>
      </x:c>
      <x:c r="E893" s="898" t="n">
        <x:v>58.03</x:v>
      </x:c>
      <x:c r="F893" s="901" t="n">
        <x:v>767133</x:v>
      </x:c>
      <x:c r="G893" s="904" t="n">
        <x:v>1267.25</x:v>
      </x:c>
      <x:c r="H893" s="904" t="n">
        <x:v>1270.67</x:v>
      </x:c>
      <x:c r="I893" s="904" t="n">
        <x:v>1263.85</x:v>
      </x:c>
      <x:c r="J893" s="904" t="n">
        <x:v>1270.35</x:v>
      </x:c>
      <x:c r="K893" s="901" t="n">
        <x:v>422929502</x:v>
      </x:c>
      <x:c r="L893" s="907" t="str">
        <x:v>SRC-P404</x:v>
      </x:c>
      <x:c r="M893" s="907" t="str">
        <x:v>VNStock API actual</x:v>
      </x:c>
      <x:c r="N893" s="1032" t="n">
        <x:v>46229.241747685184</x:v>
      </x:c>
    </x:row>
    <x:row r="894">
      <x:c r="A894" s="895" t="n">
        <x:v>45702</x:v>
      </x:c>
      <x:c r="B894" s="898" t="n">
        <x:v>57.84</x:v>
      </x:c>
      <x:c r="C894" s="898" t="n">
        <x:v>58.59</x:v>
      </x:c>
      <x:c r="D894" s="898" t="n">
        <x:v>57.47</x:v>
      </x:c>
      <x:c r="E894" s="898" t="n">
        <x:v>58.03</x:v>
      </x:c>
      <x:c r="F894" s="901" t="n">
        <x:v>810191</x:v>
      </x:c>
      <x:c r="G894" s="904" t="n">
        <x:v>1277.52</x:v>
      </x:c>
      <x:c r="H894" s="904" t="n">
        <x:v>1280.6</x:v>
      </x:c>
      <x:c r="I894" s="904" t="n">
        <x:v>1274</x:v>
      </x:c>
      <x:c r="J894" s="904" t="n">
        <x:v>1276.08</x:v>
      </x:c>
      <x:c r="K894" s="901" t="n">
        <x:v>572553338</x:v>
      </x:c>
      <x:c r="L894" s="907" t="str">
        <x:v>SRC-P404</x:v>
      </x:c>
      <x:c r="M894" s="907" t="str">
        <x:v>VNStock API actual</x:v>
      </x:c>
      <x:c r="N894" s="1032" t="n">
        <x:v>46229.241747685184</x:v>
      </x:c>
    </x:row>
    <x:row r="895">
      <x:c r="A895" s="895" t="n">
        <x:v>45705</x:v>
      </x:c>
      <x:c r="B895" s="898" t="n">
        <x:v>58.03</x:v>
      </x:c>
      <x:c r="C895" s="898" t="n">
        <x:v>58.12</x:v>
      </x:c>
      <x:c r="D895" s="898" t="n">
        <x:v>57.56</x:v>
      </x:c>
      <x:c r="E895" s="898" t="n">
        <x:v>57.65</x:v>
      </x:c>
      <x:c r="F895" s="901" t="n">
        <x:v>661281</x:v>
      </x:c>
      <x:c r="G895" s="904" t="n">
        <x:v>1277.12</x:v>
      </x:c>
      <x:c r="H895" s="904" t="n">
        <x:v>1278.49</x:v>
      </x:c>
      <x:c r="I895" s="904" t="n">
        <x:v>1272.72</x:v>
      </x:c>
      <x:c r="J895" s="904" t="n">
        <x:v>1272.72</x:v>
      </x:c>
      <x:c r="K895" s="901" t="n">
        <x:v>703389002</x:v>
      </x:c>
      <x:c r="L895" s="907" t="str">
        <x:v>SRC-P404</x:v>
      </x:c>
      <x:c r="M895" s="907" t="str">
        <x:v>VNStock API actual</x:v>
      </x:c>
      <x:c r="N895" s="1032" t="n">
        <x:v>46229.241747685184</x:v>
      </x:c>
    </x:row>
    <x:row r="896">
      <x:c r="A896" s="895" t="n">
        <x:v>45706</x:v>
      </x:c>
      <x:c r="B896" s="898" t="n">
        <x:v>57.47</x:v>
      </x:c>
      <x:c r="C896" s="898" t="n">
        <x:v>57.75</x:v>
      </x:c>
      <x:c r="D896" s="898" t="n">
        <x:v>56.9</x:v>
      </x:c>
      <x:c r="E896" s="898" t="n">
        <x:v>57.28</x:v>
      </x:c>
      <x:c r="F896" s="901" t="n">
        <x:v>1476393</x:v>
      </x:c>
      <x:c r="G896" s="904" t="n">
        <x:v>1274.05</x:v>
      </x:c>
      <x:c r="H896" s="904" t="n">
        <x:v>1283.34</x:v>
      </x:c>
      <x:c r="I896" s="904" t="n">
        <x:v>1272.19</x:v>
      </x:c>
      <x:c r="J896" s="904" t="n">
        <x:v>1278.14</x:v>
      </x:c>
      <x:c r="K896" s="901" t="n">
        <x:v>576613065</x:v>
      </x:c>
      <x:c r="L896" s="907" t="str">
        <x:v>SRC-P404</x:v>
      </x:c>
      <x:c r="M896" s="907" t="str">
        <x:v>VNStock API actual</x:v>
      </x:c>
      <x:c r="N896" s="1032" t="n">
        <x:v>46229.241747685184</x:v>
      </x:c>
    </x:row>
    <x:row r="897">
      <x:c r="A897" s="895" t="n">
        <x:v>45707</x:v>
      </x:c>
      <x:c r="B897" s="898" t="n">
        <x:v>57.28</x:v>
      </x:c>
      <x:c r="C897" s="898" t="n">
        <x:v>57.84</x:v>
      </x:c>
      <x:c r="D897" s="898" t="n">
        <x:v>56.99</x:v>
      </x:c>
      <x:c r="E897" s="898" t="n">
        <x:v>57.37</x:v>
      </x:c>
      <x:c r="F897" s="901" t="n">
        <x:v>855430</x:v>
      </x:c>
      <x:c r="G897" s="904" t="n">
        <x:v>1280.6</x:v>
      </x:c>
      <x:c r="H897" s="904" t="n">
        <x:v>1288.56</x:v>
      </x:c>
      <x:c r="I897" s="904" t="n">
        <x:v>1278.92</x:v>
      </x:c>
      <x:c r="J897" s="904" t="n">
        <x:v>1288.56</x:v>
      </x:c>
      <x:c r="K897" s="901" t="n">
        <x:v>691882854</x:v>
      </x:c>
      <x:c r="L897" s="907" t="str">
        <x:v>SRC-P404</x:v>
      </x:c>
      <x:c r="M897" s="907" t="str">
        <x:v>VNStock API actual</x:v>
      </x:c>
      <x:c r="N897" s="1032" t="n">
        <x:v>46229.241747685184</x:v>
      </x:c>
    </x:row>
    <x:row r="898">
      <x:c r="A898" s="895" t="n">
        <x:v>45708</x:v>
      </x:c>
      <x:c r="B898" s="898" t="n">
        <x:v>57.65</x:v>
      </x:c>
      <x:c r="C898" s="898" t="n">
        <x:v>57.84</x:v>
      </x:c>
      <x:c r="D898" s="898" t="n">
        <x:v>57.28</x:v>
      </x:c>
      <x:c r="E898" s="898" t="n">
        <x:v>57.84</x:v>
      </x:c>
      <x:c r="F898" s="901" t="n">
        <x:v>729795</x:v>
      </x:c>
      <x:c r="G898" s="904" t="n">
        <x:v>1292.94</x:v>
      </x:c>
      <x:c r="H898" s="904" t="n">
        <x:v>1295.82</x:v>
      </x:c>
      <x:c r="I898" s="904" t="n">
        <x:v>1290.84</x:v>
      </x:c>
      <x:c r="J898" s="904" t="n">
        <x:v>1292.98</x:v>
      </x:c>
      <x:c r="K898" s="901" t="n">
        <x:v>665568367</x:v>
      </x:c>
      <x:c r="L898" s="907" t="str">
        <x:v>SRC-P404</x:v>
      </x:c>
      <x:c r="M898" s="907" t="str">
        <x:v>VNStock API actual</x:v>
      </x:c>
      <x:c r="N898" s="1032" t="n">
        <x:v>46229.241747685184</x:v>
      </x:c>
    </x:row>
    <x:row r="899">
      <x:c r="A899" s="895" t="n">
        <x:v>45709</x:v>
      </x:c>
      <x:c r="B899" s="898" t="n">
        <x:v>57.84</x:v>
      </x:c>
      <x:c r="C899" s="898" t="n">
        <x:v>58.69</x:v>
      </x:c>
      <x:c r="D899" s="898" t="n">
        <x:v>57.75</x:v>
      </x:c>
      <x:c r="E899" s="898" t="n">
        <x:v>58.31</x:v>
      </x:c>
      <x:c r="F899" s="901" t="n">
        <x:v>860401</x:v>
      </x:c>
      <x:c r="G899" s="904" t="n">
        <x:v>1293.63</x:v>
      </x:c>
      <x:c r="H899" s="904" t="n">
        <x:v>1296.75</x:v>
      </x:c>
      <x:c r="I899" s="904" t="n">
        <x:v>1290.98</x:v>
      </x:c>
      <x:c r="J899" s="904" t="n">
        <x:v>1296.75</x:v>
      </x:c>
      <x:c r="K899" s="901" t="n">
        <x:v>615945439</x:v>
      </x:c>
      <x:c r="L899" s="907" t="str">
        <x:v>SRC-P404</x:v>
      </x:c>
      <x:c r="M899" s="907" t="str">
        <x:v>VNStock API actual</x:v>
      </x:c>
      <x:c r="N899" s="1032" t="n">
        <x:v>46229.241747685184</x:v>
      </x:c>
    </x:row>
    <x:row r="900">
      <x:c r="A900" s="895" t="n">
        <x:v>45712</x:v>
      </x:c>
      <x:c r="B900" s="898" t="n">
        <x:v>58.31</x:v>
      </x:c>
      <x:c r="C900" s="898" t="n">
        <x:v>58.41</x:v>
      </x:c>
      <x:c r="D900" s="898" t="n">
        <x:v>57.75</x:v>
      </x:c>
      <x:c r="E900" s="898" t="n">
        <x:v>58.22</x:v>
      </x:c>
      <x:c r="F900" s="901" t="n">
        <x:v>816565</x:v>
      </x:c>
      <x:c r="G900" s="904" t="n">
        <x:v>1298.39</x:v>
      </x:c>
      <x:c r="H900" s="904" t="n">
        <x:v>1304.56</x:v>
      </x:c>
      <x:c r="I900" s="904" t="n">
        <x:v>1294.69</x:v>
      </x:c>
      <x:c r="J900" s="904" t="n">
        <x:v>1304.56</x:v>
      </x:c>
      <x:c r="K900" s="901" t="n">
        <x:v>745383925</x:v>
      </x:c>
      <x:c r="L900" s="907" t="str">
        <x:v>SRC-P404</x:v>
      </x:c>
      <x:c r="M900" s="907" t="str">
        <x:v>VNStock API actual</x:v>
      </x:c>
      <x:c r="N900" s="1032" t="n">
        <x:v>46229.241747685184</x:v>
      </x:c>
    </x:row>
    <x:row r="901">
      <x:c r="A901" s="895" t="n">
        <x:v>45713</x:v>
      </x:c>
      <x:c r="B901" s="898" t="n">
        <x:v>58.03</x:v>
      </x:c>
      <x:c r="C901" s="898" t="n">
        <x:v>58.03</x:v>
      </x:c>
      <x:c r="D901" s="898" t="n">
        <x:v>57.09</x:v>
      </x:c>
      <x:c r="E901" s="898" t="n">
        <x:v>57.37</x:v>
      </x:c>
      <x:c r="F901" s="901" t="n">
        <x:v>1405523</x:v>
      </x:c>
      <x:c r="G901" s="904" t="n">
        <x:v>1306.86</x:v>
      </x:c>
      <x:c r="H901" s="904" t="n">
        <x:v>1309.97</x:v>
      </x:c>
      <x:c r="I901" s="904" t="n">
        <x:v>1298.54</x:v>
      </x:c>
      <x:c r="J901" s="904" t="n">
        <x:v>1303.16</x:v>
      </x:c>
      <x:c r="K901" s="901" t="n">
        <x:v>764641989</x:v>
      </x:c>
      <x:c r="L901" s="907" t="str">
        <x:v>SRC-P404</x:v>
      </x:c>
      <x:c r="M901" s="907" t="str">
        <x:v>VNStock API actual</x:v>
      </x:c>
      <x:c r="N901" s="1032" t="n">
        <x:v>46229.241747685184</x:v>
      </x:c>
    </x:row>
    <x:row r="902">
      <x:c r="A902" s="895" t="n">
        <x:v>45714</x:v>
      </x:c>
      <x:c r="B902" s="898" t="n">
        <x:v>57.37</x:v>
      </x:c>
      <x:c r="C902" s="898" t="n">
        <x:v>57.84</x:v>
      </x:c>
      <x:c r="D902" s="898" t="n">
        <x:v>57.18</x:v>
      </x:c>
      <x:c r="E902" s="898" t="n">
        <x:v>57.47</x:v>
      </x:c>
      <x:c r="F902" s="901" t="n">
        <x:v>1420431</x:v>
      </x:c>
      <x:c r="G902" s="904" t="n">
        <x:v>1305.16</x:v>
      </x:c>
      <x:c r="H902" s="904" t="n">
        <x:v>1306.49</x:v>
      </x:c>
      <x:c r="I902" s="904" t="n">
        <x:v>1301.2</x:v>
      </x:c>
      <x:c r="J902" s="904" t="n">
        <x:v>1302.96</x:v>
      </x:c>
      <x:c r="K902" s="901" t="n">
        <x:v>659793287</x:v>
      </x:c>
      <x:c r="L902" s="907" t="str">
        <x:v>SRC-P404</x:v>
      </x:c>
      <x:c r="M902" s="907" t="str">
        <x:v>VNStock API actual</x:v>
      </x:c>
      <x:c r="N902" s="1032" t="n">
        <x:v>46229.241747685184</x:v>
      </x:c>
    </x:row>
    <x:row r="903">
      <x:c r="A903" s="895" t="n">
        <x:v>45715</x:v>
      </x:c>
      <x:c r="B903" s="898" t="n">
        <x:v>57.37</x:v>
      </x:c>
      <x:c r="C903" s="898" t="n">
        <x:v>57.65</x:v>
      </x:c>
      <x:c r="D903" s="898" t="n">
        <x:v>57.18</x:v>
      </x:c>
      <x:c r="E903" s="898" t="n">
        <x:v>57.65</x:v>
      </x:c>
      <x:c r="F903" s="901" t="n">
        <x:v>901859</x:v>
      </x:c>
      <x:c r="G903" s="904" t="n">
        <x:v>1307.31</x:v>
      </x:c>
      <x:c r="H903" s="904" t="n">
        <x:v>1307.87</x:v>
      </x:c>
      <x:c r="I903" s="904" t="n">
        <x:v>1296.43</x:v>
      </x:c>
      <x:c r="J903" s="904" t="n">
        <x:v>1307.8</x:v>
      </x:c>
      <x:c r="K903" s="901" t="n">
        <x:v>796881038</x:v>
      </x:c>
      <x:c r="L903" s="907" t="str">
        <x:v>SRC-P404</x:v>
      </x:c>
      <x:c r="M903" s="907" t="str">
        <x:v>VNStock API actual</x:v>
      </x:c>
      <x:c r="N903" s="1032" t="n">
        <x:v>46229.241747685184</x:v>
      </x:c>
    </x:row>
    <x:row r="904">
      <x:c r="A904" s="895" t="n">
        <x:v>45716</x:v>
      </x:c>
      <x:c r="B904" s="898" t="n">
        <x:v>57.65</x:v>
      </x:c>
      <x:c r="C904" s="898" t="n">
        <x:v>57.65</x:v>
      </x:c>
      <x:c r="D904" s="898" t="n">
        <x:v>56.99</x:v>
      </x:c>
      <x:c r="E904" s="898" t="n">
        <x:v>57.09</x:v>
      </x:c>
      <x:c r="F904" s="901" t="n">
        <x:v>1336703</x:v>
      </x:c>
      <x:c r="G904" s="904" t="n">
        <x:v>1307.14</x:v>
      </x:c>
      <x:c r="H904" s="904" t="n">
        <x:v>1308.77</x:v>
      </x:c>
      <x:c r="I904" s="904" t="n">
        <x:v>1300.66</x:v>
      </x:c>
      <x:c r="J904" s="904" t="n">
        <x:v>1305.36</x:v>
      </x:c>
      <x:c r="K904" s="901" t="n">
        <x:v>713323836</x:v>
      </x:c>
      <x:c r="L904" s="907" t="str">
        <x:v>SRC-P404</x:v>
      </x:c>
      <x:c r="M904" s="907" t="str">
        <x:v>VNStock API actual</x:v>
      </x:c>
      <x:c r="N904" s="1032" t="n">
        <x:v>46229.241747685184</x:v>
      </x:c>
    </x:row>
    <x:row r="905">
      <x:c r="A905" s="895" t="n">
        <x:v>45719</x:v>
      </x:c>
      <x:c r="B905" s="898" t="n">
        <x:v>57.09</x:v>
      </x:c>
      <x:c r="C905" s="898" t="n">
        <x:v>57.37</x:v>
      </x:c>
      <x:c r="D905" s="898" t="n">
        <x:v>56.99</x:v>
      </x:c>
      <x:c r="E905" s="898" t="n">
        <x:v>57.18</x:v>
      </x:c>
      <x:c r="F905" s="901" t="n">
        <x:v>681932</x:v>
      </x:c>
      <x:c r="G905" s="904" t="n">
        <x:v>1306.97</x:v>
      </x:c>
      <x:c r="H905" s="904" t="n">
        <x:v>1309.77</x:v>
      </x:c>
      <x:c r="I905" s="904" t="n">
        <x:v>1304.3</x:v>
      </x:c>
      <x:c r="J905" s="904" t="n">
        <x:v>1309.37</x:v>
      </x:c>
      <x:c r="K905" s="901" t="n">
        <x:v>748242113</x:v>
      </x:c>
      <x:c r="L905" s="907" t="str">
        <x:v>SRC-P404</x:v>
      </x:c>
      <x:c r="M905" s="907" t="str">
        <x:v>VNStock API actual</x:v>
      </x:c>
      <x:c r="N905" s="1032" t="n">
        <x:v>46229.241747685184</x:v>
      </x:c>
    </x:row>
    <x:row r="906">
      <x:c r="A906" s="895" t="n">
        <x:v>45720</x:v>
      </x:c>
      <x:c r="B906" s="898" t="n">
        <x:v>57.09</x:v>
      </x:c>
      <x:c r="C906" s="898" t="n">
        <x:v>57.94</x:v>
      </x:c>
      <x:c r="D906" s="898" t="n">
        <x:v>57.09</x:v>
      </x:c>
      <x:c r="E906" s="898" t="n">
        <x:v>57.47</x:v>
      </x:c>
      <x:c r="F906" s="901" t="n">
        <x:v>1108506</x:v>
      </x:c>
      <x:c r="G906" s="904" t="n">
        <x:v>1306.82</x:v>
      </x:c>
      <x:c r="H906" s="904" t="n">
        <x:v>1313.21</x:v>
      </x:c>
      <x:c r="I906" s="904" t="n">
        <x:v>1298.28</x:v>
      </x:c>
      <x:c r="J906" s="904" t="n">
        <x:v>1311.91</x:v>
      </x:c>
      <x:c r="K906" s="901" t="n">
        <x:v>872086925</x:v>
      </x:c>
      <x:c r="L906" s="907" t="str">
        <x:v>SRC-P404</x:v>
      </x:c>
      <x:c r="M906" s="907" t="str">
        <x:v>VNStock API actual</x:v>
      </x:c>
      <x:c r="N906" s="1032" t="n">
        <x:v>46229.241747685184</x:v>
      </x:c>
    </x:row>
    <x:row r="907">
      <x:c r="A907" s="895" t="n">
        <x:v>45721</x:v>
      </x:c>
      <x:c r="B907" s="898" t="n">
        <x:v>57.37</x:v>
      </x:c>
      <x:c r="C907" s="898" t="n">
        <x:v>57.56</x:v>
      </x:c>
      <x:c r="D907" s="898" t="n">
        <x:v>56.43</x:v>
      </x:c>
      <x:c r="E907" s="898" t="n">
        <x:v>56.43</x:v>
      </x:c>
      <x:c r="F907" s="901" t="n">
        <x:v>2452322</x:v>
      </x:c>
      <x:c r="G907" s="904" t="n">
        <x:v>1312.84</x:v>
      </x:c>
      <x:c r="H907" s="904" t="n">
        <x:v>1319.52</x:v>
      </x:c>
      <x:c r="I907" s="904" t="n">
        <x:v>1304.71</x:v>
      </x:c>
      <x:c r="J907" s="904" t="n">
        <x:v>1304.71</x:v>
      </x:c>
      <x:c r="K907" s="901" t="n">
        <x:v>711384061</x:v>
      </x:c>
      <x:c r="L907" s="907" t="str">
        <x:v>SRC-P404</x:v>
      </x:c>
      <x:c r="M907" s="907" t="str">
        <x:v>VNStock API actual</x:v>
      </x:c>
      <x:c r="N907" s="1032" t="n">
        <x:v>46229.241747685184</x:v>
      </x:c>
    </x:row>
    <x:row r="908">
      <x:c r="A908" s="895" t="n">
        <x:v>45722</x:v>
      </x:c>
      <x:c r="B908" s="898" t="n">
        <x:v>56.71</x:v>
      </x:c>
      <x:c r="C908" s="898" t="n">
        <x:v>57.37</x:v>
      </x:c>
      <x:c r="D908" s="898" t="n">
        <x:v>56.43</x:v>
      </x:c>
      <x:c r="E908" s="898" t="n">
        <x:v>57.37</x:v>
      </x:c>
      <x:c r="F908" s="901" t="n">
        <x:v>1632773</x:v>
      </x:c>
      <x:c r="G908" s="904" t="n">
        <x:v>1308.02</x:v>
      </x:c>
      <x:c r="H908" s="904" t="n">
        <x:v>1318.22</x:v>
      </x:c>
      <x:c r="I908" s="904" t="n">
        <x:v>1307.91</x:v>
      </x:c>
      <x:c r="J908" s="904" t="n">
        <x:v>1318.22</x:v>
      </x:c>
      <x:c r="K908" s="901" t="n">
        <x:v>926189171</x:v>
      </x:c>
      <x:c r="L908" s="907" t="str">
        <x:v>SRC-P404</x:v>
      </x:c>
      <x:c r="M908" s="907" t="str">
        <x:v>VNStock API actual</x:v>
      </x:c>
      <x:c r="N908" s="1032" t="n">
        <x:v>46229.241747685184</x:v>
      </x:c>
    </x:row>
    <x:row r="909">
      <x:c r="A909" s="895" t="n">
        <x:v>45723</x:v>
      </x:c>
      <x:c r="B909" s="898" t="n">
        <x:v>57.75</x:v>
      </x:c>
      <x:c r="C909" s="898" t="n">
        <x:v>57.84</x:v>
      </x:c>
      <x:c r="D909" s="898" t="n">
        <x:v>56.9</x:v>
      </x:c>
      <x:c r="E909" s="898" t="n">
        <x:v>57.84</x:v>
      </x:c>
      <x:c r="F909" s="901" t="n">
        <x:v>1872721</x:v>
      </x:c>
      <x:c r="G909" s="904" t="n">
        <x:v>1320.08</x:v>
      </x:c>
      <x:c r="H909" s="904" t="n">
        <x:v>1327.07</x:v>
      </x:c>
      <x:c r="I909" s="904" t="n">
        <x:v>1318.71</x:v>
      </x:c>
      <x:c r="J909" s="904" t="n">
        <x:v>1326.05</x:v>
      </x:c>
      <x:c r="K909" s="901" t="n">
        <x:v>825175457</x:v>
      </x:c>
      <x:c r="L909" s="907" t="str">
        <x:v>SRC-P404</x:v>
      </x:c>
      <x:c r="M909" s="907" t="str">
        <x:v>VNStock API actual</x:v>
      </x:c>
      <x:c r="N909" s="1032" t="n">
        <x:v>46229.241747685184</x:v>
      </x:c>
    </x:row>
    <x:row r="910">
      <x:c r="A910" s="895" t="n">
        <x:v>45726</x:v>
      </x:c>
      <x:c r="B910" s="898" t="n">
        <x:v>57.94</x:v>
      </x:c>
      <x:c r="C910" s="898" t="n">
        <x:v>57.94</x:v>
      </x:c>
      <x:c r="D910" s="898" t="n">
        <x:v>56.99</x:v>
      </x:c>
      <x:c r="E910" s="898" t="n">
        <x:v>57.84</x:v>
      </x:c>
      <x:c r="F910" s="901" t="n">
        <x:v>1856759</x:v>
      </x:c>
      <x:c r="G910" s="904" t="n">
        <x:v>1331.6</x:v>
      </x:c>
      <x:c r="H910" s="904" t="n">
        <x:v>1335.87</x:v>
      </x:c>
      <x:c r="I910" s="904" t="n">
        <x:v>1326.51</x:v>
      </x:c>
      <x:c r="J910" s="904" t="n">
        <x:v>1330.28</x:v>
      </x:c>
      <x:c r="K910" s="901" t="n">
        <x:v>801944906</x:v>
      </x:c>
      <x:c r="L910" s="907" t="str">
        <x:v>SRC-P404</x:v>
      </x:c>
      <x:c r="M910" s="907" t="str">
        <x:v>VNStock API actual</x:v>
      </x:c>
      <x:c r="N910" s="1032" t="n">
        <x:v>46229.241747685184</x:v>
      </x:c>
    </x:row>
    <x:row r="911">
      <x:c r="A911" s="895" t="n">
        <x:v>45727</x:v>
      </x:c>
      <x:c r="B911" s="898" t="n">
        <x:v>57.28</x:v>
      </x:c>
      <x:c r="C911" s="898" t="n">
        <x:v>57.75</x:v>
      </x:c>
      <x:c r="D911" s="898" t="n">
        <x:v>56.81</x:v>
      </x:c>
      <x:c r="E911" s="898" t="n">
        <x:v>57.56</x:v>
      </x:c>
      <x:c r="F911" s="901" t="n">
        <x:v>2129541</x:v>
      </x:c>
      <x:c r="G911" s="904" t="n">
        <x:v>1319.17</x:v>
      </x:c>
      <x:c r="H911" s="904" t="n">
        <x:v>1332.54</x:v>
      </x:c>
      <x:c r="I911" s="904" t="n">
        <x:v>1315.92</x:v>
      </x:c>
      <x:c r="J911" s="904" t="n">
        <x:v>1332.54</x:v>
      </x:c>
      <x:c r="K911" s="901" t="n">
        <x:v>791992117</x:v>
      </x:c>
      <x:c r="L911" s="907" t="str">
        <x:v>SRC-P404</x:v>
      </x:c>
      <x:c r="M911" s="907" t="str">
        <x:v>VNStock API actual</x:v>
      </x:c>
      <x:c r="N911" s="1032" t="n">
        <x:v>46229.241747685184</x:v>
      </x:c>
    </x:row>
    <x:row r="912">
      <x:c r="A912" s="895" t="n">
        <x:v>45728</x:v>
      </x:c>
      <x:c r="B912" s="898" t="n">
        <x:v>57.18</x:v>
      </x:c>
      <x:c r="C912" s="898" t="n">
        <x:v>57.47</x:v>
      </x:c>
      <x:c r="D912" s="898" t="n">
        <x:v>56.52</x:v>
      </x:c>
      <x:c r="E912" s="898" t="n">
        <x:v>56.52</x:v>
      </x:c>
      <x:c r="F912" s="901" t="n">
        <x:v>2851997</x:v>
      </x:c>
      <x:c r="G912" s="904" t="n">
        <x:v>1337.63</x:v>
      </x:c>
      <x:c r="H912" s="904" t="n">
        <x:v>1342.91</x:v>
      </x:c>
      <x:c r="I912" s="904" t="n">
        <x:v>1331.75</x:v>
      </x:c>
      <x:c r="J912" s="904" t="n">
        <x:v>1334.41</x:v>
      </x:c>
      <x:c r="K912" s="901" t="n">
        <x:v>811987921</x:v>
      </x:c>
      <x:c r="L912" s="907" t="str">
        <x:v>SRC-P404</x:v>
      </x:c>
      <x:c r="M912" s="907" t="str">
        <x:v>VNStock API actual</x:v>
      </x:c>
      <x:c r="N912" s="1032" t="n">
        <x:v>46229.241747685184</x:v>
      </x:c>
    </x:row>
    <x:row r="913">
      <x:c r="A913" s="895" t="n">
        <x:v>45729</x:v>
      </x:c>
      <x:c r="B913" s="898" t="n">
        <x:v>56.81</x:v>
      </x:c>
      <x:c r="C913" s="898" t="n">
        <x:v>57.18</x:v>
      </x:c>
      <x:c r="D913" s="898" t="n">
        <x:v>56.05</x:v>
      </x:c>
      <x:c r="E913" s="898" t="n">
        <x:v>56.05</x:v>
      </x:c>
      <x:c r="F913" s="901" t="n">
        <x:v>1306760</x:v>
      </x:c>
      <x:c r="G913" s="904" t="n">
        <x:v>1335.66</x:v>
      </x:c>
      <x:c r="H913" s="904" t="n">
        <x:v>1340.91</x:v>
      </x:c>
      <x:c r="I913" s="904" t="n">
        <x:v>1324.87</x:v>
      </x:c>
      <x:c r="J913" s="904" t="n">
        <x:v>1326.27</x:v>
      </x:c>
      <x:c r="K913" s="901" t="n">
        <x:v>927789782</x:v>
      </x:c>
      <x:c r="L913" s="907" t="str">
        <x:v>SRC-P404</x:v>
      </x:c>
      <x:c r="M913" s="907" t="str">
        <x:v>VNStock API actual</x:v>
      </x:c>
      <x:c r="N913" s="1032" t="n">
        <x:v>46229.241747685184</x:v>
      </x:c>
    </x:row>
    <x:row r="914">
      <x:c r="A914" s="895" t="n">
        <x:v>45730</x:v>
      </x:c>
      <x:c r="B914" s="898" t="n">
        <x:v>56.24</x:v>
      </x:c>
      <x:c r="C914" s="898" t="n">
        <x:v>56.43</x:v>
      </x:c>
      <x:c r="D914" s="898" t="n">
        <x:v>54.64</x:v>
      </x:c>
      <x:c r="E914" s="898" t="n">
        <x:v>54.64</x:v>
      </x:c>
      <x:c r="F914" s="901" t="n">
        <x:v>2360861</x:v>
      </x:c>
      <x:c r="G914" s="904" t="n">
        <x:v>1325.84</x:v>
      </x:c>
      <x:c r="H914" s="904" t="n">
        <x:v>1333.32</x:v>
      </x:c>
      <x:c r="I914" s="904" t="n">
        <x:v>1324.3</x:v>
      </x:c>
      <x:c r="J914" s="904" t="n">
        <x:v>1326.15</x:v>
      </x:c>
      <x:c r="K914" s="901" t="n">
        <x:v>872541760</x:v>
      </x:c>
      <x:c r="L914" s="907" t="str">
        <x:v>SRC-P404</x:v>
      </x:c>
      <x:c r="M914" s="907" t="str">
        <x:v>VNStock API actual</x:v>
      </x:c>
      <x:c r="N914" s="1032" t="n">
        <x:v>46229.241747685184</x:v>
      </x:c>
    </x:row>
    <x:row r="915">
      <x:c r="A915" s="895" t="n">
        <x:v>45733</x:v>
      </x:c>
      <x:c r="B915" s="898" t="n">
        <x:v>54.74</x:v>
      </x:c>
      <x:c r="C915" s="898" t="n">
        <x:v>55.11</x:v>
      </x:c>
      <x:c r="D915" s="898" t="n">
        <x:v>53.99</x:v>
      </x:c>
      <x:c r="E915" s="898" t="n">
        <x:v>54.55</x:v>
      </x:c>
      <x:c r="F915" s="901" t="n">
        <x:v>1862807</x:v>
      </x:c>
      <x:c r="G915" s="904" t="n">
        <x:v>1330.62</x:v>
      </x:c>
      <x:c r="H915" s="904" t="n">
        <x:v>1336.26</x:v>
      </x:c>
      <x:c r="I915" s="904" t="n">
        <x:v>1329.05</x:v>
      </x:c>
      <x:c r="J915" s="904" t="n">
        <x:v>1336.26</x:v>
      </x:c>
      <x:c r="K915" s="901" t="n">
        <x:v>780751957</x:v>
      </x:c>
      <x:c r="L915" s="907" t="str">
        <x:v>SRC-P404</x:v>
      </x:c>
      <x:c r="M915" s="907" t="str">
        <x:v>VNStock API actual</x:v>
      </x:c>
      <x:c r="N915" s="1032" t="n">
        <x:v>46229.241747685184</x:v>
      </x:c>
    </x:row>
    <x:row r="916">
      <x:c r="A916" s="895" t="n">
        <x:v>45734</x:v>
      </x:c>
      <x:c r="B916" s="898" t="n">
        <x:v>54.74</x:v>
      </x:c>
      <x:c r="C916" s="898" t="n">
        <x:v>55.96</x:v>
      </x:c>
      <x:c r="D916" s="898" t="n">
        <x:v>54.74</x:v>
      </x:c>
      <x:c r="E916" s="898" t="n">
        <x:v>55.96</x:v>
      </x:c>
      <x:c r="F916" s="901" t="n">
        <x:v>1750274</x:v>
      </x:c>
      <x:c r="G916" s="904" t="n">
        <x:v>1340.16</x:v>
      </x:c>
      <x:c r="H916" s="904" t="n">
        <x:v>1341.65</x:v>
      </x:c>
      <x:c r="I916" s="904" t="n">
        <x:v>1330.97</x:v>
      </x:c>
      <x:c r="J916" s="904" t="n">
        <x:v>1330.97</x:v>
      </x:c>
      <x:c r="K916" s="901" t="n">
        <x:v>759403354</x:v>
      </x:c>
      <x:c r="L916" s="907" t="str">
        <x:v>SRC-P404</x:v>
      </x:c>
      <x:c r="M916" s="907" t="str">
        <x:v>VNStock API actual</x:v>
      </x:c>
      <x:c r="N916" s="1032" t="n">
        <x:v>46229.241747685184</x:v>
      </x:c>
    </x:row>
    <x:row r="917">
      <x:c r="A917" s="895" t="n">
        <x:v>45735</x:v>
      </x:c>
      <x:c r="B917" s="898" t="n">
        <x:v>56.15</x:v>
      </x:c>
      <x:c r="C917" s="898" t="n">
        <x:v>56.24</x:v>
      </x:c>
      <x:c r="D917" s="898" t="n">
        <x:v>54.93</x:v>
      </x:c>
      <x:c r="E917" s="898" t="n">
        <x:v>55.77</x:v>
      </x:c>
      <x:c r="F917" s="901" t="n">
        <x:v>1113209</x:v>
      </x:c>
      <x:c r="G917" s="904" t="n">
        <x:v>1330.4</x:v>
      </x:c>
      <x:c r="H917" s="904" t="n">
        <x:v>1330.7</x:v>
      </x:c>
      <x:c r="I917" s="904" t="n">
        <x:v>1320.85</x:v>
      </x:c>
      <x:c r="J917" s="904" t="n">
        <x:v>1324.63</x:v>
      </x:c>
      <x:c r="K917" s="901" t="n">
        <x:v>768370525</x:v>
      </x:c>
      <x:c r="L917" s="907" t="str">
        <x:v>SRC-P404</x:v>
      </x:c>
      <x:c r="M917" s="907" t="str">
        <x:v>VNStock API actual</x:v>
      </x:c>
      <x:c r="N917" s="1032" t="n">
        <x:v>46229.241747685184</x:v>
      </x:c>
    </x:row>
    <x:row r="918">
      <x:c r="A918" s="895" t="n">
        <x:v>45736</x:v>
      </x:c>
      <x:c r="B918" s="898" t="n">
        <x:v>56.43</x:v>
      </x:c>
      <x:c r="C918" s="898" t="n">
        <x:v>56.43</x:v>
      </x:c>
      <x:c r="D918" s="898" t="n">
        <x:v>55.02</x:v>
      </x:c>
      <x:c r="E918" s="898" t="n">
        <x:v>55.87</x:v>
      </x:c>
      <x:c r="F918" s="901" t="n">
        <x:v>879020</x:v>
      </x:c>
      <x:c r="G918" s="904" t="n">
        <x:v>1326.8</x:v>
      </x:c>
      <x:c r="H918" s="904" t="n">
        <x:v>1332.41</x:v>
      </x:c>
      <x:c r="I918" s="904" t="n">
        <x:v>1316.11</x:v>
      </x:c>
      <x:c r="J918" s="904" t="n">
        <x:v>1323.93</x:v>
      </x:c>
      <x:c r="K918" s="901" t="n">
        <x:v>783924251</x:v>
      </x:c>
      <x:c r="L918" s="907" t="str">
        <x:v>SRC-P404</x:v>
      </x:c>
      <x:c r="M918" s="907" t="str">
        <x:v>VNStock API actual</x:v>
      </x:c>
      <x:c r="N918" s="1032" t="n">
        <x:v>46229.241747685184</x:v>
      </x:c>
    </x:row>
    <x:row r="919">
      <x:c r="A919" s="895" t="n">
        <x:v>45737</x:v>
      </x:c>
      <x:c r="B919" s="898" t="n">
        <x:v>55.77</x:v>
      </x:c>
      <x:c r="C919" s="898" t="n">
        <x:v>55.87</x:v>
      </x:c>
      <x:c r="D919" s="898" t="n">
        <x:v>55.21</x:v>
      </x:c>
      <x:c r="E919" s="898" t="n">
        <x:v>55.87</x:v>
      </x:c>
      <x:c r="F919" s="901" t="n">
        <x:v>598144</x:v>
      </x:c>
      <x:c r="G919" s="904" t="n">
        <x:v>1324</x:v>
      </x:c>
      <x:c r="H919" s="904" t="n">
        <x:v>1325.22</x:v>
      </x:c>
      <x:c r="I919" s="904" t="n">
        <x:v>1320.67</x:v>
      </x:c>
      <x:c r="J919" s="904" t="n">
        <x:v>1321.88</x:v>
      </x:c>
      <x:c r="K919" s="901" t="n">
        <x:v>673776859</x:v>
      </x:c>
      <x:c r="L919" s="907" t="str">
        <x:v>SRC-P404</x:v>
      </x:c>
      <x:c r="M919" s="907" t="str">
        <x:v>VNStock API actual</x:v>
      </x:c>
      <x:c r="N919" s="1032" t="n">
        <x:v>46229.241747685184</x:v>
      </x:c>
    </x:row>
    <x:row r="920">
      <x:c r="A920" s="895" t="n">
        <x:v>45740</x:v>
      </x:c>
      <x:c r="B920" s="898" t="n">
        <x:v>55.49</x:v>
      </x:c>
      <x:c r="C920" s="898" t="n">
        <x:v>55.77</x:v>
      </x:c>
      <x:c r="D920" s="898" t="n">
        <x:v>54.64</x:v>
      </x:c>
      <x:c r="E920" s="898" t="n">
        <x:v>55.49</x:v>
      </x:c>
      <x:c r="F920" s="901" t="n">
        <x:v>1095721</x:v>
      </x:c>
      <x:c r="G920" s="904" t="n">
        <x:v>1322.9</x:v>
      </x:c>
      <x:c r="H920" s="904" t="n">
        <x:v>1330.32</x:v>
      </x:c>
      <x:c r="I920" s="904" t="n">
        <x:v>1316.73</x:v>
      </x:c>
      <x:c r="J920" s="904" t="n">
        <x:v>1330.32</x:v>
      </x:c>
      <x:c r="K920" s="901" t="n">
        <x:v>737479570</x:v>
      </x:c>
      <x:c r="L920" s="907" t="str">
        <x:v>SRC-P404</x:v>
      </x:c>
      <x:c r="M920" s="907" t="str">
        <x:v>VNStock API actual</x:v>
      </x:c>
      <x:c r="N920" s="1032" t="n">
        <x:v>46229.241747685184</x:v>
      </x:c>
    </x:row>
    <x:row r="921">
      <x:c r="A921" s="895" t="n">
        <x:v>45741</x:v>
      </x:c>
      <x:c r="B921" s="898" t="n">
        <x:v>55.4</x:v>
      </x:c>
      <x:c r="C921" s="898" t="n">
        <x:v>55.4</x:v>
      </x:c>
      <x:c r="D921" s="898" t="n">
        <x:v>54.74</x:v>
      </x:c>
      <x:c r="E921" s="898" t="n">
        <x:v>54.83</x:v>
      </x:c>
      <x:c r="F921" s="901" t="n">
        <x:v>1243265</x:v>
      </x:c>
      <x:c r="G921" s="904" t="n">
        <x:v>1335.29</x:v>
      </x:c>
      <x:c r="H921" s="904" t="n">
        <x:v>1337.6</x:v>
      </x:c>
      <x:c r="I921" s="904" t="n">
        <x:v>1329.81</x:v>
      </x:c>
      <x:c r="J921" s="904" t="n">
        <x:v>1331.92</x:v>
      </x:c>
      <x:c r="K921" s="901" t="n">
        <x:v>772470386</x:v>
      </x:c>
      <x:c r="L921" s="907" t="str">
        <x:v>SRC-P404</x:v>
      </x:c>
      <x:c r="M921" s="907" t="str">
        <x:v>VNStock API actual</x:v>
      </x:c>
      <x:c r="N921" s="1032" t="n">
        <x:v>46229.241747685184</x:v>
      </x:c>
    </x:row>
    <x:row r="922">
      <x:c r="A922" s="895" t="n">
        <x:v>45742</x:v>
      </x:c>
      <x:c r="B922" s="898" t="n">
        <x:v>55.3</x:v>
      </x:c>
      <x:c r="C922" s="898" t="n">
        <x:v>55.3</x:v>
      </x:c>
      <x:c r="D922" s="898" t="n">
        <x:v>54.74</x:v>
      </x:c>
      <x:c r="E922" s="898" t="n">
        <x:v>55.21</x:v>
      </x:c>
      <x:c r="F922" s="901" t="n">
        <x:v>623721</x:v>
      </x:c>
      <x:c r="G922" s="904" t="n">
        <x:v>1333.33</x:v>
      </x:c>
      <x:c r="H922" s="904" t="n">
        <x:v>1338.55</x:v>
      </x:c>
      <x:c r="I922" s="904" t="n">
        <x:v>1323.69</x:v>
      </x:c>
      <x:c r="J922" s="904" t="n">
        <x:v>1326.09</x:v>
      </x:c>
      <x:c r="K922" s="901" t="n">
        <x:v>672071249</x:v>
      </x:c>
      <x:c r="L922" s="907" t="str">
        <x:v>SRC-P404</x:v>
      </x:c>
      <x:c r="M922" s="907" t="str">
        <x:v>VNStock API actual</x:v>
      </x:c>
      <x:c r="N922" s="1032" t="n">
        <x:v>46229.241747685184</x:v>
      </x:c>
    </x:row>
    <x:row r="923">
      <x:c r="A923" s="895" t="n">
        <x:v>45743</x:v>
      </x:c>
      <x:c r="B923" s="898" t="n">
        <x:v>55.21</x:v>
      </x:c>
      <x:c r="C923" s="898" t="n">
        <x:v>55.21</x:v>
      </x:c>
      <x:c r="D923" s="898" t="n">
        <x:v>54.55</x:v>
      </x:c>
      <x:c r="E923" s="898" t="n">
        <x:v>54.64</x:v>
      </x:c>
      <x:c r="F923" s="901" t="n">
        <x:v>596763</x:v>
      </x:c>
      <x:c r="G923" s="904" t="n">
        <x:v>1325.98</x:v>
      </x:c>
      <x:c r="H923" s="904" t="n">
        <x:v>1328.82</x:v>
      </x:c>
      <x:c r="I923" s="904" t="n">
        <x:v>1323.01</x:v>
      </x:c>
      <x:c r="J923" s="904" t="n">
        <x:v>1323.81</x:v>
      </x:c>
      <x:c r="K923" s="901" t="n">
        <x:v>522142993</x:v>
      </x:c>
      <x:c r="L923" s="907" t="str">
        <x:v>SRC-P404</x:v>
      </x:c>
      <x:c r="M923" s="907" t="str">
        <x:v>VNStock API actual</x:v>
      </x:c>
      <x:c r="N923" s="1032" t="n">
        <x:v>46229.241747685184</x:v>
      </x:c>
    </x:row>
    <x:row r="924">
      <x:c r="A924" s="895" t="n">
        <x:v>45744</x:v>
      </x:c>
      <x:c r="B924" s="898" t="n">
        <x:v>54.55</x:v>
      </x:c>
      <x:c r="C924" s="898" t="n">
        <x:v>55.11</x:v>
      </x:c>
      <x:c r="D924" s="898" t="n">
        <x:v>54.55</x:v>
      </x:c>
      <x:c r="E924" s="898" t="n">
        <x:v>54.55</x:v>
      </x:c>
      <x:c r="F924" s="901" t="n">
        <x:v>975160</x:v>
      </x:c>
      <x:c r="G924" s="904" t="n">
        <x:v>1324.42</x:v>
      </x:c>
      <x:c r="H924" s="904" t="n">
        <x:v>1325.34</x:v>
      </x:c>
      <x:c r="I924" s="904" t="n">
        <x:v>1315.72</x:v>
      </x:c>
      <x:c r="J924" s="904" t="n">
        <x:v>1317.46</x:v>
      </x:c>
      <x:c r="K924" s="901" t="n">
        <x:v>601970197</x:v>
      </x:c>
      <x:c r="L924" s="907" t="str">
        <x:v>SRC-P404</x:v>
      </x:c>
      <x:c r="M924" s="907" t="str">
        <x:v>VNStock API actual</x:v>
      </x:c>
      <x:c r="N924" s="1032" t="n">
        <x:v>46229.241747685184</x:v>
      </x:c>
    </x:row>
    <x:row r="925">
      <x:c r="A925" s="895" t="n">
        <x:v>45747</x:v>
      </x:c>
      <x:c r="B925" s="898" t="n">
        <x:v>54.55</x:v>
      </x:c>
      <x:c r="C925" s="898" t="n">
        <x:v>54.74</x:v>
      </x:c>
      <x:c r="D925" s="898" t="n">
        <x:v>53.51</x:v>
      </x:c>
      <x:c r="E925" s="898" t="n">
        <x:v>54.08</x:v>
      </x:c>
      <x:c r="F925" s="901" t="n">
        <x:v>1539481</x:v>
      </x:c>
      <x:c r="G925" s="904" t="n">
        <x:v>1313.51</x:v>
      </x:c>
      <x:c r="H925" s="904" t="n">
        <x:v>1314.09</x:v>
      </x:c>
      <x:c r="I925" s="904" t="n">
        <x:v>1304.1</x:v>
      </x:c>
      <x:c r="J925" s="904" t="n">
        <x:v>1306.86</x:v>
      </x:c>
      <x:c r="K925" s="901" t="n">
        <x:v>706353460</x:v>
      </x:c>
      <x:c r="L925" s="907" t="str">
        <x:v>SRC-P404</x:v>
      </x:c>
      <x:c r="M925" s="907" t="str">
        <x:v>VNStock API actual</x:v>
      </x:c>
      <x:c r="N925" s="1032" t="n">
        <x:v>46229.241747685184</x:v>
      </x:c>
    </x:row>
    <x:row r="926">
      <x:c r="A926" s="895" t="n">
        <x:v>45748</x:v>
      </x:c>
      <x:c r="B926" s="898" t="n">
        <x:v>54.08</x:v>
      </x:c>
      <x:c r="C926" s="898" t="n">
        <x:v>54.36</x:v>
      </x:c>
      <x:c r="D926" s="898" t="n">
        <x:v>53.42</x:v>
      </x:c>
      <x:c r="E926" s="898" t="n">
        <x:v>54.17</x:v>
      </x:c>
      <x:c r="F926" s="901" t="n">
        <x:v>1142433</x:v>
      </x:c>
      <x:c r="G926" s="904" t="n">
        <x:v>1313.03</x:v>
      </x:c>
      <x:c r="H926" s="904" t="n">
        <x:v>1317.46</x:v>
      </x:c>
      <x:c r="I926" s="904" t="n">
        <x:v>1308.06</x:v>
      </x:c>
      <x:c r="J926" s="904" t="n">
        <x:v>1317.33</x:v>
      </x:c>
      <x:c r="K926" s="901" t="n">
        <x:v>516351102</x:v>
      </x:c>
      <x:c r="L926" s="907" t="str">
        <x:v>SRC-P404</x:v>
      </x:c>
      <x:c r="M926" s="907" t="str">
        <x:v>VNStock API actual</x:v>
      </x:c>
      <x:c r="N926" s="1032" t="n">
        <x:v>46229.241747685184</x:v>
      </x:c>
    </x:row>
    <x:row r="927">
      <x:c r="A927" s="895" t="n">
        <x:v>45749</x:v>
      </x:c>
      <x:c r="B927" s="898" t="n">
        <x:v>54.17</x:v>
      </x:c>
      <x:c r="C927" s="898" t="n">
        <x:v>54.36</x:v>
      </x:c>
      <x:c r="D927" s="898" t="n">
        <x:v>52.2</x:v>
      </x:c>
      <x:c r="E927" s="898" t="n">
        <x:v>52.95</x:v>
      </x:c>
      <x:c r="F927" s="901" t="n">
        <x:v>2318623</x:v>
      </x:c>
      <x:c r="G927" s="904" t="n">
        <x:v>1321.53</x:v>
      </x:c>
      <x:c r="H927" s="904" t="n">
        <x:v>1324.46</x:v>
      </x:c>
      <x:c r="I927" s="904" t="n">
        <x:v>1317.68</x:v>
      </x:c>
      <x:c r="J927" s="904" t="n">
        <x:v>1317.83</x:v>
      </x:c>
      <x:c r="K927" s="901" t="n">
        <x:v>668744030</x:v>
      </x:c>
      <x:c r="L927" s="907" t="str">
        <x:v>SRC-P404</x:v>
      </x:c>
      <x:c r="M927" s="907" t="str">
        <x:v>VNStock API actual</x:v>
      </x:c>
      <x:c r="N927" s="1032" t="n">
        <x:v>46229.241747685184</x:v>
      </x:c>
    </x:row>
    <x:row r="928">
      <x:c r="A928" s="895" t="n">
        <x:v>45750</x:v>
      </x:c>
      <x:c r="B928" s="898" t="n">
        <x:v>49.28</x:v>
      </x:c>
      <x:c r="C928" s="898" t="n">
        <x:v>51.54</x:v>
      </x:c>
      <x:c r="D928" s="898" t="n">
        <x:v>49.28</x:v>
      </x:c>
      <x:c r="E928" s="898" t="n">
        <x:v>49.28</x:v>
      </x:c>
      <x:c r="F928" s="901" t="n">
        <x:v>1741398</x:v>
      </x:c>
      <x:c r="G928" s="904" t="n">
        <x:v>1272.87</x:v>
      </x:c>
      <x:c r="H928" s="904" t="n">
        <x:v>1277.9</x:v>
      </x:c>
      <x:c r="I928" s="904" t="n">
        <x:v>1229.41</x:v>
      </x:c>
      <x:c r="J928" s="904" t="n">
        <x:v>1229.84</x:v>
      </x:c>
      <x:c r="K928" s="901" t="n">
        <x:v>1594166624</x:v>
      </x:c>
      <x:c r="L928" s="907" t="str">
        <x:v>SRC-P404</x:v>
      </x:c>
      <x:c r="M928" s="907" t="str">
        <x:v>VNStock API actual</x:v>
      </x:c>
      <x:c r="N928" s="1032" t="n">
        <x:v>46229.241747685184</x:v>
      </x:c>
    </x:row>
    <x:row r="929">
      <x:c r="A929" s="895" t="n">
        <x:v>45751</x:v>
      </x:c>
      <x:c r="B929" s="898" t="n">
        <x:v>45.85</x:v>
      </x:c>
      <x:c r="C929" s="898" t="n">
        <x:v>45.85</x:v>
      </x:c>
      <x:c r="D929" s="898" t="n">
        <x:v>45.85</x:v>
      </x:c>
      <x:c r="E929" s="898" t="n">
        <x:v>45.85</x:v>
      </x:c>
      <x:c r="F929" s="901" t="n">
        <x:v>546378</x:v>
      </x:c>
      <x:c r="G929" s="904" t="n">
        <x:v>1159.33</x:v>
      </x:c>
      <x:c r="H929" s="904" t="n">
        <x:v>1210.67</x:v>
      </x:c>
      <x:c r="I929" s="904" t="n">
        <x:v>1158.17</x:v>
      </x:c>
      <x:c r="J929" s="904" t="n">
        <x:v>1210.67</x:v>
      </x:c>
      <x:c r="K929" s="901" t="n">
        <x:v>1777882039</x:v>
      </x:c>
      <x:c r="L929" s="907" t="str">
        <x:v>SRC-P404</x:v>
      </x:c>
      <x:c r="M929" s="907" t="str">
        <x:v>VNStock API actual</x:v>
      </x:c>
      <x:c r="N929" s="1032" t="n">
        <x:v>46229.241747685184</x:v>
      </x:c>
    </x:row>
    <x:row r="930">
      <x:c r="A930" s="895" t="n">
        <x:v>45755</x:v>
      </x:c>
      <x:c r="B930" s="898" t="n">
        <x:v>42.65</x:v>
      </x:c>
      <x:c r="C930" s="898" t="n">
        <x:v>43.59</x:v>
      </x:c>
      <x:c r="D930" s="898" t="n">
        <x:v>42.65</x:v>
      </x:c>
      <x:c r="E930" s="898" t="n">
        <x:v>42.65</x:v>
      </x:c>
      <x:c r="F930" s="901" t="n">
        <x:v>1289373</x:v>
      </x:c>
      <x:c r="G930" s="904" t="n">
        <x:v>1173.14</x:v>
      </x:c>
      <x:c r="H930" s="904" t="n">
        <x:v>1174.4</x:v>
      </x:c>
      <x:c r="I930" s="904" t="n">
        <x:v>1130.98</x:v>
      </x:c>
      <x:c r="J930" s="904" t="n">
        <x:v>1132.79</x:v>
      </x:c>
      <x:c r="K930" s="901" t="n">
        <x:v>989102100</x:v>
      </x:c>
      <x:c r="L930" s="907" t="str">
        <x:v>SRC-P404</x:v>
      </x:c>
      <x:c r="M930" s="907" t="str">
        <x:v>VNStock API actual</x:v>
      </x:c>
      <x:c r="N930" s="1032" t="n">
        <x:v>46229.241747685184</x:v>
      </x:c>
    </x:row>
    <x:row r="931">
      <x:c r="A931" s="895" t="n">
        <x:v>45756</x:v>
      </x:c>
      <x:c r="B931" s="898" t="n">
        <x:v>39.69</x:v>
      </x:c>
      <x:c r="C931" s="898" t="n">
        <x:v>39.69</x:v>
      </x:c>
      <x:c r="D931" s="898" t="n">
        <x:v>39.69</x:v>
      </x:c>
      <x:c r="E931" s="898" t="n">
        <x:v>39.69</x:v>
      </x:c>
      <x:c r="F931" s="901" t="n">
        <x:v>686598</x:v>
      </x:c>
      <x:c r="G931" s="904" t="n">
        <x:v>1073.61</x:v>
      </x:c>
      <x:c r="H931" s="904" t="n">
        <x:v>1141.35</x:v>
      </x:c>
      <x:c r="I931" s="904" t="n">
        <x:v>1073.61</x:v>
      </x:c>
      <x:c r="J931" s="904" t="n">
        <x:v>1094.3</x:v>
      </x:c>
      <x:c r="K931" s="901" t="n">
        <x:v>1464120095</x:v>
      </x:c>
      <x:c r="L931" s="907" t="str">
        <x:v>SRC-P404</x:v>
      </x:c>
      <x:c r="M931" s="907" t="str">
        <x:v>VNStock API actual</x:v>
      </x:c>
      <x:c r="N931" s="1032" t="n">
        <x:v>46229.241747685184</x:v>
      </x:c>
    </x:row>
    <x:row r="932">
      <x:c r="A932" s="895" t="n">
        <x:v>45757</x:v>
      </x:c>
      <x:c r="B932" s="898" t="n">
        <x:v>42.46</x:v>
      </x:c>
      <x:c r="C932" s="898" t="n">
        <x:v>42.46</x:v>
      </x:c>
      <x:c r="D932" s="898" t="n">
        <x:v>42.46</x:v>
      </x:c>
      <x:c r="E932" s="898" t="n">
        <x:v>42.46</x:v>
      </x:c>
      <x:c r="F932" s="901" t="n">
        <x:v>1472071</x:v>
      </x:c>
      <x:c r="G932" s="904" t="n">
        <x:v>1166.09</x:v>
      </x:c>
      <x:c r="H932" s="904" t="n">
        <x:v>1168.4</x:v>
      </x:c>
      <x:c r="I932" s="904" t="n">
        <x:v>1165.86</x:v>
      </x:c>
      <x:c r="J932" s="904" t="n">
        <x:v>1168.34</x:v>
      </x:c>
      <x:c r="K932" s="901" t="n">
        <x:v>215166632</x:v>
      </x:c>
      <x:c r="L932" s="907" t="str">
        <x:v>SRC-P404</x:v>
      </x:c>
      <x:c r="M932" s="907" t="str">
        <x:v>VNStock API actual</x:v>
      </x:c>
      <x:c r="N932" s="1032" t="n">
        <x:v>46229.241747685184</x:v>
      </x:c>
    </x:row>
    <x:row r="933">
      <x:c r="A933" s="895" t="n">
        <x:v>45758</x:v>
      </x:c>
      <x:c r="B933" s="898" t="n">
        <x:v>45.14</x:v>
      </x:c>
      <x:c r="C933" s="898" t="n">
        <x:v>45.14</x:v>
      </x:c>
      <x:c r="D933" s="898" t="n">
        <x:v>40.54</x:v>
      </x:c>
      <x:c r="E933" s="898" t="n">
        <x:v>43.26</x:v>
      </x:c>
      <x:c r="F933" s="901" t="n">
        <x:v>5779629</x:v>
      </x:c>
      <x:c r="G933" s="904" t="n">
        <x:v>1185.86</x:v>
      </x:c>
      <x:c r="H933" s="904" t="n">
        <x:v>1222.46</x:v>
      </x:c>
      <x:c r="I933" s="904" t="n">
        <x:v>1180.59</x:v>
      </x:c>
      <x:c r="J933" s="904" t="n">
        <x:v>1222.46</x:v>
      </x:c>
      <x:c r="K933" s="901" t="n">
        <x:v>1617665830</x:v>
      </x:c>
      <x:c r="L933" s="907" t="str">
        <x:v>SRC-P404</x:v>
      </x:c>
      <x:c r="M933" s="907" t="str">
        <x:v>VNStock API actual</x:v>
      </x:c>
      <x:c r="N933" s="1032" t="n">
        <x:v>46229.241747685184</x:v>
      </x:c>
    </x:row>
    <x:row r="934">
      <x:c r="A934" s="895" t="n">
        <x:v>45761</x:v>
      </x:c>
      <x:c r="B934" s="898" t="n">
        <x:v>43.83</x:v>
      </x:c>
      <x:c r="C934" s="898" t="n">
        <x:v>45.61</x:v>
      </x:c>
      <x:c r="D934" s="898" t="n">
        <x:v>43.12</x:v>
      </x:c>
      <x:c r="E934" s="898" t="n">
        <x:v>43.59</x:v>
      </x:c>
      <x:c r="F934" s="901" t="n">
        <x:v>4791281</x:v>
      </x:c>
      <x:c r="G934" s="904" t="n">
        <x:v>1235.01</x:v>
      </x:c>
      <x:c r="H934" s="904" t="n">
        <x:v>1242.94</x:v>
      </x:c>
      <x:c r="I934" s="904" t="n">
        <x:v>1226.06</x:v>
      </x:c>
      <x:c r="J934" s="904" t="n">
        <x:v>1241.44</x:v>
      </x:c>
      <x:c r="K934" s="901" t="n">
        <x:v>913684312</x:v>
      </x:c>
      <x:c r="L934" s="907" t="str">
        <x:v>SRC-P404</x:v>
      </x:c>
      <x:c r="M934" s="907" t="str">
        <x:v>VNStock API actual</x:v>
      </x:c>
      <x:c r="N934" s="1032" t="n">
        <x:v>46229.241747685184</x:v>
      </x:c>
    </x:row>
    <x:row r="935">
      <x:c r="A935" s="895" t="n">
        <x:v>45762</x:v>
      </x:c>
      <x:c r="B935" s="898" t="n">
        <x:v>43.55</x:v>
      </x:c>
      <x:c r="C935" s="898" t="n">
        <x:v>44.58</x:v>
      </x:c>
      <x:c r="D935" s="898" t="n">
        <x:v>40.58</x:v>
      </x:c>
      <x:c r="E935" s="898" t="n">
        <x:v>43.17</x:v>
      </x:c>
      <x:c r="F935" s="901" t="n">
        <x:v>4947022</x:v>
      </x:c>
      <x:c r="G935" s="904" t="n">
        <x:v>1232.64</x:v>
      </x:c>
      <x:c r="H935" s="904" t="n">
        <x:v>1246.21</x:v>
      </x:c>
      <x:c r="I935" s="904" t="n">
        <x:v>1221.75</x:v>
      </x:c>
      <x:c r="J935" s="904" t="n">
        <x:v>1227.79</x:v>
      </x:c>
      <x:c r="K935" s="901" t="n">
        <x:v>939049220</x:v>
      </x:c>
      <x:c r="L935" s="907" t="str">
        <x:v>SRC-P404</x:v>
      </x:c>
      <x:c r="M935" s="907" t="str">
        <x:v>VNStock API actual</x:v>
      </x:c>
      <x:c r="N935" s="1032" t="n">
        <x:v>46229.241747685184</x:v>
      </x:c>
    </x:row>
    <x:row r="936">
      <x:c r="A936" s="895" t="n">
        <x:v>45763</x:v>
      </x:c>
      <x:c r="B936" s="898" t="n">
        <x:v>42.37</x:v>
      </x:c>
      <x:c r="C936" s="898" t="n">
        <x:v>43.03</x:v>
      </x:c>
      <x:c r="D936" s="898" t="n">
        <x:v>40.44</x:v>
      </x:c>
      <x:c r="E936" s="898" t="n">
        <x:v>40.44</x:v>
      </x:c>
      <x:c r="F936" s="901" t="n">
        <x:v>3457329</x:v>
      </x:c>
      <x:c r="G936" s="904" t="n">
        <x:v>1225.29</x:v>
      </x:c>
      <x:c r="H936" s="904" t="n">
        <x:v>1233.84</x:v>
      </x:c>
      <x:c r="I936" s="904" t="n">
        <x:v>1205.93</x:v>
      </x:c>
      <x:c r="J936" s="904" t="n">
        <x:v>1210.3</x:v>
      </x:c>
      <x:c r="K936" s="901" t="n">
        <x:v>713035992</x:v>
      </x:c>
      <x:c r="L936" s="907" t="str">
        <x:v>SRC-P404</x:v>
      </x:c>
      <x:c r="M936" s="907" t="str">
        <x:v>VNStock API actual</x:v>
      </x:c>
      <x:c r="N936" s="1032" t="n">
        <x:v>46229.241747685184</x:v>
      </x:c>
    </x:row>
    <x:row r="937">
      <x:c r="A937" s="895" t="n">
        <x:v>45764</x:v>
      </x:c>
      <x:c r="B937" s="898" t="n">
        <x:v>40.91</x:v>
      </x:c>
      <x:c r="C937" s="898" t="n">
        <x:v>43.26</x:v>
      </x:c>
      <x:c r="D937" s="898" t="n">
        <x:v>40.82</x:v>
      </x:c>
      <x:c r="E937" s="898" t="n">
        <x:v>43.26</x:v>
      </x:c>
      <x:c r="F937" s="901" t="n">
        <x:v>5668807</x:v>
      </x:c>
      <x:c r="G937" s="904" t="n">
        <x:v>1201.63</x:v>
      </x:c>
      <x:c r="H937" s="904" t="n">
        <x:v>1217.25</x:v>
      </x:c>
      <x:c r="I937" s="904" t="n">
        <x:v>1197.5</x:v>
      </x:c>
      <x:c r="J937" s="904" t="n">
        <x:v>1217.25</x:v>
      </x:c>
      <x:c r="K937" s="901" t="n">
        <x:v>657997453</x:v>
      </x:c>
      <x:c r="L937" s="907" t="str">
        <x:v>SRC-P404</x:v>
      </x:c>
      <x:c r="M937" s="907" t="str">
        <x:v>VNStock API actual</x:v>
      </x:c>
      <x:c r="N937" s="1032" t="n">
        <x:v>46229.241747685184</x:v>
      </x:c>
    </x:row>
    <x:row r="938">
      <x:c r="A938" s="895" t="n">
        <x:v>45765</x:v>
      </x:c>
      <x:c r="B938" s="898" t="n">
        <x:v>44.49</x:v>
      </x:c>
      <x:c r="C938" s="898" t="n">
        <x:v>46.27</x:v>
      </x:c>
      <x:c r="D938" s="898" t="n">
        <x:v>44.2</x:v>
      </x:c>
      <x:c r="E938" s="898" t="n">
        <x:v>45.76</x:v>
      </x:c>
      <x:c r="F938" s="901" t="n">
        <x:v>4313857</x:v>
      </x:c>
      <x:c r="G938" s="904" t="n">
        <x:v>1228.37</x:v>
      </x:c>
      <x:c r="H938" s="904" t="n">
        <x:v>1234.67</x:v>
      </x:c>
      <x:c r="I938" s="904" t="n">
        <x:v>1219.12</x:v>
      </x:c>
      <x:c r="J938" s="904" t="n">
        <x:v>1219.12</x:v>
      </x:c>
      <x:c r="K938" s="901" t="n">
        <x:v>977508165</x:v>
      </x:c>
      <x:c r="L938" s="907" t="str">
        <x:v>SRC-P404</x:v>
      </x:c>
      <x:c r="M938" s="907" t="str">
        <x:v>VNStock API actual</x:v>
      </x:c>
      <x:c r="N938" s="1032" t="n">
        <x:v>46229.241747685184</x:v>
      </x:c>
    </x:row>
    <x:row r="939">
      <x:c r="A939" s="895" t="n">
        <x:v>45768</x:v>
      </x:c>
      <x:c r="B939" s="898" t="n">
        <x:v>45.76</x:v>
      </x:c>
      <x:c r="C939" s="898" t="n">
        <x:v>45.76</x:v>
      </x:c>
      <x:c r="D939" s="898" t="n">
        <x:v>44.2</x:v>
      </x:c>
      <x:c r="E939" s="898" t="n">
        <x:v>44.86</x:v>
      </x:c>
      <x:c r="F939" s="901" t="n">
        <x:v>2773255</x:v>
      </x:c>
      <x:c r="G939" s="904" t="n">
        <x:v>1220.38</x:v>
      </x:c>
      <x:c r="H939" s="904" t="n">
        <x:v>1222.77</x:v>
      </x:c>
      <x:c r="I939" s="904" t="n">
        <x:v>1201.63</x:v>
      </x:c>
      <x:c r="J939" s="904" t="n">
        <x:v>1207.07</x:v>
      </x:c>
      <x:c r="K939" s="901" t="n">
        <x:v>771247128</x:v>
      </x:c>
      <x:c r="L939" s="907" t="str">
        <x:v>SRC-P404</x:v>
      </x:c>
      <x:c r="M939" s="907" t="str">
        <x:v>VNStock API actual</x:v>
      </x:c>
      <x:c r="N939" s="1032" t="n">
        <x:v>46229.241747685184</x:v>
      </x:c>
    </x:row>
    <x:row r="940">
      <x:c r="A940" s="895" t="n">
        <x:v>45769</x:v>
      </x:c>
      <x:c r="B940" s="898" t="n">
        <x:v>44.49</x:v>
      </x:c>
      <x:c r="C940" s="898" t="n">
        <x:v>44.49</x:v>
      </x:c>
      <x:c r="D940" s="898" t="n">
        <x:v>41.76</x:v>
      </x:c>
      <x:c r="E940" s="898" t="n">
        <x:v>44.02</x:v>
      </x:c>
      <x:c r="F940" s="901" t="n">
        <x:v>4435303</x:v>
      </x:c>
      <x:c r="G940" s="904" t="n">
        <x:v>1201.38</x:v>
      </x:c>
      <x:c r="H940" s="904" t="n">
        <x:v>1203.82</x:v>
      </x:c>
      <x:c r="I940" s="904" t="n">
        <x:v>1136.98</x:v>
      </x:c>
      <x:c r="J940" s="904" t="n">
        <x:v>1197.13</x:v>
      </x:c>
      <x:c r="K940" s="901" t="n">
        <x:v>1551077089</x:v>
      </x:c>
      <x:c r="L940" s="907" t="str">
        <x:v>SRC-P404</x:v>
      </x:c>
      <x:c r="M940" s="907" t="str">
        <x:v>VNStock API actual</x:v>
      </x:c>
      <x:c r="N940" s="1032" t="n">
        <x:v>46229.241747685184</x:v>
      </x:c>
    </x:row>
    <x:row r="941">
      <x:c r="A941" s="895" t="n">
        <x:v>45770</x:v>
      </x:c>
      <x:c r="B941" s="898" t="n">
        <x:v>44.49</x:v>
      </x:c>
      <x:c r="C941" s="898" t="n">
        <x:v>45.9</x:v>
      </x:c>
      <x:c r="D941" s="898" t="n">
        <x:v>44.2</x:v>
      </x:c>
      <x:c r="E941" s="898" t="n">
        <x:v>44.2</x:v>
      </x:c>
      <x:c r="F941" s="901" t="n">
        <x:v>3096764</x:v>
      </x:c>
      <x:c r="G941" s="904" t="n">
        <x:v>1215.65</x:v>
      </x:c>
      <x:c r="H941" s="904" t="n">
        <x:v>1216.28</x:v>
      </x:c>
      <x:c r="I941" s="904" t="n">
        <x:v>1202.27</x:v>
      </x:c>
      <x:c r="J941" s="904" t="n">
        <x:v>1211</x:v>
      </x:c>
      <x:c r="K941" s="901" t="n">
        <x:v>732740068</x:v>
      </x:c>
      <x:c r="L941" s="907" t="str">
        <x:v>SRC-P404</x:v>
      </x:c>
      <x:c r="M941" s="907" t="str">
        <x:v>VNStock API actual</x:v>
      </x:c>
      <x:c r="N941" s="1032" t="n">
        <x:v>46229.241747685184</x:v>
      </x:c>
    </x:row>
    <x:row r="942">
      <x:c r="A942" s="895" t="n">
        <x:v>45771</x:v>
      </x:c>
      <x:c r="B942" s="898" t="n">
        <x:v>44.2</x:v>
      </x:c>
      <x:c r="C942" s="898" t="n">
        <x:v>46.08</x:v>
      </x:c>
      <x:c r="D942" s="898" t="n">
        <x:v>44.2</x:v>
      </x:c>
      <x:c r="E942" s="898" t="n">
        <x:v>46.08</x:v>
      </x:c>
      <x:c r="F942" s="901" t="n">
        <x:v>3417142</x:v>
      </x:c>
      <x:c r="G942" s="904" t="n">
        <x:v>1214.78</x:v>
      </x:c>
      <x:c r="H942" s="904" t="n">
        <x:v>1224.66</x:v>
      </x:c>
      <x:c r="I942" s="904" t="n">
        <x:v>1210.37</x:v>
      </x:c>
      <x:c r="J942" s="904" t="n">
        <x:v>1223.35</x:v>
      </x:c>
      <x:c r="K942" s="901" t="n">
        <x:v>700062627</x:v>
      </x:c>
      <x:c r="L942" s="907" t="str">
        <x:v>SRC-P404</x:v>
      </x:c>
      <x:c r="M942" s="907" t="str">
        <x:v>VNStock API actual</x:v>
      </x:c>
      <x:c r="N942" s="1032" t="n">
        <x:v>46229.241747685184</x:v>
      </x:c>
    </x:row>
    <x:row r="943">
      <x:c r="A943" s="895" t="n">
        <x:v>45772</x:v>
      </x:c>
      <x:c r="B943" s="898" t="n">
        <x:v>46.37</x:v>
      </x:c>
      <x:c r="C943" s="898" t="n">
        <x:v>47.97</x:v>
      </x:c>
      <x:c r="D943" s="898" t="n">
        <x:v>46.27</x:v>
      </x:c>
      <x:c r="E943" s="898" t="n">
        <x:v>47.97</x:v>
      </x:c>
      <x:c r="F943" s="901" t="n">
        <x:v>4354084</x:v>
      </x:c>
      <x:c r="G943" s="904" t="n">
        <x:v>1227.16</x:v>
      </x:c>
      <x:c r="H943" s="904" t="n">
        <x:v>1230.72</x:v>
      </x:c>
      <x:c r="I943" s="904" t="n">
        <x:v>1220.67</x:v>
      </x:c>
      <x:c r="J943" s="904" t="n">
        <x:v>1229.23</x:v>
      </x:c>
      <x:c r="K943" s="901" t="n">
        <x:v>747261510</x:v>
      </x:c>
      <x:c r="L943" s="907" t="str">
        <x:v>SRC-P404</x:v>
      </x:c>
      <x:c r="M943" s="907" t="str">
        <x:v>VNStock API actual</x:v>
      </x:c>
      <x:c r="N943" s="1032" t="n">
        <x:v>46229.241747685184</x:v>
      </x:c>
    </x:row>
    <x:row r="944">
      <x:c r="A944" s="895" t="n">
        <x:v>45775</x:v>
      </x:c>
      <x:c r="B944" s="898" t="n">
        <x:v>48.34</x:v>
      </x:c>
      <x:c r="C944" s="898" t="n">
        <x:v>48.34</x:v>
      </x:c>
      <x:c r="D944" s="898" t="n">
        <x:v>47.31</x:v>
      </x:c>
      <x:c r="E944" s="898" t="n">
        <x:v>47.97</x:v>
      </x:c>
      <x:c r="F944" s="901" t="n">
        <x:v>2297694</x:v>
      </x:c>
      <x:c r="G944" s="904" t="n">
        <x:v>1234.3</x:v>
      </x:c>
      <x:c r="H944" s="904" t="n">
        <x:v>1234.3</x:v>
      </x:c>
      <x:c r="I944" s="904" t="n">
        <x:v>1222.56</x:v>
      </x:c>
      <x:c r="J944" s="904" t="n">
        <x:v>1226.8</x:v>
      </x:c>
      <x:c r="K944" s="901" t="n">
        <x:v>542916481</x:v>
      </x:c>
      <x:c r="L944" s="907" t="str">
        <x:v>SRC-P404</x:v>
      </x:c>
      <x:c r="M944" s="907" t="str">
        <x:v>VNStock API actual</x:v>
      </x:c>
      <x:c r="N944" s="1032" t="n">
        <x:v>46229.241747685184</x:v>
      </x:c>
    </x:row>
    <x:row r="945">
      <x:c r="A945" s="895" t="n">
        <x:v>45776</x:v>
      </x:c>
      <x:c r="B945" s="898" t="n">
        <x:v>47.97</x:v>
      </x:c>
      <x:c r="C945" s="898" t="n">
        <x:v>50.22</x:v>
      </x:c>
      <x:c r="D945" s="898" t="n">
        <x:v>47.97</x:v>
      </x:c>
      <x:c r="E945" s="898" t="n">
        <x:v>49.85</x:v>
      </x:c>
      <x:c r="F945" s="901" t="n">
        <x:v>4561398</x:v>
      </x:c>
      <x:c r="G945" s="904" t="n">
        <x:v>1227.25</x:v>
      </x:c>
      <x:c r="H945" s="904" t="n">
        <x:v>1229.1</x:v>
      </x:c>
      <x:c r="I945" s="904" t="n">
        <x:v>1222.3</x:v>
      </x:c>
      <x:c r="J945" s="904" t="n">
        <x:v>1226.3</x:v>
      </x:c>
      <x:c r="K945" s="901" t="n">
        <x:v>523225174</x:v>
      </x:c>
      <x:c r="L945" s="907" t="str">
        <x:v>SRC-P404</x:v>
      </x:c>
      <x:c r="M945" s="907" t="str">
        <x:v>VNStock API actual</x:v>
      </x:c>
      <x:c r="N945" s="1032" t="n">
        <x:v>46229.241747685184</x:v>
      </x:c>
    </x:row>
    <x:row r="946">
      <x:c r="A946" s="895" t="n">
        <x:v>45782</x:v>
      </x:c>
      <x:c r="B946" s="898" t="n">
        <x:v>50.79</x:v>
      </x:c>
      <x:c r="C946" s="898" t="n">
        <x:v>52.57</x:v>
      </x:c>
      <x:c r="D946" s="898" t="n">
        <x:v>49.85</x:v>
      </x:c>
      <x:c r="E946" s="898" t="n">
        <x:v>51.26</x:v>
      </x:c>
      <x:c r="F946" s="901" t="n">
        <x:v>3399913</x:v>
      </x:c>
      <x:c r="G946" s="904" t="n">
        <x:v>1233.97</x:v>
      </x:c>
      <x:c r="H946" s="904" t="n">
        <x:v>1241.51</x:v>
      </x:c>
      <x:c r="I946" s="904" t="n">
        <x:v>1226.3</x:v>
      </x:c>
      <x:c r="J946" s="904" t="n">
        <x:v>1240.05</x:v>
      </x:c>
      <x:c r="K946" s="901" t="n">
        <x:v>562828082</x:v>
      </x:c>
      <x:c r="L946" s="907" t="str">
        <x:v>SRC-P404</x:v>
      </x:c>
      <x:c r="M946" s="907" t="str">
        <x:v>VNStock API actual</x:v>
      </x:c>
      <x:c r="N946" s="1032" t="n">
        <x:v>46229.241747685184</x:v>
      </x:c>
    </x:row>
    <x:row r="947">
      <x:c r="A947" s="895" t="n">
        <x:v>45783</x:v>
      </x:c>
      <x:c r="B947" s="898" t="n">
        <x:v>51.63</x:v>
      </x:c>
      <x:c r="C947" s="898" t="n">
        <x:v>51.63</x:v>
      </x:c>
      <x:c r="D947" s="898" t="n">
        <x:v>48.91</x:v>
      </x:c>
      <x:c r="E947" s="898" t="n">
        <x:v>50.04</x:v>
      </x:c>
      <x:c r="F947" s="901" t="n">
        <x:v>4315376</x:v>
      </x:c>
      <x:c r="G947" s="904" t="n">
        <x:v>1244.3</x:v>
      </x:c>
      <x:c r="H947" s="904" t="n">
        <x:v>1251.02</x:v>
      </x:c>
      <x:c r="I947" s="904" t="n">
        <x:v>1240.05</x:v>
      </x:c>
      <x:c r="J947" s="904" t="n">
        <x:v>1241.95</x:v>
      </x:c>
      <x:c r="K947" s="901" t="n">
        <x:v>723833572</x:v>
      </x:c>
      <x:c r="L947" s="907" t="str">
        <x:v>SRC-P404</x:v>
      </x:c>
      <x:c r="M947" s="907" t="str">
        <x:v>VNStock API actual</x:v>
      </x:c>
      <x:c r="N947" s="1032" t="n">
        <x:v>46229.241747685184</x:v>
      </x:c>
    </x:row>
    <x:row r="948">
      <x:c r="A948" s="895" t="n">
        <x:v>45784</x:v>
      </x:c>
      <x:c r="B948" s="898" t="n">
        <x:v>50.13</x:v>
      </x:c>
      <x:c r="C948" s="898" t="n">
        <x:v>50.41</x:v>
      </x:c>
      <x:c r="D948" s="898" t="n">
        <x:v>48.91</x:v>
      </x:c>
      <x:c r="E948" s="898" t="n">
        <x:v>48.91</x:v>
      </x:c>
      <x:c r="F948" s="901" t="n">
        <x:v>2524613</x:v>
      </x:c>
      <x:c r="G948" s="904" t="n">
        <x:v>1241.1</x:v>
      </x:c>
      <x:c r="H948" s="904" t="n">
        <x:v>1250.79</x:v>
      </x:c>
      <x:c r="I948" s="904" t="n">
        <x:v>1240.2</x:v>
      </x:c>
      <x:c r="J948" s="904" t="n">
        <x:v>1250.37</x:v>
      </x:c>
      <x:c r="K948" s="901" t="n">
        <x:v>696862360</x:v>
      </x:c>
      <x:c r="L948" s="907" t="str">
        <x:v>SRC-P404</x:v>
      </x:c>
      <x:c r="M948" s="907" t="str">
        <x:v>VNStock API actual</x:v>
      </x:c>
      <x:c r="N948" s="1032" t="n">
        <x:v>46229.241747685184</x:v>
      </x:c>
    </x:row>
    <x:row r="949">
      <x:c r="A949" s="895" t="n">
        <x:v>45785</x:v>
      </x:c>
      <x:c r="B949" s="898" t="n">
        <x:v>49.38</x:v>
      </x:c>
      <x:c r="C949" s="898" t="n">
        <x:v>50.22</x:v>
      </x:c>
      <x:c r="D949" s="898" t="n">
        <x:v>48.81</x:v>
      </x:c>
      <x:c r="E949" s="898" t="n">
        <x:v>49.38</x:v>
      </x:c>
      <x:c r="F949" s="901" t="n">
        <x:v>2820882</x:v>
      </x:c>
      <x:c r="G949" s="904" t="n">
        <x:v>1255.34</x:v>
      </x:c>
      <x:c r="H949" s="904" t="n">
        <x:v>1271.44</x:v>
      </x:c>
      <x:c r="I949" s="904" t="n">
        <x:v>1250.37</x:v>
      </x:c>
      <x:c r="J949" s="904" t="n">
        <x:v>1269.8</x:v>
      </x:c>
      <x:c r="K949" s="901" t="n">
        <x:v>780781448</x:v>
      </x:c>
      <x:c r="L949" s="907" t="str">
        <x:v>SRC-P404</x:v>
      </x:c>
      <x:c r="M949" s="907" t="str">
        <x:v>VNStock API actual</x:v>
      </x:c>
      <x:c r="N949" s="1032" t="n">
        <x:v>46229.241747685184</x:v>
      </x:c>
    </x:row>
    <x:row r="950">
      <x:c r="A950" s="895" t="n">
        <x:v>45786</x:v>
      </x:c>
      <x:c r="B950" s="898" t="n">
        <x:v>49.75</x:v>
      </x:c>
      <x:c r="C950" s="898" t="n">
        <x:v>50.13</x:v>
      </x:c>
      <x:c r="D950" s="898" t="n">
        <x:v>49.38</x:v>
      </x:c>
      <x:c r="E950" s="898" t="n">
        <x:v>49.85</x:v>
      </x:c>
      <x:c r="F950" s="901" t="n">
        <x:v>1625371</x:v>
      </x:c>
      <x:c r="G950" s="904" t="n">
        <x:v>1274.5</x:v>
      </x:c>
      <x:c r="H950" s="904" t="n">
        <x:v>1279.61</x:v>
      </x:c>
      <x:c r="I950" s="904" t="n">
        <x:v>1264.87</x:v>
      </x:c>
      <x:c r="J950" s="904" t="n">
        <x:v>1267.3</x:v>
      </x:c>
      <x:c r="K950" s="901" t="n">
        <x:v>696772993</x:v>
      </x:c>
      <x:c r="L950" s="907" t="str">
        <x:v>SRC-P404</x:v>
      </x:c>
      <x:c r="M950" s="907" t="str">
        <x:v>VNStock API actual</x:v>
      </x:c>
      <x:c r="N950" s="1032" t="n">
        <x:v>46229.241747685184</x:v>
      </x:c>
    </x:row>
    <x:row r="951">
      <x:c r="A951" s="895" t="n">
        <x:v>45789</x:v>
      </x:c>
      <x:c r="B951" s="898" t="n">
        <x:v>50.22</x:v>
      </x:c>
      <x:c r="C951" s="898" t="n">
        <x:v>50.69</x:v>
      </x:c>
      <x:c r="D951" s="898" t="n">
        <x:v>49.75</x:v>
      </x:c>
      <x:c r="E951" s="898" t="n">
        <x:v>50.69</x:v>
      </x:c>
      <x:c r="F951" s="901" t="n">
        <x:v>3743915</x:v>
      </x:c>
      <x:c r="G951" s="904" t="n">
        <x:v>1272.92</x:v>
      </x:c>
      <x:c r="H951" s="904" t="n">
        <x:v>1283.86</x:v>
      </x:c>
      <x:c r="I951" s="904" t="n">
        <x:v>1267.3</x:v>
      </x:c>
      <x:c r="J951" s="904" t="n">
        <x:v>1283.26</x:v>
      </x:c>
      <x:c r="K951" s="901" t="n">
        <x:v>833318839</x:v>
      </x:c>
      <x:c r="L951" s="907" t="str">
        <x:v>SRC-P404</x:v>
      </x:c>
      <x:c r="M951" s="907" t="str">
        <x:v>VNStock API actual</x:v>
      </x:c>
      <x:c r="N951" s="1032" t="n">
        <x:v>46229.241747685184</x:v>
      </x:c>
    </x:row>
    <x:row r="952">
      <x:c r="A952" s="895" t="n">
        <x:v>45790</x:v>
      </x:c>
      <x:c r="B952" s="898" t="n">
        <x:v>51.73</x:v>
      </x:c>
      <x:c r="C952" s="898" t="n">
        <x:v>52.67</x:v>
      </x:c>
      <x:c r="D952" s="898" t="n">
        <x:v>51.07</x:v>
      </x:c>
      <x:c r="E952" s="898" t="n">
        <x:v>52.57</x:v>
      </x:c>
      <x:c r="F952" s="901" t="n">
        <x:v>4292514</x:v>
      </x:c>
      <x:c r="G952" s="904" t="n">
        <x:v>1292.75</x:v>
      </x:c>
      <x:c r="H952" s="904" t="n">
        <x:v>1293.7</x:v>
      </x:c>
      <x:c r="I952" s="904" t="n">
        <x:v>1283.26</x:v>
      </x:c>
      <x:c r="J952" s="904" t="n">
        <x:v>1293.43</x:v>
      </x:c>
      <x:c r="K952" s="901" t="n">
        <x:v>884922281</x:v>
      </x:c>
      <x:c r="L952" s="907" t="str">
        <x:v>SRC-P404</x:v>
      </x:c>
      <x:c r="M952" s="907" t="str">
        <x:v>VNStock API actual</x:v>
      </x:c>
      <x:c r="N952" s="1032" t="n">
        <x:v>46229.241747685184</x:v>
      </x:c>
    </x:row>
    <x:row r="953">
      <x:c r="A953" s="895" t="n">
        <x:v>45791</x:v>
      </x:c>
      <x:c r="B953" s="898" t="n">
        <x:v>52.76</x:v>
      </x:c>
      <x:c r="C953" s="898" t="n">
        <x:v>53.42</x:v>
      </x:c>
      <x:c r="D953" s="898" t="n">
        <x:v>52.39</x:v>
      </x:c>
      <x:c r="E953" s="898" t="n">
        <x:v>52.48</x:v>
      </x:c>
      <x:c r="F953" s="901" t="n">
        <x:v>2540868</x:v>
      </x:c>
      <x:c r="G953" s="904" t="n">
        <x:v>1295.3</x:v>
      </x:c>
      <x:c r="H953" s="904" t="n">
        <x:v>1310.57</x:v>
      </x:c>
      <x:c r="I953" s="904" t="n">
        <x:v>1292.34</x:v>
      </x:c>
      <x:c r="J953" s="904" t="n">
        <x:v>1309.73</x:v>
      </x:c>
      <x:c r="K953" s="901" t="n">
        <x:v>917612165</x:v>
      </x:c>
      <x:c r="L953" s="907" t="str">
        <x:v>SRC-P404</x:v>
      </x:c>
      <x:c r="M953" s="907" t="str">
        <x:v>VNStock API actual</x:v>
      </x:c>
      <x:c r="N953" s="1032" t="n">
        <x:v>46229.241747685184</x:v>
      </x:c>
    </x:row>
    <x:row r="954">
      <x:c r="A954" s="895" t="n">
        <x:v>45792</x:v>
      </x:c>
      <x:c r="B954" s="898" t="n">
        <x:v>52.39</x:v>
      </x:c>
      <x:c r="C954" s="898" t="n">
        <x:v>52.39</x:v>
      </x:c>
      <x:c r="D954" s="898" t="n">
        <x:v>51.16</x:v>
      </x:c>
      <x:c r="E954" s="898" t="n">
        <x:v>51.92</x:v>
      </x:c>
      <x:c r="F954" s="901" t="n">
        <x:v>1970580</x:v>
      </x:c>
      <x:c r="G954" s="904" t="n">
        <x:v>1314.19</x:v>
      </x:c>
      <x:c r="H954" s="904" t="n">
        <x:v>1316.16</x:v>
      </x:c>
      <x:c r="I954" s="904" t="n">
        <x:v>1301.61</x:v>
      </x:c>
      <x:c r="J954" s="904" t="n">
        <x:v>1313.2</x:v>
      </x:c>
      <x:c r="K954" s="901" t="n">
        <x:v>1048494927</x:v>
      </x:c>
      <x:c r="L954" s="907" t="str">
        <x:v>SRC-P404</x:v>
      </x:c>
      <x:c r="M954" s="907" t="str">
        <x:v>VNStock API actual</x:v>
      </x:c>
      <x:c r="N954" s="1032" t="n">
        <x:v>46229.241747685184</x:v>
      </x:c>
    </x:row>
    <x:row r="955">
      <x:c r="A955" s="895" t="n">
        <x:v>45793</x:v>
      </x:c>
      <x:c r="B955" s="898" t="n">
        <x:v>51.54</x:v>
      </x:c>
      <x:c r="C955" s="898" t="n">
        <x:v>52.1</x:v>
      </x:c>
      <x:c r="D955" s="898" t="n">
        <x:v>50.69</x:v>
      </x:c>
      <x:c r="E955" s="898" t="n">
        <x:v>50.69</x:v>
      </x:c>
      <x:c r="F955" s="901" t="n">
        <x:v>2233912</x:v>
      </x:c>
      <x:c r="G955" s="904" t="n">
        <x:v>1314.25</x:v>
      </x:c>
      <x:c r="H955" s="904" t="n">
        <x:v>1318.03</x:v>
      </x:c>
      <x:c r="I955" s="904" t="n">
        <x:v>1299.55</x:v>
      </x:c>
      <x:c r="J955" s="904" t="n">
        <x:v>1301.39</x:v>
      </x:c>
      <x:c r="K955" s="901" t="n">
        <x:v>850785026</x:v>
      </x:c>
      <x:c r="L955" s="907" t="str">
        <x:v>SRC-P404</x:v>
      </x:c>
      <x:c r="M955" s="907" t="str">
        <x:v>VNStock API actual</x:v>
      </x:c>
      <x:c r="N955" s="1032" t="n">
        <x:v>46229.241747685184</x:v>
      </x:c>
    </x:row>
    <x:row r="956">
      <x:c r="A956" s="895" t="n">
        <x:v>45796</x:v>
      </x:c>
      <x:c r="B956" s="898" t="n">
        <x:v>50.32</x:v>
      </x:c>
      <x:c r="C956" s="898" t="n">
        <x:v>51.26</x:v>
      </x:c>
      <x:c r="D956" s="898" t="n">
        <x:v>50.04</x:v>
      </x:c>
      <x:c r="E956" s="898" t="n">
        <x:v>51.26</x:v>
      </x:c>
      <x:c r="F956" s="901" t="n">
        <x:v>1983670</x:v>
      </x:c>
      <x:c r="G956" s="904" t="n">
        <x:v>1293.61</x:v>
      </x:c>
      <x:c r="H956" s="904" t="n">
        <x:v>1306.2</x:v>
      </x:c>
      <x:c r="I956" s="904" t="n">
        <x:v>1291.66</x:v>
      </x:c>
      <x:c r="J956" s="904" t="n">
        <x:v>1296.29</x:v>
      </x:c>
      <x:c r="K956" s="901" t="n">
        <x:v>832210897</x:v>
      </x:c>
      <x:c r="L956" s="907" t="str">
        <x:v>SRC-P404</x:v>
      </x:c>
      <x:c r="M956" s="907" t="str">
        <x:v>VNStock API actual</x:v>
      </x:c>
      <x:c r="N956" s="1032" t="n">
        <x:v>46229.241747685184</x:v>
      </x:c>
    </x:row>
    <x:row r="957">
      <x:c r="A957" s="895" t="n">
        <x:v>45797</x:v>
      </x:c>
      <x:c r="B957" s="898" t="n">
        <x:v>50.79</x:v>
      </x:c>
      <x:c r="C957" s="898" t="n">
        <x:v>52.67</x:v>
      </x:c>
      <x:c r="D957" s="898" t="n">
        <x:v>50.69</x:v>
      </x:c>
      <x:c r="E957" s="898" t="n">
        <x:v>52.01</x:v>
      </x:c>
      <x:c r="F957" s="901" t="n">
        <x:v>2276269</x:v>
      </x:c>
      <x:c r="G957" s="904" t="n">
        <x:v>1298.62</x:v>
      </x:c>
      <x:c r="H957" s="904" t="n">
        <x:v>1316.67</x:v>
      </x:c>
      <x:c r="I957" s="904" t="n">
        <x:v>1296.29</x:v>
      </x:c>
      <x:c r="J957" s="904" t="n">
        <x:v>1315.15</x:v>
      </x:c>
      <x:c r="K957" s="901" t="n">
        <x:v>864044592</x:v>
      </x:c>
      <x:c r="L957" s="907" t="str">
        <x:v>SRC-P404</x:v>
      </x:c>
      <x:c r="M957" s="907" t="str">
        <x:v>VNStock API actual</x:v>
      </x:c>
      <x:c r="N957" s="1032" t="n">
        <x:v>46229.241747685184</x:v>
      </x:c>
    </x:row>
    <x:row r="958">
      <x:c r="A958" s="895" t="n">
        <x:v>45798</x:v>
      </x:c>
      <x:c r="B958" s="898" t="n">
        <x:v>52.1</x:v>
      </x:c>
      <x:c r="C958" s="898" t="n">
        <x:v>52.1</x:v>
      </x:c>
      <x:c r="D958" s="898" t="n">
        <x:v>50.6</x:v>
      </x:c>
      <x:c r="E958" s="898" t="n">
        <x:v>51.54</x:v>
      </x:c>
      <x:c r="F958" s="901" t="n">
        <x:v>1553859</x:v>
      </x:c>
      <x:c r="G958" s="904" t="n">
        <x:v>1329.83</x:v>
      </x:c>
      <x:c r="H958" s="904" t="n">
        <x:v>1331.6</x:v>
      </x:c>
      <x:c r="I958" s="904" t="n">
        <x:v>1313.13</x:v>
      </x:c>
      <x:c r="J958" s="904" t="n">
        <x:v>1323.05</x:v>
      </x:c>
      <x:c r="K958" s="901" t="n">
        <x:v>1000998104</x:v>
      </x:c>
      <x:c r="L958" s="907" t="str">
        <x:v>SRC-P404</x:v>
      </x:c>
      <x:c r="M958" s="907" t="str">
        <x:v>VNStock API actual</x:v>
      </x:c>
      <x:c r="N958" s="1032" t="n">
        <x:v>46229.241747685184</x:v>
      </x:c>
    </x:row>
    <x:row r="959">
      <x:c r="A959" s="895" t="n">
        <x:v>45799</x:v>
      </x:c>
      <x:c r="B959" s="898" t="n">
        <x:v>51.26</x:v>
      </x:c>
      <x:c r="C959" s="898" t="n">
        <x:v>51.26</x:v>
      </x:c>
      <x:c r="D959" s="898" t="n">
        <x:v>49.85</x:v>
      </x:c>
      <x:c r="E959" s="898" t="n">
        <x:v>49.94</x:v>
      </x:c>
      <x:c r="F959" s="901" t="n">
        <x:v>2695151</x:v>
      </x:c>
      <x:c r="G959" s="904" t="n">
        <x:v>1319.97</x:v>
      </x:c>
      <x:c r="H959" s="904" t="n">
        <x:v>1331.93</x:v>
      </x:c>
      <x:c r="I959" s="904" t="n">
        <x:v>1312.8</x:v>
      </x:c>
      <x:c r="J959" s="904" t="n">
        <x:v>1313.84</x:v>
      </x:c>
      <x:c r="K959" s="901" t="n">
        <x:v>1119988708</x:v>
      </x:c>
      <x:c r="L959" s="907" t="str">
        <x:v>SRC-P404</x:v>
      </x:c>
      <x:c r="M959" s="907" t="str">
        <x:v>VNStock API actual</x:v>
      </x:c>
      <x:c r="N959" s="1032" t="n">
        <x:v>46229.241747685184</x:v>
      </x:c>
    </x:row>
    <x:row r="960">
      <x:c r="A960" s="895" t="n">
        <x:v>45800</x:v>
      </x:c>
      <x:c r="B960" s="898" t="n">
        <x:v>49.85</x:v>
      </x:c>
      <x:c r="C960" s="898" t="n">
        <x:v>50.13</x:v>
      </x:c>
      <x:c r="D960" s="898" t="n">
        <x:v>49.19</x:v>
      </x:c>
      <x:c r="E960" s="898" t="n">
        <x:v>50.13</x:v>
      </x:c>
      <x:c r="F960" s="901" t="n">
        <x:v>1944107</x:v>
      </x:c>
      <x:c r="G960" s="904" t="n">
        <x:v>1313.93</x:v>
      </x:c>
      <x:c r="H960" s="904" t="n">
        <x:v>1320.07</x:v>
      </x:c>
      <x:c r="I960" s="904" t="n">
        <x:v>1308.62</x:v>
      </x:c>
      <x:c r="J960" s="904" t="n">
        <x:v>1314.46</x:v>
      </x:c>
      <x:c r="K960" s="901" t="n">
        <x:v>642508366</x:v>
      </x:c>
      <x:c r="L960" s="907" t="str">
        <x:v>SRC-P404</x:v>
      </x:c>
      <x:c r="M960" s="907" t="str">
        <x:v>VNStock API actual</x:v>
      </x:c>
      <x:c r="N960" s="1032" t="n">
        <x:v>46229.241747685184</x:v>
      </x:c>
    </x:row>
    <x:row r="961">
      <x:c r="A961" s="895" t="n">
        <x:v>45803</x:v>
      </x:c>
      <x:c r="B961" s="898" t="n">
        <x:v>50.13</x:v>
      </x:c>
      <x:c r="C961" s="898" t="n">
        <x:v>52.57</x:v>
      </x:c>
      <x:c r="D961" s="898" t="n">
        <x:v>49.47</x:v>
      </x:c>
      <x:c r="E961" s="898" t="n">
        <x:v>52.39</x:v>
      </x:c>
      <x:c r="F961" s="901" t="n">
        <x:v>3950513</x:v>
      </x:c>
      <x:c r="G961" s="904" t="n">
        <x:v>1317.08</x:v>
      </x:c>
      <x:c r="H961" s="904" t="n">
        <x:v>1332.51</x:v>
      </x:c>
      <x:c r="I961" s="904" t="n">
        <x:v>1288.86</x:v>
      </x:c>
      <x:c r="J961" s="904" t="n">
        <x:v>1332.51</x:v>
      </x:c>
      <x:c r="K961" s="901" t="n">
        <x:v>961305387</x:v>
      </x:c>
      <x:c r="L961" s="907" t="str">
        <x:v>SRC-P404</x:v>
      </x:c>
      <x:c r="M961" s="907" t="str">
        <x:v>VNStock API actual</x:v>
      </x:c>
      <x:c r="N961" s="1032" t="n">
        <x:v>46229.241747685184</x:v>
      </x:c>
    </x:row>
    <x:row r="962">
      <x:c r="A962" s="895" t="n">
        <x:v>45804</x:v>
      </x:c>
      <x:c r="B962" s="898" t="n">
        <x:v>52.67</x:v>
      </x:c>
      <x:c r="C962" s="898" t="n">
        <x:v>55.96</x:v>
      </x:c>
      <x:c r="D962" s="898" t="n">
        <x:v>52.67</x:v>
      </x:c>
      <x:c r="E962" s="898" t="n">
        <x:v>55.96</x:v>
      </x:c>
      <x:c r="F962" s="901" t="n">
        <x:v>6098363</x:v>
      </x:c>
      <x:c r="G962" s="904" t="n">
        <x:v>1338.09</x:v>
      </x:c>
      <x:c r="H962" s="904" t="n">
        <x:v>1339.81</x:v>
      </x:c>
      <x:c r="I962" s="904" t="n">
        <x:v>1329.6</x:v>
      </x:c>
      <x:c r="J962" s="904" t="n">
        <x:v>1339.81</x:v>
      </x:c>
      <x:c r="K962" s="901" t="n">
        <x:v>1055045239</x:v>
      </x:c>
      <x:c r="L962" s="907" t="str">
        <x:v>SRC-P404</x:v>
      </x:c>
      <x:c r="M962" s="907" t="str">
        <x:v>VNStock API actual</x:v>
      </x:c>
      <x:c r="N962" s="1032" t="n">
        <x:v>46229.241747685184</x:v>
      </x:c>
    </x:row>
    <x:row r="963">
      <x:c r="A963" s="895" t="n">
        <x:v>45805</x:v>
      </x:c>
      <x:c r="B963" s="898" t="n">
        <x:v>56.9</x:v>
      </x:c>
      <x:c r="C963" s="898" t="n">
        <x:v>57.84</x:v>
      </x:c>
      <x:c r="D963" s="898" t="n">
        <x:v>56.24</x:v>
      </x:c>
      <x:c r="E963" s="898" t="n">
        <x:v>57.28</x:v>
      </x:c>
      <x:c r="F963" s="901" t="n">
        <x:v>3813220</x:v>
      </x:c>
      <x:c r="G963" s="904" t="n">
        <x:v>1344.08</x:v>
      </x:c>
      <x:c r="H963" s="904" t="n">
        <x:v>1348.05</x:v>
      </x:c>
      <x:c r="I963" s="904" t="n">
        <x:v>1337.18</x:v>
      </x:c>
      <x:c r="J963" s="904" t="n">
        <x:v>1341.87</x:v>
      </x:c>
      <x:c r="K963" s="901" t="n">
        <x:v>899910498</x:v>
      </x:c>
      <x:c r="L963" s="907" t="str">
        <x:v>SRC-P404</x:v>
      </x:c>
      <x:c r="M963" s="907" t="str">
        <x:v>VNStock API actual</x:v>
      </x:c>
      <x:c r="N963" s="1032" t="n">
        <x:v>46229.241747685184</x:v>
      </x:c>
    </x:row>
    <x:row r="964">
      <x:c r="A964" s="895" t="n">
        <x:v>45806</x:v>
      </x:c>
      <x:c r="B964" s="898" t="n">
        <x:v>57.65</x:v>
      </x:c>
      <x:c r="C964" s="898" t="n">
        <x:v>57.65</x:v>
      </x:c>
      <x:c r="D964" s="898" t="n">
        <x:v>55.96</x:v>
      </x:c>
      <x:c r="E964" s="898" t="n">
        <x:v>56.9</x:v>
      </x:c>
      <x:c r="F964" s="901" t="n">
        <x:v>2506371</x:v>
      </x:c>
      <x:c r="G964" s="904" t="n">
        <x:v>1346.68</x:v>
      </x:c>
      <x:c r="H964" s="904" t="n">
        <x:v>1348.31</x:v>
      </x:c>
      <x:c r="I964" s="904" t="n">
        <x:v>1335.62</x:v>
      </x:c>
      <x:c r="J964" s="904" t="n">
        <x:v>1341.86</x:v>
      </x:c>
      <x:c r="K964" s="901" t="n">
        <x:v>895953649</x:v>
      </x:c>
      <x:c r="L964" s="907" t="str">
        <x:v>SRC-P404</x:v>
      </x:c>
      <x:c r="M964" s="907" t="str">
        <x:v>VNStock API actual</x:v>
      </x:c>
      <x:c r="N964" s="1032" t="n">
        <x:v>46229.241747685184</x:v>
      </x:c>
    </x:row>
    <x:row r="965">
      <x:c r="A965" s="895" t="n">
        <x:v>45807</x:v>
      </x:c>
      <x:c r="B965" s="898" t="n">
        <x:v>55.96</x:v>
      </x:c>
      <x:c r="C965" s="898" t="n">
        <x:v>56.52</x:v>
      </x:c>
      <x:c r="D965" s="898" t="n">
        <x:v>54.74</x:v>
      </x:c>
      <x:c r="E965" s="898" t="n">
        <x:v>56.24</x:v>
      </x:c>
      <x:c r="F965" s="901" t="n">
        <x:v>2490834</x:v>
      </x:c>
      <x:c r="G965" s="904" t="n">
        <x:v>1342.89</x:v>
      </x:c>
      <x:c r="H965" s="904" t="n">
        <x:v>1345.78</x:v>
      </x:c>
      <x:c r="I965" s="904" t="n">
        <x:v>1328.69</x:v>
      </x:c>
      <x:c r="J965" s="904" t="n">
        <x:v>1332.6</x:v>
      </x:c>
      <x:c r="K965" s="901" t="n">
        <x:v>911849296</x:v>
      </x:c>
      <x:c r="L965" s="907" t="str">
        <x:v>SRC-P404</x:v>
      </x:c>
      <x:c r="M965" s="907" t="str">
        <x:v>VNStock API actual</x:v>
      </x:c>
      <x:c r="N965" s="1032" t="n">
        <x:v>46229.241747685184</x:v>
      </x:c>
    </x:row>
    <x:row r="966">
      <x:c r="A966" s="895" t="n">
        <x:v>45810</x:v>
      </x:c>
      <x:c r="B966" s="898" t="n">
        <x:v>55.87</x:v>
      </x:c>
      <x:c r="C966" s="898" t="n">
        <x:v>55.96</x:v>
      </x:c>
      <x:c r="D966" s="898" t="n">
        <x:v>54.83</x:v>
      </x:c>
      <x:c r="E966" s="898" t="n">
        <x:v>55.02</x:v>
      </x:c>
      <x:c r="F966" s="901" t="n">
        <x:v>1214360</x:v>
      </x:c>
      <x:c r="G966" s="904" t="n">
        <x:v>1330.71</x:v>
      </x:c>
      <x:c r="H966" s="904" t="n">
        <x:v>1336.33</x:v>
      </x:c>
      <x:c r="I966" s="904" t="n">
        <x:v>1322.95</x:v>
      </x:c>
      <x:c r="J966" s="904" t="n">
        <x:v>1336.3</x:v>
      </x:c>
      <x:c r="K966" s="901" t="n">
        <x:v>860775405</x:v>
      </x:c>
      <x:c r="L966" s="907" t="str">
        <x:v>SRC-P404</x:v>
      </x:c>
      <x:c r="M966" s="907" t="str">
        <x:v>VNStock API actual</x:v>
      </x:c>
      <x:c r="N966" s="1032" t="n">
        <x:v>46229.241747685184</x:v>
      </x:c>
    </x:row>
    <x:row r="967">
      <x:c r="A967" s="895" t="n">
        <x:v>45811</x:v>
      </x:c>
      <x:c r="B967" s="898" t="n">
        <x:v>55.11</x:v>
      </x:c>
      <x:c r="C967" s="898" t="n">
        <x:v>55.96</x:v>
      </x:c>
      <x:c r="D967" s="898" t="n">
        <x:v>55.02</x:v>
      </x:c>
      <x:c r="E967" s="898" t="n">
        <x:v>55.3</x:v>
      </x:c>
      <x:c r="F967" s="901" t="n">
        <x:v>1856037</x:v>
      </x:c>
      <x:c r="G967" s="904" t="n">
        <x:v>1341.31</x:v>
      </x:c>
      <x:c r="H967" s="904" t="n">
        <x:v>1350.89</x:v>
      </x:c>
      <x:c r="I967" s="904" t="n">
        <x:v>1336.3</x:v>
      </x:c>
      <x:c r="J967" s="904" t="n">
        <x:v>1347.25</x:v>
      </x:c>
      <x:c r="K967" s="901" t="n">
        <x:v>1035220959</x:v>
      </x:c>
      <x:c r="L967" s="907" t="str">
        <x:v>SRC-P404</x:v>
      </x:c>
      <x:c r="M967" s="907" t="str">
        <x:v>VNStock API actual</x:v>
      </x:c>
      <x:c r="N967" s="1032" t="n">
        <x:v>46229.241747685184</x:v>
      </x:c>
    </x:row>
    <x:row r="968">
      <x:c r="A968" s="895" t="n">
        <x:v>45812</x:v>
      </x:c>
      <x:c r="B968" s="898" t="n">
        <x:v>55.3</x:v>
      </x:c>
      <x:c r="C968" s="898" t="n">
        <x:v>56.24</x:v>
      </x:c>
      <x:c r="D968" s="898" t="n">
        <x:v>55.02</x:v>
      </x:c>
      <x:c r="E968" s="898" t="n">
        <x:v>55.58</x:v>
      </x:c>
      <x:c r="F968" s="901" t="n">
        <x:v>1598582</x:v>
      </x:c>
      <x:c r="G968" s="904" t="n">
        <x:v>1350.52</x:v>
      </x:c>
      <x:c r="H968" s="904" t="n">
        <x:v>1351.14</x:v>
      </x:c>
      <x:c r="I968" s="904" t="n">
        <x:v>1341.53</x:v>
      </x:c>
      <x:c r="J968" s="904" t="n">
        <x:v>1345.74</x:v>
      </x:c>
      <x:c r="K968" s="901" t="n">
        <x:v>952672647</x:v>
      </x:c>
      <x:c r="L968" s="907" t="str">
        <x:v>SRC-P404</x:v>
      </x:c>
      <x:c r="M968" s="907" t="str">
        <x:v>VNStock API actual</x:v>
      </x:c>
      <x:c r="N968" s="1032" t="n">
        <x:v>46229.241747685184</x:v>
      </x:c>
    </x:row>
    <x:row r="969">
      <x:c r="A969" s="895" t="n">
        <x:v>45813</x:v>
      </x:c>
      <x:c r="B969" s="898" t="n">
        <x:v>55.49</x:v>
      </x:c>
      <x:c r="C969" s="898" t="n">
        <x:v>55.87</x:v>
      </x:c>
      <x:c r="D969" s="898" t="n">
        <x:v>54.46</x:v>
      </x:c>
      <x:c r="E969" s="898" t="n">
        <x:v>54.93</x:v>
      </x:c>
      <x:c r="F969" s="901" t="n">
        <x:v>1663911</x:v>
      </x:c>
      <x:c r="G969" s="904" t="n">
        <x:v>1346.33</x:v>
      </x:c>
      <x:c r="H969" s="904" t="n">
        <x:v>1347.49</x:v>
      </x:c>
      <x:c r="I969" s="904" t="n">
        <x:v>1336.11</x:v>
      </x:c>
      <x:c r="J969" s="904" t="n">
        <x:v>1342.09</x:v>
      </x:c>
      <x:c r="K969" s="901" t="n">
        <x:v>756976552</x:v>
      </x:c>
      <x:c r="L969" s="907" t="str">
        <x:v>SRC-P404</x:v>
      </x:c>
      <x:c r="M969" s="907" t="str">
        <x:v>VNStock API actual</x:v>
      </x:c>
      <x:c r="N969" s="1032" t="n">
        <x:v>46229.241747685184</x:v>
      </x:c>
    </x:row>
    <x:row r="970">
      <x:c r="A970" s="895" t="n">
        <x:v>45814</x:v>
      </x:c>
      <x:c r="B970" s="898" t="n">
        <x:v>55.02</x:v>
      </x:c>
      <x:c r="C970" s="898" t="n">
        <x:v>55.49</x:v>
      </x:c>
      <x:c r="D970" s="898" t="n">
        <x:v>54.08</x:v>
      </x:c>
      <x:c r="E970" s="898" t="n">
        <x:v>54.08</x:v>
      </x:c>
      <x:c r="F970" s="901" t="n">
        <x:v>1449211</x:v>
      </x:c>
      <x:c r="G970" s="904" t="n">
        <x:v>1339.13</x:v>
      </x:c>
      <x:c r="H970" s="904" t="n">
        <x:v>1344.92</x:v>
      </x:c>
      <x:c r="I970" s="904" t="n">
        <x:v>1325.45</x:v>
      </x:c>
      <x:c r="J970" s="904" t="n">
        <x:v>1329.89</x:v>
      </x:c>
      <x:c r="K970" s="901" t="n">
        <x:v>901235898</x:v>
      </x:c>
      <x:c r="L970" s="907" t="str">
        <x:v>SRC-P404</x:v>
      </x:c>
      <x:c r="M970" s="907" t="str">
        <x:v>VNStock API actual</x:v>
      </x:c>
      <x:c r="N970" s="1032" t="n">
        <x:v>46229.241747685184</x:v>
      </x:c>
    </x:row>
    <x:row r="971">
      <x:c r="A971" s="895" t="n">
        <x:v>45817</x:v>
      </x:c>
      <x:c r="B971" s="898" t="n">
        <x:v>54.08</x:v>
      </x:c>
      <x:c r="C971" s="898" t="n">
        <x:v>54.36</x:v>
      </x:c>
      <x:c r="D971" s="898" t="n">
        <x:v>51.54</x:v>
      </x:c>
      <x:c r="E971" s="898" t="n">
        <x:v>51.82</x:v>
      </x:c>
      <x:c r="F971" s="901" t="n">
        <x:v>2907770</x:v>
      </x:c>
      <x:c r="G971" s="904" t="n">
        <x:v>1329.66</x:v>
      </x:c>
      <x:c r="H971" s="904" t="n">
        <x:v>1331.56</x:v>
      </x:c>
      <x:c r="I971" s="904" t="n">
        <x:v>1309.05</x:v>
      </x:c>
      <x:c r="J971" s="904" t="n">
        <x:v>1310.57</x:v>
      </x:c>
      <x:c r="K971" s="901" t="n">
        <x:v>718708721</x:v>
      </x:c>
      <x:c r="L971" s="907" t="str">
        <x:v>SRC-P404</x:v>
      </x:c>
      <x:c r="M971" s="907" t="str">
        <x:v>VNStock API actual</x:v>
      </x:c>
      <x:c r="N971" s="1032" t="n">
        <x:v>46229.241747685184</x:v>
      </x:c>
    </x:row>
    <x:row r="972">
      <x:c r="A972" s="895" t="n">
        <x:v>45818</x:v>
      </x:c>
      <x:c r="B972" s="898" t="n">
        <x:v>51.73</x:v>
      </x:c>
      <x:c r="C972" s="898" t="n">
        <x:v>52.57</x:v>
      </x:c>
      <x:c r="D972" s="898" t="n">
        <x:v>51.63</x:v>
      </x:c>
      <x:c r="E972" s="898" t="n">
        <x:v>52.29</x:v>
      </x:c>
      <x:c r="F972" s="901" t="n">
        <x:v>1718916</x:v>
      </x:c>
      <x:c r="G972" s="904" t="n">
        <x:v>1307.74</x:v>
      </x:c>
      <x:c r="H972" s="904" t="n">
        <x:v>1323.61</x:v>
      </x:c>
      <x:c r="I972" s="904" t="n">
        <x:v>1299.94</x:v>
      </x:c>
      <x:c r="J972" s="904" t="n">
        <x:v>1316.23</x:v>
      </x:c>
      <x:c r="K972" s="901" t="n">
        <x:v>703372014</x:v>
      </x:c>
      <x:c r="L972" s="907" t="str">
        <x:v>SRC-P404</x:v>
      </x:c>
      <x:c r="M972" s="907" t="str">
        <x:v>VNStock API actual</x:v>
      </x:c>
      <x:c r="N972" s="1032" t="n">
        <x:v>46229.241747685184</x:v>
      </x:c>
    </x:row>
    <x:row r="973">
      <x:c r="A973" s="895" t="n">
        <x:v>45819</x:v>
      </x:c>
      <x:c r="B973" s="898" t="n">
        <x:v>52.57</x:v>
      </x:c>
      <x:c r="C973" s="898" t="n">
        <x:v>52.76</x:v>
      </x:c>
      <x:c r="D973" s="898" t="n">
        <x:v>51.92</x:v>
      </x:c>
      <x:c r="E973" s="898" t="n">
        <x:v>52.67</x:v>
      </x:c>
      <x:c r="F973" s="901" t="n">
        <x:v>1787313</x:v>
      </x:c>
      <x:c r="G973" s="904" t="n">
        <x:v>1322.07</x:v>
      </x:c>
      <x:c r="H973" s="904" t="n">
        <x:v>1322.07</x:v>
      </x:c>
      <x:c r="I973" s="904" t="n">
        <x:v>1306.25</x:v>
      </x:c>
      <x:c r="J973" s="904" t="n">
        <x:v>1315.2</x:v>
      </x:c>
      <x:c r="K973" s="901" t="n">
        <x:v>546076606</x:v>
      </x:c>
      <x:c r="L973" s="907" t="str">
        <x:v>SRC-P404</x:v>
      </x:c>
      <x:c r="M973" s="907" t="str">
        <x:v>VNStock API actual</x:v>
      </x:c>
      <x:c r="N973" s="1032" t="n">
        <x:v>46229.241747685184</x:v>
      </x:c>
    </x:row>
    <x:row r="974">
      <x:c r="A974" s="895" t="n">
        <x:v>45820</x:v>
      </x:c>
      <x:c r="B974" s="898" t="n">
        <x:v>52.86</x:v>
      </x:c>
      <x:c r="C974" s="898" t="n">
        <x:v>53.8</x:v>
      </x:c>
      <x:c r="D974" s="898" t="n">
        <x:v>52.67</x:v>
      </x:c>
      <x:c r="E974" s="898" t="n">
        <x:v>53.14</x:v>
      </x:c>
      <x:c r="F974" s="901" t="n">
        <x:v>1546058</x:v>
      </x:c>
      <x:c r="G974" s="904" t="n">
        <x:v>1321.25</x:v>
      </x:c>
      <x:c r="H974" s="904" t="n">
        <x:v>1326.03</x:v>
      </x:c>
      <x:c r="I974" s="904" t="n">
        <x:v>1308.63</x:v>
      </x:c>
      <x:c r="J974" s="904" t="n">
        <x:v>1322.99</x:v>
      </x:c>
      <x:c r="K974" s="901" t="n">
        <x:v>811549322</x:v>
      </x:c>
      <x:c r="L974" s="907" t="str">
        <x:v>SRC-P404</x:v>
      </x:c>
      <x:c r="M974" s="907" t="str">
        <x:v>VNStock API actual</x:v>
      </x:c>
      <x:c r="N974" s="1032" t="n">
        <x:v>46229.241747685184</x:v>
      </x:c>
    </x:row>
    <x:row r="975">
      <x:c r="A975" s="895" t="n">
        <x:v>45821</x:v>
      </x:c>
      <x:c r="B975" s="898" t="n">
        <x:v>51.82</x:v>
      </x:c>
      <x:c r="C975" s="898" t="n">
        <x:v>53.14</x:v>
      </x:c>
      <x:c r="D975" s="898" t="n">
        <x:v>51.73</x:v>
      </x:c>
      <x:c r="E975" s="898" t="n">
        <x:v>52.29</x:v>
      </x:c>
      <x:c r="F975" s="901" t="n">
        <x:v>1932393</x:v>
      </x:c>
      <x:c r="G975" s="904" t="n">
        <x:v>1313.08</x:v>
      </x:c>
      <x:c r="H975" s="904" t="n">
        <x:v>1326.62</x:v>
      </x:c>
      <x:c r="I975" s="904" t="n">
        <x:v>1304.12</x:v>
      </x:c>
      <x:c r="J975" s="904" t="n">
        <x:v>1315.49</x:v>
      </x:c>
      <x:c r="K975" s="901" t="n">
        <x:v>1164364579</x:v>
      </x:c>
      <x:c r="L975" s="907" t="str">
        <x:v>SRC-P404</x:v>
      </x:c>
      <x:c r="M975" s="907" t="str">
        <x:v>VNStock API actual</x:v>
      </x:c>
      <x:c r="N975" s="1032" t="n">
        <x:v>46229.241747685184</x:v>
      </x:c>
    </x:row>
    <x:row r="976">
      <x:c r="A976" s="895" t="n">
        <x:v>45824</x:v>
      </x:c>
      <x:c r="B976" s="898" t="n">
        <x:v>52.48</x:v>
      </x:c>
      <x:c r="C976" s="898" t="n">
        <x:v>54.08</x:v>
      </x:c>
      <x:c r="D976" s="898" t="n">
        <x:v>52.48</x:v>
      </x:c>
      <x:c r="E976" s="898" t="n">
        <x:v>53.23</x:v>
      </x:c>
      <x:c r="F976" s="901" t="n">
        <x:v>1680200</x:v>
      </x:c>
      <x:c r="G976" s="904" t="n">
        <x:v>1313.4</x:v>
      </x:c>
      <x:c r="H976" s="904" t="n">
        <x:v>1338.66</x:v>
      </x:c>
      <x:c r="I976" s="904" t="n">
        <x:v>1307.37</x:v>
      </x:c>
      <x:c r="J976" s="904" t="n">
        <x:v>1338.11</x:v>
      </x:c>
      <x:c r="K976" s="901" t="n">
        <x:v>779999910</x:v>
      </x:c>
      <x:c r="L976" s="907" t="str">
        <x:v>SRC-P404</x:v>
      </x:c>
      <x:c r="M976" s="907" t="str">
        <x:v>VNStock API actual</x:v>
      </x:c>
      <x:c r="N976" s="1032" t="n">
        <x:v>46229.241747685184</x:v>
      </x:c>
    </x:row>
    <x:row r="977">
      <x:c r="A977" s="895" t="n">
        <x:v>45825</x:v>
      </x:c>
      <x:c r="B977" s="898" t="n">
        <x:v>53.51</x:v>
      </x:c>
      <x:c r="C977" s="898" t="n">
        <x:v>53.51</x:v>
      </x:c>
      <x:c r="D977" s="898" t="n">
        <x:v>52.29</x:v>
      </x:c>
      <x:c r="E977" s="898" t="n">
        <x:v>53.14</x:v>
      </x:c>
      <x:c r="F977" s="901" t="n">
        <x:v>1621300</x:v>
      </x:c>
      <x:c r="G977" s="904" t="n">
        <x:v>1343.7</x:v>
      </x:c>
      <x:c r="H977" s="904" t="n">
        <x:v>1353.01</x:v>
      </x:c>
      <x:c r="I977" s="904" t="n">
        <x:v>1338.11</x:v>
      </x:c>
      <x:c r="J977" s="904" t="n">
        <x:v>1347.69</x:v>
      </x:c>
      <x:c r="K977" s="901" t="n">
        <x:v>763834636</x:v>
      </x:c>
      <x:c r="L977" s="907" t="str">
        <x:v>SRC-P404</x:v>
      </x:c>
      <x:c r="M977" s="907" t="str">
        <x:v>VNStock API actual</x:v>
      </x:c>
      <x:c r="N977" s="1032" t="n">
        <x:v>46229.241747685184</x:v>
      </x:c>
    </x:row>
    <x:row r="978">
      <x:c r="A978" s="895" t="n">
        <x:v>45826</x:v>
      </x:c>
      <x:c r="B978" s="898" t="n">
        <x:v>53.42</x:v>
      </x:c>
      <x:c r="C978" s="898" t="n">
        <x:v>53.7</x:v>
      </x:c>
      <x:c r="D978" s="898" t="n">
        <x:v>52.2</x:v>
      </x:c>
      <x:c r="E978" s="898" t="n">
        <x:v>52.2</x:v>
      </x:c>
      <x:c r="F978" s="901" t="n">
        <x:v>1954635</x:v>
      </x:c>
      <x:c r="G978" s="904" t="n">
        <x:v>1350.17</x:v>
      </x:c>
      <x:c r="H978" s="904" t="n">
        <x:v>1353.99</x:v>
      </x:c>
      <x:c r="I978" s="904" t="n">
        <x:v>1341.64</x:v>
      </x:c>
      <x:c r="J978" s="904" t="n">
        <x:v>1346.83</x:v>
      </x:c>
      <x:c r="K978" s="901" t="n">
        <x:v>768168609</x:v>
      </x:c>
      <x:c r="L978" s="907" t="str">
        <x:v>SRC-P404</x:v>
      </x:c>
      <x:c r="M978" s="907" t="str">
        <x:v>VNStock API actual</x:v>
      </x:c>
      <x:c r="N978" s="1032" t="n">
        <x:v>46229.241747685184</x:v>
      </x:c>
    </x:row>
    <x:row r="979">
      <x:c r="A979" s="895" t="n">
        <x:v>45827</x:v>
      </x:c>
      <x:c r="B979" s="898" t="n">
        <x:v>52.01</x:v>
      </x:c>
      <x:c r="C979" s="898" t="n">
        <x:v>52.57</x:v>
      </x:c>
      <x:c r="D979" s="898" t="n">
        <x:v>51.45</x:v>
      </x:c>
      <x:c r="E979" s="898" t="n">
        <x:v>51.54</x:v>
      </x:c>
      <x:c r="F979" s="901" t="n">
        <x:v>2208100</x:v>
      </x:c>
      <x:c r="G979" s="904" t="n">
        <x:v>1346.33</x:v>
      </x:c>
      <x:c r="H979" s="904" t="n">
        <x:v>1353.96</x:v>
      </x:c>
      <x:c r="I979" s="904" t="n">
        <x:v>1342.08</x:v>
      </x:c>
      <x:c r="J979" s="904" t="n">
        <x:v>1352.04</x:v>
      </x:c>
      <x:c r="K979" s="901" t="n">
        <x:v>651813682</x:v>
      </x:c>
      <x:c r="L979" s="907" t="str">
        <x:v>SRC-P404</x:v>
      </x:c>
      <x:c r="M979" s="907" t="str">
        <x:v>VNStock API actual</x:v>
      </x:c>
      <x:c r="N979" s="1032" t="n">
        <x:v>46229.241747685184</x:v>
      </x:c>
    </x:row>
    <x:row r="980">
      <x:c r="A980" s="895" t="n">
        <x:v>45828</x:v>
      </x:c>
      <x:c r="B980" s="898" t="n">
        <x:v>51.73</x:v>
      </x:c>
      <x:c r="C980" s="898" t="n">
        <x:v>52.95</x:v>
      </x:c>
      <x:c r="D980" s="898" t="n">
        <x:v>51.54</x:v>
      </x:c>
      <x:c r="E980" s="898" t="n">
        <x:v>52.57</x:v>
      </x:c>
      <x:c r="F980" s="901" t="n">
        <x:v>1513984</x:v>
      </x:c>
      <x:c r="G980" s="904" t="n">
        <x:v>1354.69</x:v>
      </x:c>
      <x:c r="H980" s="904" t="n">
        <x:v>1356.78</x:v>
      </x:c>
      <x:c r="I980" s="904" t="n">
        <x:v>1342.31</x:v>
      </x:c>
      <x:c r="J980" s="904" t="n">
        <x:v>1349.35</x:v>
      </x:c>
      <x:c r="K980" s="901" t="n">
        <x:v>779673486</x:v>
      </x:c>
      <x:c r="L980" s="907" t="str">
        <x:v>SRC-P404</x:v>
      </x:c>
      <x:c r="M980" s="907" t="str">
        <x:v>VNStock API actual</x:v>
      </x:c>
      <x:c r="N980" s="1032" t="n">
        <x:v>46229.241747685184</x:v>
      </x:c>
    </x:row>
    <x:row r="981">
      <x:c r="A981" s="895" t="n">
        <x:v>45831</x:v>
      </x:c>
      <x:c r="B981" s="898" t="n">
        <x:v>53.14</x:v>
      </x:c>
      <x:c r="C981" s="898" t="n">
        <x:v>53.8</x:v>
      </x:c>
      <x:c r="D981" s="898" t="n">
        <x:v>52.01</x:v>
      </x:c>
      <x:c r="E981" s="898" t="n">
        <x:v>52.2</x:v>
      </x:c>
      <x:c r="F981" s="901" t="n">
        <x:v>1415270</x:v>
      </x:c>
      <x:c r="G981" s="904" t="n">
        <x:v>1345.24</x:v>
      </x:c>
      <x:c r="H981" s="904" t="n">
        <x:v>1358.26</x:v>
      </x:c>
      <x:c r="I981" s="904" t="n">
        <x:v>1338.49</x:v>
      </x:c>
      <x:c r="J981" s="904" t="n">
        <x:v>1358.18</x:v>
      </x:c>
      <x:c r="K981" s="901" t="n">
        <x:v>735461142</x:v>
      </x:c>
      <x:c r="L981" s="907" t="str">
        <x:v>SRC-P404</x:v>
      </x:c>
      <x:c r="M981" s="907" t="str">
        <x:v>VNStock API actual</x:v>
      </x:c>
      <x:c r="N981" s="1032" t="n">
        <x:v>46229.241747685184</x:v>
      </x:c>
    </x:row>
    <x:row r="982">
      <x:c r="A982" s="895" t="n">
        <x:v>45832</x:v>
      </x:c>
      <x:c r="B982" s="898" t="n">
        <x:v>52.76</x:v>
      </x:c>
      <x:c r="C982" s="898" t="n">
        <x:v>52.95</x:v>
      </x:c>
      <x:c r="D982" s="898" t="n">
        <x:v>51.92</x:v>
      </x:c>
      <x:c r="E982" s="898" t="n">
        <x:v>52.67</x:v>
      </x:c>
      <x:c r="F982" s="901" t="n">
        <x:v>2158627</x:v>
      </x:c>
      <x:c r="G982" s="904" t="n">
        <x:v>1365.69</x:v>
      </x:c>
      <x:c r="H982" s="904" t="n">
        <x:v>1371.24</x:v>
      </x:c>
      <x:c r="I982" s="904" t="n">
        <x:v>1355.53</x:v>
      </x:c>
      <x:c r="J982" s="904" t="n">
        <x:v>1366.77</x:v>
      </x:c>
      <x:c r="K982" s="901" t="n">
        <x:v>883404856</x:v>
      </x:c>
      <x:c r="L982" s="907" t="str">
        <x:v>SRC-P404</x:v>
      </x:c>
      <x:c r="M982" s="907" t="str">
        <x:v>VNStock API actual</x:v>
      </x:c>
      <x:c r="N982" s="1032" t="n">
        <x:v>46229.241747685184</x:v>
      </x:c>
    </x:row>
    <x:row r="983">
      <x:c r="A983" s="895" t="n">
        <x:v>45833</x:v>
      </x:c>
      <x:c r="B983" s="898" t="n">
        <x:v>52.67</x:v>
      </x:c>
      <x:c r="C983" s="898" t="n">
        <x:v>53.14</x:v>
      </x:c>
      <x:c r="D983" s="898" t="n">
        <x:v>51.82</x:v>
      </x:c>
      <x:c r="E983" s="898" t="n">
        <x:v>52.48</x:v>
      </x:c>
      <x:c r="F983" s="901" t="n">
        <x:v>1955393</x:v>
      </x:c>
      <x:c r="G983" s="904" t="n">
        <x:v>1369.05</x:v>
      </x:c>
      <x:c r="H983" s="904" t="n">
        <x:v>1371.57</x:v>
      </x:c>
      <x:c r="I983" s="904" t="n">
        <x:v>1364.09</x:v>
      </x:c>
      <x:c r="J983" s="904" t="n">
        <x:v>1366.75</x:v>
      </x:c>
      <x:c r="K983" s="901" t="n">
        <x:v>734078816</x:v>
      </x:c>
      <x:c r="L983" s="907" t="str">
        <x:v>SRC-P404</x:v>
      </x:c>
      <x:c r="M983" s="907" t="str">
        <x:v>VNStock API actual</x:v>
      </x:c>
      <x:c r="N983" s="1032" t="n">
        <x:v>46229.241747685184</x:v>
      </x:c>
    </x:row>
    <x:row r="984">
      <x:c r="A984" s="895" t="n">
        <x:v>45834</x:v>
      </x:c>
      <x:c r="B984" s="898" t="n">
        <x:v>52.48</x:v>
      </x:c>
      <x:c r="C984" s="898" t="n">
        <x:v>52.48</x:v>
      </x:c>
      <x:c r="D984" s="898" t="n">
        <x:v>51.73</x:v>
      </x:c>
      <x:c r="E984" s="898" t="n">
        <x:v>52.01</x:v>
      </x:c>
      <x:c r="F984" s="901" t="n">
        <x:v>1623820</x:v>
      </x:c>
      <x:c r="G984" s="904" t="n">
        <x:v>1368.73</x:v>
      </x:c>
      <x:c r="H984" s="904" t="n">
        <x:v>1372.74</x:v>
      </x:c>
      <x:c r="I984" s="904" t="n">
        <x:v>1360.78</x:v>
      </x:c>
      <x:c r="J984" s="904" t="n">
        <x:v>1365.67</x:v>
      </x:c>
      <x:c r="K984" s="901" t="n">
        <x:v>599210662</x:v>
      </x:c>
      <x:c r="L984" s="907" t="str">
        <x:v>SRC-P404</x:v>
      </x:c>
      <x:c r="M984" s="907" t="str">
        <x:v>VNStock API actual</x:v>
      </x:c>
      <x:c r="N984" s="1032" t="n">
        <x:v>46229.241747685184</x:v>
      </x:c>
    </x:row>
    <x:row r="985">
      <x:c r="A985" s="895" t="n">
        <x:v>45835</x:v>
      </x:c>
      <x:c r="B985" s="898" t="n">
        <x:v>52.01</x:v>
      </x:c>
      <x:c r="C985" s="898" t="n">
        <x:v>52.57</x:v>
      </x:c>
      <x:c r="D985" s="898" t="n">
        <x:v>51.92</x:v>
      </x:c>
      <x:c r="E985" s="898" t="n">
        <x:v>52.1</x:v>
      </x:c>
      <x:c r="F985" s="901" t="n">
        <x:v>1071911</x:v>
      </x:c>
      <x:c r="G985" s="904" t="n">
        <x:v>1369.13</x:v>
      </x:c>
      <x:c r="H985" s="904" t="n">
        <x:v>1373.28</x:v>
      </x:c>
      <x:c r="I985" s="904" t="n">
        <x:v>1362.09</x:v>
      </x:c>
      <x:c r="J985" s="904" t="n">
        <x:v>1371.44</x:v>
      </x:c>
      <x:c r="K985" s="901" t="n">
        <x:v>678584222</x:v>
      </x:c>
      <x:c r="L985" s="907" t="str">
        <x:v>SRC-P404</x:v>
      </x:c>
      <x:c r="M985" s="907" t="str">
        <x:v>VNStock API actual</x:v>
      </x:c>
      <x:c r="N985" s="1032" t="n">
        <x:v>46229.241747685184</x:v>
      </x:c>
    </x:row>
    <x:row r="986">
      <x:c r="A986" s="895" t="n">
        <x:v>45838</x:v>
      </x:c>
      <x:c r="B986" s="898" t="n">
        <x:v>52.67</x:v>
      </x:c>
      <x:c r="C986" s="898" t="n">
        <x:v>55.02</x:v>
      </x:c>
      <x:c r="D986" s="898" t="n">
        <x:v>52.48</x:v>
      </x:c>
      <x:c r="E986" s="898" t="n">
        <x:v>54.46</x:v>
      </x:c>
      <x:c r="F986" s="901" t="n">
        <x:v>4820396</x:v>
      </x:c>
      <x:c r="G986" s="904" t="n">
        <x:v>1374.9</x:v>
      </x:c>
      <x:c r="H986" s="904" t="n">
        <x:v>1377.3</x:v>
      </x:c>
      <x:c r="I986" s="904" t="n">
        <x:v>1371.44</x:v>
      </x:c>
      <x:c r="J986" s="904" t="n">
        <x:v>1376.07</x:v>
      </x:c>
      <x:c r="K986" s="901" t="n">
        <x:v>637621732</x:v>
      </x:c>
      <x:c r="L986" s="907" t="str">
        <x:v>SRC-P404</x:v>
      </x:c>
      <x:c r="M986" s="907" t="str">
        <x:v>VNStock API actual</x:v>
      </x:c>
      <x:c r="N986" s="1032" t="n">
        <x:v>46229.241747685184</x:v>
      </x:c>
    </x:row>
    <x:row r="987">
      <x:c r="A987" s="895" t="n">
        <x:v>45839</x:v>
      </x:c>
      <x:c r="B987" s="898" t="n">
        <x:v>55.02</x:v>
      </x:c>
      <x:c r="C987" s="898" t="n">
        <x:v>55.02</x:v>
      </x:c>
      <x:c r="D987" s="898" t="n">
        <x:v>53.51</x:v>
      </x:c>
      <x:c r="E987" s="898" t="n">
        <x:v>54.08</x:v>
      </x:c>
      <x:c r="F987" s="901" t="n">
        <x:v>1897743</x:v>
      </x:c>
      <x:c r="G987" s="904" t="n">
        <x:v>1378.14</x:v>
      </x:c>
      <x:c r="H987" s="904" t="n">
        <x:v>1382.16</x:v>
      </x:c>
      <x:c r="I987" s="904" t="n">
        <x:v>1369.74</x:v>
      </x:c>
      <x:c r="J987" s="904" t="n">
        <x:v>1377.84</x:v>
      </x:c>
      <x:c r="K987" s="901" t="n">
        <x:v>725894731</x:v>
      </x:c>
      <x:c r="L987" s="907" t="str">
        <x:v>SRC-P404</x:v>
      </x:c>
      <x:c r="M987" s="907" t="str">
        <x:v>VNStock API actual</x:v>
      </x:c>
      <x:c r="N987" s="1032" t="n">
        <x:v>46229.241747685184</x:v>
      </x:c>
    </x:row>
    <x:row r="988">
      <x:c r="A988" s="895" t="n">
        <x:v>45840</x:v>
      </x:c>
      <x:c r="B988" s="898" t="n">
        <x:v>54.36</x:v>
      </x:c>
      <x:c r="C988" s="898" t="n">
        <x:v>56.43</x:v>
      </x:c>
      <x:c r="D988" s="898" t="n">
        <x:v>53.99</x:v>
      </x:c>
      <x:c r="E988" s="898" t="n">
        <x:v>56.43</x:v>
      </x:c>
      <x:c r="F988" s="901" t="n">
        <x:v>6543420</x:v>
      </x:c>
      <x:c r="G988" s="904" t="n">
        <x:v>1377.26</x:v>
      </x:c>
      <x:c r="H988" s="904" t="n">
        <x:v>1384.72</x:v>
      </x:c>
      <x:c r="I988" s="904" t="n">
        <x:v>1372.27</x:v>
      </x:c>
      <x:c r="J988" s="904" t="n">
        <x:v>1384.59</x:v>
      </x:c>
      <x:c r="K988" s="901" t="n">
        <x:v>850174592</x:v>
      </x:c>
      <x:c r="L988" s="907" t="str">
        <x:v>SRC-P404</x:v>
      </x:c>
      <x:c r="M988" s="907" t="str">
        <x:v>VNStock API actual</x:v>
      </x:c>
      <x:c r="N988" s="1032" t="n">
        <x:v>46229.241747685184</x:v>
      </x:c>
    </x:row>
    <x:row r="989">
      <x:c r="A989" s="895" t="n">
        <x:v>45841</x:v>
      </x:c>
      <x:c r="B989" s="898" t="n">
        <x:v>56.15</x:v>
      </x:c>
      <x:c r="C989" s="898" t="n">
        <x:v>57.09</x:v>
      </x:c>
      <x:c r="D989" s="898" t="n">
        <x:v>54.93</x:v>
      </x:c>
      <x:c r="E989" s="898" t="n">
        <x:v>56.9</x:v>
      </x:c>
      <x:c r="F989" s="901" t="n">
        <x:v>5701396</x:v>
      </x:c>
      <x:c r="G989" s="904" t="n">
        <x:v>1381.64</x:v>
      </x:c>
      <x:c r="H989" s="904" t="n">
        <x:v>1392.39</x:v>
      </x:c>
      <x:c r="I989" s="904" t="n">
        <x:v>1377.06</x:v>
      </x:c>
      <x:c r="J989" s="904" t="n">
        <x:v>1381.96</x:v>
      </x:c>
      <x:c r="K989" s="901" t="n">
        <x:v>1316396602</x:v>
      </x:c>
      <x:c r="L989" s="907" t="str">
        <x:v>SRC-P404</x:v>
      </x:c>
      <x:c r="M989" s="907" t="str">
        <x:v>VNStock API actual</x:v>
      </x:c>
      <x:c r="N989" s="1032" t="n">
        <x:v>46229.241747685184</x:v>
      </x:c>
    </x:row>
    <x:row r="990">
      <x:c r="A990" s="895" t="n">
        <x:v>45842</x:v>
      </x:c>
      <x:c r="B990" s="898" t="n">
        <x:v>56.9</x:v>
      </x:c>
      <x:c r="C990" s="898" t="n">
        <x:v>57.09</x:v>
      </x:c>
      <x:c r="D990" s="898" t="n">
        <x:v>56.05</x:v>
      </x:c>
      <x:c r="E990" s="898" t="n">
        <x:v>56.9</x:v>
      </x:c>
      <x:c r="F990" s="901" t="n">
        <x:v>2275395</x:v>
      </x:c>
      <x:c r="G990" s="904" t="n">
        <x:v>1385.19</x:v>
      </x:c>
      <x:c r="H990" s="904" t="n">
        <x:v>1388.04</x:v>
      </x:c>
      <x:c r="I990" s="904" t="n">
        <x:v>1379.4</x:v>
      </x:c>
      <x:c r="J990" s="904" t="n">
        <x:v>1386.97</x:v>
      </x:c>
      <x:c r="K990" s="901" t="n">
        <x:v>835995342</x:v>
      </x:c>
      <x:c r="L990" s="907" t="str">
        <x:v>SRC-P404</x:v>
      </x:c>
      <x:c r="M990" s="907" t="str">
        <x:v>VNStock API actual</x:v>
      </x:c>
      <x:c r="N990" s="1032" t="n">
        <x:v>46229.241747685184</x:v>
      </x:c>
    </x:row>
    <x:row r="991">
      <x:c r="A991" s="895" t="n">
        <x:v>45845</x:v>
      </x:c>
      <x:c r="B991" s="898" t="n">
        <x:v>56.99</x:v>
      </x:c>
      <x:c r="C991" s="898" t="n">
        <x:v>57.09</x:v>
      </x:c>
      <x:c r="D991" s="898" t="n">
        <x:v>56.15</x:v>
      </x:c>
      <x:c r="E991" s="898" t="n">
        <x:v>56.81</x:v>
      </x:c>
      <x:c r="F991" s="901" t="n">
        <x:v>2926910</x:v>
      </x:c>
      <x:c r="G991" s="904" t="n">
        <x:v>1393.34</x:v>
      </x:c>
      <x:c r="H991" s="904" t="n">
        <x:v>1402.32</x:v>
      </x:c>
      <x:c r="I991" s="904" t="n">
        <x:v>1386.97</x:v>
      </x:c>
      <x:c r="J991" s="904" t="n">
        <x:v>1402.06</x:v>
      </x:c>
      <x:c r="K991" s="901" t="n">
        <x:v>1231774285</x:v>
      </x:c>
      <x:c r="L991" s="907" t="str">
        <x:v>SRC-P404</x:v>
      </x:c>
      <x:c r="M991" s="907" t="str">
        <x:v>VNStock API actual</x:v>
      </x:c>
      <x:c r="N991" s="1032" t="n">
        <x:v>46229.241747685184</x:v>
      </x:c>
    </x:row>
    <x:row r="992">
      <x:c r="A992" s="895" t="n">
        <x:v>45846</x:v>
      </x:c>
      <x:c r="B992" s="898" t="n">
        <x:v>56.9</x:v>
      </x:c>
      <x:c r="C992" s="898" t="n">
        <x:v>58.5</x:v>
      </x:c>
      <x:c r="D992" s="898" t="n">
        <x:v>56.43</x:v>
      </x:c>
      <x:c r="E992" s="898" t="n">
        <x:v>58.41</x:v>
      </x:c>
      <x:c r="F992" s="901" t="n">
        <x:v>4337280</x:v>
      </x:c>
      <x:c r="G992" s="904" t="n">
        <x:v>1407.07</x:v>
      </x:c>
      <x:c r="H992" s="904" t="n">
        <x:v>1415.65</x:v>
      </x:c>
      <x:c r="I992" s="904" t="n">
        <x:v>1400.79</x:v>
      </x:c>
      <x:c r="J992" s="904" t="n">
        <x:v>1415.46</x:v>
      </x:c>
      <x:c r="K992" s="901" t="n">
        <x:v>1177502304</x:v>
      </x:c>
      <x:c r="L992" s="907" t="str">
        <x:v>SRC-P404</x:v>
      </x:c>
      <x:c r="M992" s="907" t="str">
        <x:v>VNStock API actual</x:v>
      </x:c>
      <x:c r="N992" s="1032" t="n">
        <x:v>46229.241747685184</x:v>
      </x:c>
    </x:row>
    <x:row r="993">
      <x:c r="A993" s="895" t="n">
        <x:v>45847</x:v>
      </x:c>
      <x:c r="B993" s="898" t="n">
        <x:v>58.5</x:v>
      </x:c>
      <x:c r="C993" s="898" t="n">
        <x:v>58.89</x:v>
      </x:c>
      <x:c r="D993" s="898" t="n">
        <x:v>57.92</x:v>
      </x:c>
      <x:c r="E993" s="898" t="n">
        <x:v>58.89</x:v>
      </x:c>
      <x:c r="F993" s="901" t="n">
        <x:v>2672325</x:v>
      </x:c>
      <x:c r="G993" s="904" t="n">
        <x:v>1421.12</x:v>
      </x:c>
      <x:c r="H993" s="904" t="n">
        <x:v>1432.29</x:v>
      </x:c>
      <x:c r="I993" s="904" t="n">
        <x:v>1415.46</x:v>
      </x:c>
      <x:c r="J993" s="904" t="n">
        <x:v>1431.32</x:v>
      </x:c>
      <x:c r="K993" s="901" t="n">
        <x:v>1433794349</x:v>
      </x:c>
      <x:c r="L993" s="907" t="str">
        <x:v>SRC-P404</x:v>
      </x:c>
      <x:c r="M993" s="907" t="str">
        <x:v>VNStock API actual</x:v>
      </x:c>
      <x:c r="N993" s="1032" t="n">
        <x:v>46229.241747685184</x:v>
      </x:c>
    </x:row>
    <x:row r="994">
      <x:c r="A994" s="895" t="n">
        <x:v>45848</x:v>
      </x:c>
      <x:c r="B994" s="898" t="n">
        <x:v>58.99</x:v>
      </x:c>
      <x:c r="C994" s="898" t="n">
        <x:v>59.57</x:v>
      </x:c>
      <x:c r="D994" s="898" t="n">
        <x:v>58.5</x:v>
      </x:c>
      <x:c r="E994" s="898" t="n">
        <x:v>59.18</x:v>
      </x:c>
      <x:c r="F994" s="901" t="n">
        <x:v>1856814</x:v>
      </x:c>
      <x:c r="G994" s="904" t="n">
        <x:v>1437.13</x:v>
      </x:c>
      <x:c r="H994" s="904" t="n">
        <x:v>1446.16</x:v>
      </x:c>
      <x:c r="I994" s="904" t="n">
        <x:v>1431.32</x:v>
      </x:c>
      <x:c r="J994" s="904" t="n">
        <x:v>1445.64</x:v>
      </x:c>
      <x:c r="K994" s="901" t="n">
        <x:v>1074311106</x:v>
      </x:c>
      <x:c r="L994" s="907" t="str">
        <x:v>SRC-P404</x:v>
      </x:c>
      <x:c r="M994" s="907" t="str">
        <x:v>VNStock API actual</x:v>
      </x:c>
      <x:c r="N994" s="1032" t="n">
        <x:v>46229.241747685184</x:v>
      </x:c>
    </x:row>
    <x:row r="995">
      <x:c r="A995" s="895" t="n">
        <x:v>45849</x:v>
      </x:c>
      <x:c r="B995" s="898" t="n">
        <x:v>58.5</x:v>
      </x:c>
      <x:c r="C995" s="898" t="n">
        <x:v>59.18</x:v>
      </x:c>
      <x:c r="D995" s="898" t="n">
        <x:v>58.31</x:v>
      </x:c>
      <x:c r="E995" s="898" t="n">
        <x:v>58.5</x:v>
      </x:c>
      <x:c r="F995" s="901" t="n">
        <x:v>2406591</x:v>
      </x:c>
      <x:c r="G995" s="904" t="n">
        <x:v>1451.12</x:v>
      </x:c>
      <x:c r="H995" s="904" t="n">
        <x:v>1463.91</x:v>
      </x:c>
      <x:c r="I995" s="904" t="n">
        <x:v>1445.64</x:v>
      </x:c>
      <x:c r="J995" s="904" t="n">
        <x:v>1457.76</x:v>
      </x:c>
      <x:c r="K995" s="901" t="n">
        <x:v>1235944706</x:v>
      </x:c>
      <x:c r="L995" s="907" t="str">
        <x:v>SRC-P404</x:v>
      </x:c>
      <x:c r="M995" s="907" t="str">
        <x:v>VNStock API actual</x:v>
      </x:c>
      <x:c r="N995" s="1032" t="n">
        <x:v>46229.241747685184</x:v>
      </x:c>
    </x:row>
    <x:row r="996">
      <x:c r="A996" s="895" t="n">
        <x:v>45852</x:v>
      </x:c>
      <x:c r="B996" s="898" t="n">
        <x:v>58.6</x:v>
      </x:c>
      <x:c r="C996" s="898" t="n">
        <x:v>58.6</x:v>
      </x:c>
      <x:c r="D996" s="898" t="n">
        <x:v>56.85</x:v>
      </x:c>
      <x:c r="E996" s="898" t="n">
        <x:v>57.34</x:v>
      </x:c>
      <x:c r="F996" s="901" t="n">
        <x:v>4487238</x:v>
      </x:c>
      <x:c r="G996" s="904" t="n">
        <x:v>1471.4</x:v>
      </x:c>
      <x:c r="H996" s="904" t="n">
        <x:v>1473.93</x:v>
      </x:c>
      <x:c r="I996" s="904" t="n">
        <x:v>1447.72</x:v>
      </x:c>
      <x:c r="J996" s="904" t="n">
        <x:v>1470.42</x:v>
      </x:c>
      <x:c r="K996" s="901" t="n">
        <x:v>1259872146</x:v>
      </x:c>
      <x:c r="L996" s="907" t="str">
        <x:v>SRC-P404</x:v>
      </x:c>
      <x:c r="M996" s="907" t="str">
        <x:v>VNStock API actual</x:v>
      </x:c>
      <x:c r="N996" s="1032" t="n">
        <x:v>46229.241747685184</x:v>
      </x:c>
    </x:row>
    <x:row r="997">
      <x:c r="A997" s="895" t="n">
        <x:v>45853</x:v>
      </x:c>
      <x:c r="B997" s="898" t="n">
        <x:v>57.34</x:v>
      </x:c>
      <x:c r="C997" s="898" t="n">
        <x:v>57.43</x:v>
      </x:c>
      <x:c r="D997" s="898" t="n">
        <x:v>56.27</x:v>
      </x:c>
      <x:c r="E997" s="898" t="n">
        <x:v>56.27</x:v>
      </x:c>
      <x:c r="F997" s="901" t="n">
        <x:v>3751103</x:v>
      </x:c>
      <x:c r="G997" s="904" t="n">
        <x:v>1473.8</x:v>
      </x:c>
      <x:c r="H997" s="904" t="n">
        <x:v>1476.32</x:v>
      </x:c>
      <x:c r="I997" s="904" t="n">
        <x:v>1460.16</x:v>
      </x:c>
      <x:c r="J997" s="904" t="n">
        <x:v>1460.65</x:v>
      </x:c>
      <x:c r="K997" s="901" t="n">
        <x:v>1336267013</x:v>
      </x:c>
      <x:c r="L997" s="907" t="str">
        <x:v>SRC-P404</x:v>
      </x:c>
      <x:c r="M997" s="907" t="str">
        <x:v>VNStock API actual</x:v>
      </x:c>
      <x:c r="N997" s="1032" t="n">
        <x:v>46229.241747685184</x:v>
      </x:c>
    </x:row>
    <x:row r="998">
      <x:c r="A998" s="895" t="n">
        <x:v>45854</x:v>
      </x:c>
      <x:c r="B998" s="898" t="n">
        <x:v>56.27</x:v>
      </x:c>
      <x:c r="C998" s="898" t="n">
        <x:v>56.85</x:v>
      </x:c>
      <x:c r="D998" s="898" t="n">
        <x:v>55.59</x:v>
      </x:c>
      <x:c r="E998" s="898" t="n">
        <x:v>55.78</x:v>
      </x:c>
      <x:c r="F998" s="901" t="n">
        <x:v>2604361</x:v>
      </x:c>
      <x:c r="G998" s="904" t="n">
        <x:v>1459.87</x:v>
      </x:c>
      <x:c r="H998" s="904" t="n">
        <x:v>1475.47</x:v>
      </x:c>
      <x:c r="I998" s="904" t="n">
        <x:v>1457.04</x:v>
      </x:c>
      <x:c r="J998" s="904" t="n">
        <x:v>1475.47</x:v>
      </x:c>
      <x:c r="K998" s="901" t="n">
        <x:v>1221312100</x:v>
      </x:c>
      <x:c r="L998" s="907" t="str">
        <x:v>SRC-P404</x:v>
      </x:c>
      <x:c r="M998" s="907" t="str">
        <x:v>VNStock API actual</x:v>
      </x:c>
      <x:c r="N998" s="1032" t="n">
        <x:v>46229.241747685184</x:v>
      </x:c>
    </x:row>
    <x:row r="999">
      <x:c r="A999" s="895" t="n">
        <x:v>45855</x:v>
      </x:c>
      <x:c r="B999" s="898" t="n">
        <x:v>56.36</x:v>
      </x:c>
      <x:c r="C999" s="898" t="n">
        <x:v>56.66</x:v>
      </x:c>
      <x:c r="D999" s="898" t="n">
        <x:v>55.1</x:v>
      </x:c>
      <x:c r="E999" s="898" t="n">
        <x:v>55.49</x:v>
      </x:c>
      <x:c r="F999" s="901" t="n">
        <x:v>3438903</x:v>
      </x:c>
      <x:c r="G999" s="904" t="n">
        <x:v>1481.85</x:v>
      </x:c>
      <x:c r="H999" s="904" t="n">
        <x:v>1494.46</x:v>
      </x:c>
      <x:c r="I999" s="904" t="n">
        <x:v>1475.47</x:v>
      </x:c>
      <x:c r="J999" s="904" t="n">
        <x:v>1490.01</x:v>
      </x:c>
      <x:c r="K999" s="901" t="n">
        <x:v>1408347353</x:v>
      </x:c>
      <x:c r="L999" s="907" t="str">
        <x:v>SRC-P404</x:v>
      </x:c>
      <x:c r="M999" s="907" t="str">
        <x:v>VNStock API actual</x:v>
      </x:c>
      <x:c r="N999" s="1032" t="n">
        <x:v>46229.241747685184</x:v>
      </x:c>
    </x:row>
    <x:row r="1000">
      <x:c r="A1000" s="895" t="n">
        <x:v>45856</x:v>
      </x:c>
      <x:c r="B1000" s="898" t="n">
        <x:v>55.59</x:v>
      </x:c>
      <x:c r="C1000" s="898" t="n">
        <x:v>56.27</x:v>
      </x:c>
      <x:c r="D1000" s="898" t="n">
        <x:v>55</x:v>
      </x:c>
      <x:c r="E1000" s="898" t="n">
        <x:v>55.59</x:v>
      </x:c>
      <x:c r="F1000" s="901" t="n">
        <x:v>3576186</x:v>
      </x:c>
      <x:c r="G1000" s="904" t="n">
        <x:v>1497.53</x:v>
      </x:c>
      <x:c r="H1000" s="904" t="n">
        <x:v>1501.2</x:v>
      </x:c>
      <x:c r="I1000" s="904" t="n">
        <x:v>1484.29</x:v>
      </x:c>
      <x:c r="J1000" s="904" t="n">
        <x:v>1497.28</x:v>
      </x:c>
      <x:c r="K1000" s="901" t="n">
        <x:v>1461671359</x:v>
      </x:c>
      <x:c r="L1000" s="907" t="str">
        <x:v>SRC-P404</x:v>
      </x:c>
      <x:c r="M1000" s="907" t="str">
        <x:v>VNStock API actual</x:v>
      </x:c>
      <x:c r="N1000" s="1032" t="n">
        <x:v>46229.241747685184</x:v>
      </x:c>
    </x:row>
    <x:row r="1001">
      <x:c r="A1001" s="895" t="n">
        <x:v>45859</x:v>
      </x:c>
      <x:c r="B1001" s="898" t="n">
        <x:v>56.17</x:v>
      </x:c>
      <x:c r="C1001" s="898" t="n">
        <x:v>56.27</x:v>
      </x:c>
      <x:c r="D1001" s="898" t="n">
        <x:v>54.81</x:v>
      </x:c>
      <x:c r="E1001" s="898" t="n">
        <x:v>55.39</x:v>
      </x:c>
      <x:c r="F1001" s="901" t="n">
        <x:v>2509037</x:v>
      </x:c>
      <x:c r="G1001" s="904" t="n">
        <x:v>1508.6</x:v>
      </x:c>
      <x:c r="H1001" s="904" t="n">
        <x:v>1511.96</x:v>
      </x:c>
      <x:c r="I1001" s="904" t="n">
        <x:v>1481.37</x:v>
      </x:c>
      <x:c r="J1001" s="904" t="n">
        <x:v>1485.05</x:v>
      </x:c>
      <x:c r="K1001" s="901" t="n">
        <x:v>1390409164</x:v>
      </x:c>
      <x:c r="L1001" s="907" t="str">
        <x:v>SRC-P404</x:v>
      </x:c>
      <x:c r="M1001" s="907" t="str">
        <x:v>VNStock API actual</x:v>
      </x:c>
      <x:c r="N1001" s="1032" t="n">
        <x:v>46229.241747685184</x:v>
      </x:c>
    </x:row>
    <x:row r="1002">
      <x:c r="A1002" s="895" t="n">
        <x:v>45860</x:v>
      </x:c>
      <x:c r="B1002" s="898" t="n">
        <x:v>55.3</x:v>
      </x:c>
      <x:c r="C1002" s="898" t="n">
        <x:v>55.78</x:v>
      </x:c>
      <x:c r="D1002" s="898" t="n">
        <x:v>54.52</x:v>
      </x:c>
      <x:c r="E1002" s="898" t="n">
        <x:v>55.49</x:v>
      </x:c>
      <x:c r="F1002" s="901" t="n">
        <x:v>3252323</x:v>
      </x:c>
      <x:c r="G1002" s="904" t="n">
        <x:v>1485.26</x:v>
      </x:c>
      <x:c r="H1002" s="904" t="n">
        <x:v>1509.54</x:v>
      </x:c>
      <x:c r="I1002" s="904" t="n">
        <x:v>1476.61</x:v>
      </x:c>
      <x:c r="J1002" s="904" t="n">
        <x:v>1509.54</x:v>
      </x:c>
      <x:c r="K1002" s="901" t="n">
        <x:v>1232141283</x:v>
      </x:c>
      <x:c r="L1002" s="907" t="str">
        <x:v>SRC-P404</x:v>
      </x:c>
      <x:c r="M1002" s="907" t="str">
        <x:v>VNStock API actual</x:v>
      </x:c>
      <x:c r="N1002" s="1032" t="n">
        <x:v>46229.241747685184</x:v>
      </x:c>
    </x:row>
    <x:row r="1003">
      <x:c r="A1003" s="895" t="n">
        <x:v>45861</x:v>
      </x:c>
      <x:c r="B1003" s="898" t="n">
        <x:v>56.17</x:v>
      </x:c>
      <x:c r="C1003" s="898" t="n">
        <x:v>56.46</x:v>
      </x:c>
      <x:c r="D1003" s="898" t="n">
        <x:v>55.59</x:v>
      </x:c>
      <x:c r="E1003" s="898" t="n">
        <x:v>56.17</x:v>
      </x:c>
      <x:c r="F1003" s="901" t="n">
        <x:v>2339484</x:v>
      </x:c>
      <x:c r="G1003" s="904" t="n">
        <x:v>1519.58</x:v>
      </x:c>
      <x:c r="H1003" s="904" t="n">
        <x:v>1523.37</x:v>
      </x:c>
      <x:c r="I1003" s="904" t="n">
        <x:v>1507.14</x:v>
      </x:c>
      <x:c r="J1003" s="904" t="n">
        <x:v>1512.31</x:v>
      </x:c>
      <x:c r="K1003" s="901" t="n">
        <x:v>1440191422</x:v>
      </x:c>
      <x:c r="L1003" s="907" t="str">
        <x:v>SRC-P404</x:v>
      </x:c>
      <x:c r="M1003" s="907" t="str">
        <x:v>VNStock API actual</x:v>
      </x:c>
      <x:c r="N1003" s="1032" t="n">
        <x:v>46229.241747685184</x:v>
      </x:c>
    </x:row>
    <x:row r="1004">
      <x:c r="A1004" s="895" t="n">
        <x:v>45862</x:v>
      </x:c>
      <x:c r="B1004" s="898" t="n">
        <x:v>56.36</x:v>
      </x:c>
      <x:c r="C1004" s="898" t="n">
        <x:v>56.46</x:v>
      </x:c>
      <x:c r="D1004" s="898" t="n">
        <x:v>55.68</x:v>
      </x:c>
      <x:c r="E1004" s="898" t="n">
        <x:v>56.27</x:v>
      </x:c>
      <x:c r="F1004" s="901" t="n">
        <x:v>2074128</x:v>
      </x:c>
      <x:c r="G1004" s="904" t="n">
        <x:v>1520.25</x:v>
      </x:c>
      <x:c r="H1004" s="904" t="n">
        <x:v>1525.32</x:v>
      </x:c>
      <x:c r="I1004" s="904" t="n">
        <x:v>1502.82</x:v>
      </x:c>
      <x:c r="J1004" s="904" t="n">
        <x:v>1521.02</x:v>
      </x:c>
      <x:c r="K1004" s="901" t="n">
        <x:v>1391387058</x:v>
      </x:c>
      <x:c r="L1004" s="907" t="str">
        <x:v>SRC-P404</x:v>
      </x:c>
      <x:c r="M1004" s="907" t="str">
        <x:v>VNStock API actual</x:v>
      </x:c>
      <x:c r="N1004" s="1032" t="n">
        <x:v>46229.241747685184</x:v>
      </x:c>
    </x:row>
    <x:row r="1005">
      <x:c r="A1005" s="895" t="n">
        <x:v>45863</x:v>
      </x:c>
      <x:c r="B1005" s="898" t="n">
        <x:v>56.56</x:v>
      </x:c>
      <x:c r="C1005" s="898" t="n">
        <x:v>57.34</x:v>
      </x:c>
      <x:c r="D1005" s="898" t="n">
        <x:v>56.56</x:v>
      </x:c>
      <x:c r="E1005" s="898" t="n">
        <x:v>56.75</x:v>
      </x:c>
      <x:c r="F1005" s="901" t="n">
        <x:v>2846433</x:v>
      </x:c>
      <x:c r="G1005" s="904" t="n">
        <x:v>1521.56</x:v>
      </x:c>
      <x:c r="H1005" s="904" t="n">
        <x:v>1534.51</x:v>
      </x:c>
      <x:c r="I1005" s="904" t="n">
        <x:v>1519.79</x:v>
      </x:c>
      <x:c r="J1005" s="904" t="n">
        <x:v>1531.13</x:v>
      </x:c>
      <x:c r="K1005" s="901" t="n">
        <x:v>1406847721</x:v>
      </x:c>
      <x:c r="L1005" s="907" t="str">
        <x:v>SRC-P404</x:v>
      </x:c>
      <x:c r="M1005" s="907" t="str">
        <x:v>VNStock API actual</x:v>
      </x:c>
      <x:c r="N1005" s="1032" t="n">
        <x:v>46229.241747685184</x:v>
      </x:c>
    </x:row>
    <x:row r="1006">
      <x:c r="A1006" s="895" t="n">
        <x:v>45866</x:v>
      </x:c>
      <x:c r="B1006" s="898" t="n">
        <x:v>56.85</x:v>
      </x:c>
      <x:c r="C1006" s="898" t="n">
        <x:v>57.24</x:v>
      </x:c>
      <x:c r="D1006" s="898" t="n">
        <x:v>56.27</x:v>
      </x:c>
      <x:c r="E1006" s="898" t="n">
        <x:v>56.85</x:v>
      </x:c>
      <x:c r="F1006" s="901" t="n">
        <x:v>4580446</x:v>
      </x:c>
      <x:c r="G1006" s="904" t="n">
        <x:v>1541.82</x:v>
      </x:c>
      <x:c r="H1006" s="904" t="n">
        <x:v>1558.12</x:v>
      </x:c>
      <x:c r="I1006" s="904" t="n">
        <x:v>1531.13</x:v>
      </x:c>
      <x:c r="J1006" s="904" t="n">
        <x:v>1557.42</x:v>
      </x:c>
      <x:c r="K1006" s="901" t="n">
        <x:v>1789006045</x:v>
      </x:c>
      <x:c r="L1006" s="907" t="str">
        <x:v>SRC-P404</x:v>
      </x:c>
      <x:c r="M1006" s="907" t="str">
        <x:v>VNStock API actual</x:v>
      </x:c>
      <x:c r="N1006" s="1032" t="n">
        <x:v>46229.241747685184</x:v>
      </x:c>
    </x:row>
    <x:row r="1007">
      <x:c r="A1007" s="895" t="n">
        <x:v>45867</x:v>
      </x:c>
      <x:c r="B1007" s="898" t="n">
        <x:v>56.95</x:v>
      </x:c>
      <x:c r="C1007" s="898" t="n">
        <x:v>57.24</x:v>
      </x:c>
      <x:c r="D1007" s="898" t="n">
        <x:v>54.52</x:v>
      </x:c>
      <x:c r="E1007" s="898" t="n">
        <x:v>54.71</x:v>
      </x:c>
      <x:c r="F1007" s="901" t="n">
        <x:v>3537956</x:v>
      </x:c>
      <x:c r="G1007" s="904" t="n">
        <x:v>1562.6</x:v>
      </x:c>
      <x:c r="H1007" s="904" t="n">
        <x:v>1566.74</x:v>
      </x:c>
      <x:c r="I1007" s="904" t="n">
        <x:v>1490.24</x:v>
      </x:c>
      <x:c r="J1007" s="904" t="n">
        <x:v>1493.41</x:v>
      </x:c>
      <x:c r="K1007" s="901" t="n">
        <x:v>2644459187</x:v>
      </x:c>
      <x:c r="L1007" s="907" t="str">
        <x:v>SRC-P404</x:v>
      </x:c>
      <x:c r="M1007" s="907" t="str">
        <x:v>VNStock API actual</x:v>
      </x:c>
      <x:c r="N1007" s="1032" t="n">
        <x:v>46229.241747685184</x:v>
      </x:c>
    </x:row>
    <x:row r="1008">
      <x:c r="A1008" s="895" t="n">
        <x:v>45868</x:v>
      </x:c>
      <x:c r="B1008" s="898" t="n">
        <x:v>54.71</x:v>
      </x:c>
      <x:c r="C1008" s="898" t="n">
        <x:v>55.88</x:v>
      </x:c>
      <x:c r="D1008" s="898" t="n">
        <x:v>54.03</x:v>
      </x:c>
      <x:c r="E1008" s="898" t="n">
        <x:v>55.88</x:v>
      </x:c>
      <x:c r="F1008" s="901" t="n">
        <x:v>2167696</x:v>
      </x:c>
      <x:c r="G1008" s="904" t="n">
        <x:v>1500.23</x:v>
      </x:c>
      <x:c r="H1008" s="904" t="n">
        <x:v>1512.15</x:v>
      </x:c>
      <x:c r="I1008" s="904" t="n">
        <x:v>1482.45</x:v>
      </x:c>
      <x:c r="J1008" s="904" t="n">
        <x:v>1507.63</x:v>
      </x:c>
      <x:c r="K1008" s="901" t="n">
        <x:v>1640423968</x:v>
      </x:c>
      <x:c r="L1008" s="907" t="str">
        <x:v>SRC-P404</x:v>
      </x:c>
      <x:c r="M1008" s="907" t="str">
        <x:v>VNStock API actual</x:v>
      </x:c>
      <x:c r="N1008" s="1032" t="n">
        <x:v>46229.241747685184</x:v>
      </x:c>
    </x:row>
    <x:row r="1009">
      <x:c r="A1009" s="895" t="n">
        <x:v>45869</x:v>
      </x:c>
      <x:c r="B1009" s="898" t="n">
        <x:v>55.98</x:v>
      </x:c>
      <x:c r="C1009" s="898" t="n">
        <x:v>55.98</x:v>
      </x:c>
      <x:c r="D1009" s="898" t="n">
        <x:v>54.42</x:v>
      </x:c>
      <x:c r="E1009" s="898" t="n">
        <x:v>54.62</x:v>
      </x:c>
      <x:c r="F1009" s="901" t="n">
        <x:v>1854720</x:v>
      </x:c>
      <x:c r="G1009" s="904" t="n">
        <x:v>1521.96</x:v>
      </x:c>
      <x:c r="H1009" s="904" t="n">
        <x:v>1528.66</x:v>
      </x:c>
      <x:c r="I1009" s="904" t="n">
        <x:v>1488.3</x:v>
      </x:c>
      <x:c r="J1009" s="904" t="n">
        <x:v>1502.52</x:v>
      </x:c>
      <x:c r="K1009" s="901" t="n">
        <x:v>1652085886</x:v>
      </x:c>
      <x:c r="L1009" s="907" t="str">
        <x:v>SRC-P404</x:v>
      </x:c>
      <x:c r="M1009" s="907" t="str">
        <x:v>VNStock API actual</x:v>
      </x:c>
      <x:c r="N1009" s="1032" t="n">
        <x:v>46229.241747685184</x:v>
      </x:c>
    </x:row>
    <x:row r="1010">
      <x:c r="A1010" s="895" t="n">
        <x:v>45870</x:v>
      </x:c>
      <x:c r="B1010" s="898" t="n">
        <x:v>54.81</x:v>
      </x:c>
      <x:c r="C1010" s="898" t="n">
        <x:v>56.36</x:v>
      </x:c>
      <x:c r="D1010" s="898" t="n">
        <x:v>54.13</x:v>
      </x:c>
      <x:c r="E1010" s="898" t="n">
        <x:v>54.42</x:v>
      </x:c>
      <x:c r="F1010" s="901" t="n">
        <x:v>4651026</x:v>
      </x:c>
      <x:c r="G1010" s="904" t="n">
        <x:v>1506.88</x:v>
      </x:c>
      <x:c r="H1010" s="904" t="n">
        <x:v>1509.22</x:v>
      </x:c>
      <x:c r="I1010" s="904" t="n">
        <x:v>1479.98</x:v>
      </x:c>
      <x:c r="J1010" s="904" t="n">
        <x:v>1495.21</x:v>
      </x:c>
      <x:c r="K1010" s="901" t="n">
        <x:v>1383202505</x:v>
      </x:c>
      <x:c r="L1010" s="907" t="str">
        <x:v>SRC-P404</x:v>
      </x:c>
      <x:c r="M1010" s="907" t="str">
        <x:v>VNStock API actual</x:v>
      </x:c>
      <x:c r="N1010" s="1032" t="n">
        <x:v>46229.241747685184</x:v>
      </x:c>
    </x:row>
    <x:row r="1011">
      <x:c r="A1011" s="895" t="n">
        <x:v>45873</x:v>
      </x:c>
      <x:c r="B1011" s="898" t="n">
        <x:v>54.42</x:v>
      </x:c>
      <x:c r="C1011" s="898" t="n">
        <x:v>55.98</x:v>
      </x:c>
      <x:c r="D1011" s="898" t="n">
        <x:v>54.42</x:v>
      </x:c>
      <x:c r="E1011" s="898" t="n">
        <x:v>55.39</x:v>
      </x:c>
      <x:c r="F1011" s="901" t="n">
        <x:v>1553898</x:v>
      </x:c>
      <x:c r="G1011" s="904" t="n">
        <x:v>1493.37</x:v>
      </x:c>
      <x:c r="H1011" s="904" t="n">
        <x:v>1528.21</x:v>
      </x:c>
      <x:c r="I1011" s="904" t="n">
        <x:v>1491.11</x:v>
      </x:c>
      <x:c r="J1011" s="904" t="n">
        <x:v>1528.19</x:v>
      </x:c>
      <x:c r="K1011" s="901" t="n">
        <x:v>1229695208</x:v>
      </x:c>
      <x:c r="L1011" s="907" t="str">
        <x:v>SRC-P404</x:v>
      </x:c>
      <x:c r="M1011" s="907" t="str">
        <x:v>VNStock API actual</x:v>
      </x:c>
      <x:c r="N1011" s="1032" t="n">
        <x:v>46229.241747685184</x:v>
      </x:c>
    </x:row>
    <x:row r="1012">
      <x:c r="A1012" s="895" t="n">
        <x:v>45874</x:v>
      </x:c>
      <x:c r="B1012" s="898" t="n">
        <x:v>55.49</x:v>
      </x:c>
      <x:c r="C1012" s="898" t="n">
        <x:v>57.92</x:v>
      </x:c>
      <x:c r="D1012" s="898" t="n">
        <x:v>54.91</x:v>
      </x:c>
      <x:c r="E1012" s="898" t="n">
        <x:v>56.75</x:v>
      </x:c>
      <x:c r="F1012" s="901" t="n">
        <x:v>8137343</x:v>
      </x:c>
      <x:c r="G1012" s="904" t="n">
        <x:v>1547.19</x:v>
      </x:c>
      <x:c r="H1012" s="904" t="n">
        <x:v>1584.98</x:v>
      </x:c>
      <x:c r="I1012" s="904" t="n">
        <x:v>1519.08</x:v>
      </x:c>
      <x:c r="J1012" s="904" t="n">
        <x:v>1547.15</x:v>
      </x:c>
      <x:c r="K1012" s="901" t="n">
        <x:v>2698901575</x:v>
      </x:c>
      <x:c r="L1012" s="907" t="str">
        <x:v>SRC-P404</x:v>
      </x:c>
      <x:c r="M1012" s="907" t="str">
        <x:v>VNStock API actual</x:v>
      </x:c>
      <x:c r="N1012" s="1032" t="n">
        <x:v>46229.241747685184</x:v>
      </x:c>
    </x:row>
    <x:row r="1013">
      <x:c r="A1013" s="895" t="n">
        <x:v>45875</x:v>
      </x:c>
      <x:c r="B1013" s="898" t="n">
        <x:v>56.85</x:v>
      </x:c>
      <x:c r="C1013" s="898" t="n">
        <x:v>57.53</x:v>
      </x:c>
      <x:c r="D1013" s="898" t="n">
        <x:v>56.66</x:v>
      </x:c>
      <x:c r="E1013" s="898" t="n">
        <x:v>56.95</x:v>
      </x:c>
      <x:c r="F1013" s="901" t="n">
        <x:v>3515562</x:v>
      </x:c>
      <x:c r="G1013" s="904" t="n">
        <x:v>1558.56</x:v>
      </x:c>
      <x:c r="H1013" s="904" t="n">
        <x:v>1574.34</x:v>
      </x:c>
      <x:c r="I1013" s="904" t="n">
        <x:v>1547.15</x:v>
      </x:c>
      <x:c r="J1013" s="904" t="n">
        <x:v>1573.71</x:v>
      </x:c>
      <x:c r="K1013" s="901" t="n">
        <x:v>1329752984</x:v>
      </x:c>
      <x:c r="L1013" s="907" t="str">
        <x:v>SRC-P404</x:v>
      </x:c>
      <x:c r="M1013" s="907" t="str">
        <x:v>VNStock API actual</x:v>
      </x:c>
      <x:c r="N1013" s="1032" t="n">
        <x:v>46229.241747685184</x:v>
      </x:c>
    </x:row>
    <x:row r="1014">
      <x:c r="A1014" s="895" t="n">
        <x:v>45876</x:v>
      </x:c>
      <x:c r="B1014" s="898" t="n">
        <x:v>57.34</x:v>
      </x:c>
      <x:c r="C1014" s="898" t="n">
        <x:v>58.99</x:v>
      </x:c>
      <x:c r="D1014" s="898" t="n">
        <x:v>57.34</x:v>
      </x:c>
      <x:c r="E1014" s="898" t="n">
        <x:v>58.31</x:v>
      </x:c>
      <x:c r="F1014" s="901" t="n">
        <x:v>6310390</x:v>
      </x:c>
      <x:c r="G1014" s="904" t="n">
        <x:v>1587.84</x:v>
      </x:c>
      <x:c r="H1014" s="904" t="n">
        <x:v>1588.38</x:v>
      </x:c>
      <x:c r="I1014" s="904" t="n">
        <x:v>1567.72</x:v>
      </x:c>
      <x:c r="J1014" s="904" t="n">
        <x:v>1581.81</x:v>
      </x:c>
      <x:c r="K1014" s="901" t="n">
        <x:v>1610898102</x:v>
      </x:c>
      <x:c r="L1014" s="907" t="str">
        <x:v>SRC-P404</x:v>
      </x:c>
      <x:c r="M1014" s="907" t="str">
        <x:v>VNStock API actual</x:v>
      </x:c>
      <x:c r="N1014" s="1032" t="n">
        <x:v>46229.241747685184</x:v>
      </x:c>
    </x:row>
    <x:row r="1015">
      <x:c r="A1015" s="895" t="n">
        <x:v>45877</x:v>
      </x:c>
      <x:c r="B1015" s="898" t="n">
        <x:v>58.5</x:v>
      </x:c>
      <x:c r="C1015" s="898" t="n">
        <x:v>58.6</x:v>
      </x:c>
      <x:c r="D1015" s="898" t="n">
        <x:v>56.75</x:v>
      </x:c>
      <x:c r="E1015" s="898" t="n">
        <x:v>57.34</x:v>
      </x:c>
      <x:c r="F1015" s="901" t="n">
        <x:v>3956863</x:v>
      </x:c>
      <x:c r="G1015" s="904" t="n">
        <x:v>1589.58</x:v>
      </x:c>
      <x:c r="H1015" s="904" t="n">
        <x:v>1592.52</x:v>
      </x:c>
      <x:c r="I1015" s="904" t="n">
        <x:v>1565.45</x:v>
      </x:c>
      <x:c r="J1015" s="904" t="n">
        <x:v>1584.95</x:v>
      </x:c>
      <x:c r="K1015" s="901" t="n">
        <x:v>1820837623</x:v>
      </x:c>
      <x:c r="L1015" s="907" t="str">
        <x:v>SRC-P404</x:v>
      </x:c>
      <x:c r="M1015" s="907" t="str">
        <x:v>VNStock API actual</x:v>
      </x:c>
      <x:c r="N1015" s="1032" t="n">
        <x:v>46229.241747685184</x:v>
      </x:c>
    </x:row>
    <x:row r="1016">
      <x:c r="A1016" s="895" t="n">
        <x:v>45880</x:v>
      </x:c>
      <x:c r="B1016" s="898" t="n">
        <x:v>57.92</x:v>
      </x:c>
      <x:c r="C1016" s="898" t="n">
        <x:v>59.28</x:v>
      </x:c>
      <x:c r="D1016" s="898" t="n">
        <x:v>57.24</x:v>
      </x:c>
      <x:c r="E1016" s="898" t="n">
        <x:v>57.24</x:v>
      </x:c>
      <x:c r="F1016" s="901" t="n">
        <x:v>4333284</x:v>
      </x:c>
      <x:c r="G1016" s="904" t="n">
        <x:v>1590.98</x:v>
      </x:c>
      <x:c r="H1016" s="904" t="n">
        <x:v>1601.79</x:v>
      </x:c>
      <x:c r="I1016" s="904" t="n">
        <x:v>1584.95</x:v>
      </x:c>
      <x:c r="J1016" s="904" t="n">
        <x:v>1596.86</x:v>
      </x:c>
      <x:c r="K1016" s="901" t="n">
        <x:v>1590494840</x:v>
      </x:c>
      <x:c r="L1016" s="907" t="str">
        <x:v>SRC-P404</x:v>
      </x:c>
      <x:c r="M1016" s="907" t="str">
        <x:v>VNStock API actual</x:v>
      </x:c>
      <x:c r="N1016" s="1032" t="n">
        <x:v>46229.241747685184</x:v>
      </x:c>
    </x:row>
    <x:row r="1017">
      <x:c r="A1017" s="895" t="n">
        <x:v>45881</x:v>
      </x:c>
      <x:c r="B1017" s="898" t="n">
        <x:v>57.43</x:v>
      </x:c>
      <x:c r="C1017" s="898" t="n">
        <x:v>59.77</x:v>
      </x:c>
      <x:c r="D1017" s="898" t="n">
        <x:v>57.43</x:v>
      </x:c>
      <x:c r="E1017" s="898" t="n">
        <x:v>59.09</x:v>
      </x:c>
      <x:c r="F1017" s="901" t="n">
        <x:v>6836213</x:v>
      </x:c>
      <x:c r="G1017" s="904" t="n">
        <x:v>1603.5</x:v>
      </x:c>
      <x:c r="H1017" s="904" t="n">
        <x:v>1608.23</x:v>
      </x:c>
      <x:c r="I1017" s="904" t="n">
        <x:v>1591.18</x:v>
      </x:c>
      <x:c r="J1017" s="904" t="n">
        <x:v>1608.22</x:v>
      </x:c>
      <x:c r="K1017" s="901" t="n">
        <x:v>1646679881</x:v>
      </x:c>
      <x:c r="L1017" s="907" t="str">
        <x:v>SRC-P404</x:v>
      </x:c>
      <x:c r="M1017" s="907" t="str">
        <x:v>VNStock API actual</x:v>
      </x:c>
      <x:c r="N1017" s="1032" t="n">
        <x:v>46229.241747685184</x:v>
      </x:c>
    </x:row>
    <x:row r="1018">
      <x:c r="A1018" s="895" t="n">
        <x:v>45882</x:v>
      </x:c>
      <x:c r="B1018" s="898" t="n">
        <x:v>59.57</x:v>
      </x:c>
      <x:c r="C1018" s="898" t="n">
        <x:v>59.67</x:v>
      </x:c>
      <x:c r="D1018" s="898" t="n">
        <x:v>57.82</x:v>
      </x:c>
      <x:c r="E1018" s="898" t="n">
        <x:v>59.18</x:v>
      </x:c>
      <x:c r="F1018" s="901" t="n">
        <x:v>3543202</x:v>
      </x:c>
      <x:c r="G1018" s="904" t="n">
        <x:v>1615.57</x:v>
      </x:c>
      <x:c r="H1018" s="904" t="n">
        <x:v>1616.99</x:v>
      </x:c>
      <x:c r="I1018" s="904" t="n">
        <x:v>1585.54</x:v>
      </x:c>
      <x:c r="J1018" s="904" t="n">
        <x:v>1611.6</x:v>
      </x:c>
      <x:c r="K1018" s="901" t="n">
        <x:v>1954057759</x:v>
      </x:c>
      <x:c r="L1018" s="907" t="str">
        <x:v>SRC-P404</x:v>
      </x:c>
      <x:c r="M1018" s="907" t="str">
        <x:v>VNStock API actual</x:v>
      </x:c>
      <x:c r="N1018" s="1032" t="n">
        <x:v>46229.241747685184</x:v>
      </x:c>
    </x:row>
    <x:row r="1019">
      <x:c r="A1019" s="895" t="n">
        <x:v>45883</x:v>
      </x:c>
      <x:c r="B1019" s="898" t="n">
        <x:v>59.67</x:v>
      </x:c>
      <x:c r="C1019" s="898" t="n">
        <x:v>59.67</x:v>
      </x:c>
      <x:c r="D1019" s="898" t="n">
        <x:v>58.6</x:v>
      </x:c>
      <x:c r="E1019" s="898" t="n">
        <x:v>59.47</x:v>
      </x:c>
      <x:c r="F1019" s="901" t="n">
        <x:v>4475156</x:v>
      </x:c>
      <x:c r="G1019" s="904" t="n">
        <x:v>1623.18</x:v>
      </x:c>
      <x:c r="H1019" s="904" t="n">
        <x:v>1641.28</x:v>
      </x:c>
      <x:c r="I1019" s="904" t="n">
        <x:v>1619.76</x:v>
      </x:c>
      <x:c r="J1019" s="904" t="n">
        <x:v>1640.69</x:v>
      </x:c>
      <x:c r="K1019" s="901" t="n">
        <x:v>1818449345</x:v>
      </x:c>
      <x:c r="L1019" s="907" t="str">
        <x:v>SRC-P404</x:v>
      </x:c>
      <x:c r="M1019" s="907" t="str">
        <x:v>VNStock API actual</x:v>
      </x:c>
      <x:c r="N1019" s="1032" t="n">
        <x:v>46229.241747685184</x:v>
      </x:c>
    </x:row>
    <x:row r="1020">
      <x:c r="A1020" s="895" t="n">
        <x:v>45884</x:v>
      </x:c>
      <x:c r="B1020" s="898" t="n">
        <x:v>59.77</x:v>
      </x:c>
      <x:c r="C1020" s="898" t="n">
        <x:v>59.77</x:v>
      </x:c>
      <x:c r="D1020" s="898" t="n">
        <x:v>57.14</x:v>
      </x:c>
      <x:c r="E1020" s="898" t="n">
        <x:v>58.02</x:v>
      </x:c>
      <x:c r="F1020" s="901" t="n">
        <x:v>5568582</x:v>
      </x:c>
      <x:c r="G1020" s="904" t="n">
        <x:v>1658.24</x:v>
      </x:c>
      <x:c r="H1020" s="904" t="n">
        <x:v>1665.97</x:v>
      </x:c>
      <x:c r="I1020" s="904" t="n">
        <x:v>1615.26</x:v>
      </x:c>
      <x:c r="J1020" s="904" t="n">
        <x:v>1630</x:v>
      </x:c>
      <x:c r="K1020" s="901" t="n">
        <x:v>2072101334</x:v>
      </x:c>
      <x:c r="L1020" s="907" t="str">
        <x:v>SRC-P404</x:v>
      </x:c>
      <x:c r="M1020" s="907" t="str">
        <x:v>VNStock API actual</x:v>
      </x:c>
      <x:c r="N1020" s="1032" t="n">
        <x:v>46229.241747685184</x:v>
      </x:c>
    </x:row>
    <x:row r="1021">
      <x:c r="A1021" s="895" t="n">
        <x:v>45887</x:v>
      </x:c>
      <x:c r="B1021" s="898" t="n">
        <x:v>58.21</x:v>
      </x:c>
      <x:c r="C1021" s="898" t="n">
        <x:v>61.51</x:v>
      </x:c>
      <x:c r="D1021" s="898" t="n">
        <x:v>57.53</x:v>
      </x:c>
      <x:c r="E1021" s="898" t="n">
        <x:v>61.51</x:v>
      </x:c>
      <x:c r="F1021" s="901" t="n">
        <x:v>6964091</x:v>
      </x:c>
      <x:c r="G1021" s="904" t="n">
        <x:v>1638.37</x:v>
      </x:c>
      <x:c r="H1021" s="904" t="n">
        <x:v>1642.71</x:v>
      </x:c>
      <x:c r="I1021" s="904" t="n">
        <x:v>1625.61</x:v>
      </x:c>
      <x:c r="J1021" s="904" t="n">
        <x:v>1636.37</x:v>
      </x:c>
      <x:c r="K1021" s="901" t="n">
        <x:v>1606149815</x:v>
      </x:c>
      <x:c r="L1021" s="907" t="str">
        <x:v>SRC-P404</x:v>
      </x:c>
      <x:c r="M1021" s="907" t="str">
        <x:v>VNStock API actual</x:v>
      </x:c>
      <x:c r="N1021" s="1032" t="n">
        <x:v>46229.241747685184</x:v>
      </x:c>
    </x:row>
    <x:row r="1022">
      <x:c r="A1022" s="895" t="n">
        <x:v>45888</x:v>
      </x:c>
      <x:c r="B1022" s="898" t="n">
        <x:v>62.2</x:v>
      </x:c>
      <x:c r="C1022" s="898" t="n">
        <x:v>62.68</x:v>
      </x:c>
      <x:c r="D1022" s="898" t="n">
        <x:v>61.03</x:v>
      </x:c>
      <x:c r="E1022" s="898" t="n">
        <x:v>61.22</x:v>
      </x:c>
      <x:c r="F1022" s="901" t="n">
        <x:v>3629220</x:v>
      </x:c>
      <x:c r="G1022" s="904" t="n">
        <x:v>1646.73</x:v>
      </x:c>
      <x:c r="H1022" s="904" t="n">
        <x:v>1665.48</x:v>
      </x:c>
      <x:c r="I1022" s="904" t="n">
        <x:v>1643.04</x:v>
      </x:c>
      <x:c r="J1022" s="904" t="n">
        <x:v>1654.2</x:v>
      </x:c>
      <x:c r="K1022" s="901" t="n">
        <x:v>1933110149</x:v>
      </x:c>
      <x:c r="L1022" s="907" t="str">
        <x:v>SRC-P404</x:v>
      </x:c>
      <x:c r="M1022" s="907" t="str">
        <x:v>VNStock API actual</x:v>
      </x:c>
      <x:c r="N1022" s="1032" t="n">
        <x:v>46229.241747685184</x:v>
      </x:c>
    </x:row>
    <x:row r="1023">
      <x:c r="A1023" s="895" t="n">
        <x:v>45889</x:v>
      </x:c>
      <x:c r="B1023" s="898" t="n">
        <x:v>61.03</x:v>
      </x:c>
      <x:c r="C1023" s="898" t="n">
        <x:v>61.22</x:v>
      </x:c>
      <x:c r="D1023" s="898" t="n">
        <x:v>56.95</x:v>
      </x:c>
      <x:c r="E1023" s="898" t="n">
        <x:v>60.45</x:v>
      </x:c>
      <x:c r="F1023" s="901" t="n">
        <x:v>4376113</x:v>
      </x:c>
      <x:c r="G1023" s="904" t="n">
        <x:v>1662.11</x:v>
      </x:c>
      <x:c r="H1023" s="904" t="n">
        <x:v>1665.54</x:v>
      </x:c>
      <x:c r="I1023" s="904" t="n">
        <x:v>1614.6</x:v>
      </x:c>
      <x:c r="J1023" s="904" t="n">
        <x:v>1664.36</x:v>
      </x:c>
      <x:c r="K1023" s="901" t="n">
        <x:v>2411541300</x:v>
      </x:c>
      <x:c r="L1023" s="907" t="str">
        <x:v>SRC-P404</x:v>
      </x:c>
      <x:c r="M1023" s="907" t="str">
        <x:v>VNStock API actual</x:v>
      </x:c>
      <x:c r="N1023" s="1032" t="n">
        <x:v>46229.241747685184</x:v>
      </x:c>
    </x:row>
    <x:row r="1024">
      <x:c r="A1024" s="895" t="n">
        <x:v>45890</x:v>
      </x:c>
      <x:c r="B1024" s="898" t="n">
        <x:v>60.45</x:v>
      </x:c>
      <x:c r="C1024" s="898" t="n">
        <x:v>60.93</x:v>
      </x:c>
      <x:c r="D1024" s="898" t="n">
        <x:v>59.28</x:v>
      </x:c>
      <x:c r="E1024" s="898" t="n">
        <x:v>60.64</x:v>
      </x:c>
      <x:c r="F1024" s="901" t="n">
        <x:v>2895182</x:v>
      </x:c>
      <x:c r="G1024" s="904" t="n">
        <x:v>1674.76</x:v>
      </x:c>
      <x:c r="H1024" s="904" t="n">
        <x:v>1693.68</x:v>
      </x:c>
      <x:c r="I1024" s="904" t="n">
        <x:v>1672.26</x:v>
      </x:c>
      <x:c r="J1024" s="904" t="n">
        <x:v>1688</x:v>
      </x:c>
      <x:c r="K1024" s="901" t="n">
        <x:v>1716580207</x:v>
      </x:c>
      <x:c r="L1024" s="907" t="str">
        <x:v>SRC-P404</x:v>
      </x:c>
      <x:c r="M1024" s="907" t="str">
        <x:v>VNStock API actual</x:v>
      </x:c>
      <x:c r="N1024" s="1032" t="n">
        <x:v>46229.241747685184</x:v>
      </x:c>
    </x:row>
    <x:row r="1025">
      <x:c r="A1025" s="895" t="n">
        <x:v>45891</x:v>
      </x:c>
      <x:c r="B1025" s="898" t="n">
        <x:v>59.57</x:v>
      </x:c>
      <x:c r="C1025" s="898" t="n">
        <x:v>62.58</x:v>
      </x:c>
      <x:c r="D1025" s="898" t="n">
        <x:v>59.28</x:v>
      </x:c>
      <x:c r="E1025" s="898" t="n">
        <x:v>59.96</x:v>
      </x:c>
      <x:c r="F1025" s="901" t="n">
        <x:v>3790664</x:v>
      </x:c>
      <x:c r="G1025" s="904" t="n">
        <x:v>1680.42</x:v>
      </x:c>
      <x:c r="H1025" s="904" t="n">
        <x:v>1689.3</x:v>
      </x:c>
      <x:c r="I1025" s="904" t="n">
        <x:v>1629.49</x:v>
      </x:c>
      <x:c r="J1025" s="904" t="n">
        <x:v>1645.47</x:v>
      </x:c>
      <x:c r="K1025" s="901" t="n">
        <x:v>2293777647</x:v>
      </x:c>
      <x:c r="L1025" s="907" t="str">
        <x:v>SRC-P404</x:v>
      </x:c>
      <x:c r="M1025" s="907" t="str">
        <x:v>VNStock API actual</x:v>
      </x:c>
      <x:c r="N1025" s="1032" t="n">
        <x:v>46229.241747685184</x:v>
      </x:c>
    </x:row>
    <x:row r="1026">
      <x:c r="A1026" s="895" t="n">
        <x:v>45894</x:v>
      </x:c>
      <x:c r="B1026" s="898" t="n">
        <x:v>60.25</x:v>
      </x:c>
      <x:c r="C1026" s="898" t="n">
        <x:v>60.74</x:v>
      </x:c>
      <x:c r="D1026" s="898" t="n">
        <x:v>58.6</x:v>
      </x:c>
      <x:c r="E1026" s="898" t="n">
        <x:v>58.7</x:v>
      </x:c>
      <x:c r="F1026" s="901" t="n">
        <x:v>3200554</x:v>
      </x:c>
      <x:c r="G1026" s="904" t="n">
        <x:v>1659.7</x:v>
      </x:c>
      <x:c r="H1026" s="904" t="n">
        <x:v>1660.49</x:v>
      </x:c>
      <x:c r="I1026" s="904" t="n">
        <x:v>1608.53</x:v>
      </x:c>
      <x:c r="J1026" s="904" t="n">
        <x:v>1614.03</x:v>
      </x:c>
      <x:c r="K1026" s="901" t="n">
        <x:v>1524727856</x:v>
      </x:c>
      <x:c r="L1026" s="907" t="str">
        <x:v>SRC-P404</x:v>
      </x:c>
      <x:c r="M1026" s="907" t="str">
        <x:v>VNStock API actual</x:v>
      </x:c>
      <x:c r="N1026" s="1032" t="n">
        <x:v>46229.241747685184</x:v>
      </x:c>
    </x:row>
    <x:row r="1027">
      <x:c r="A1027" s="895" t="n">
        <x:v>45895</x:v>
      </x:c>
      <x:c r="B1027" s="898" t="n">
        <x:v>58.6</x:v>
      </x:c>
      <x:c r="C1027" s="898" t="n">
        <x:v>59.96</x:v>
      </x:c>
      <x:c r="D1027" s="898" t="n">
        <x:v>58.31</x:v>
      </x:c>
      <x:c r="E1027" s="898" t="n">
        <x:v>59.96</x:v>
      </x:c>
      <x:c r="F1027" s="901" t="n">
        <x:v>2269224</x:v>
      </x:c>
      <x:c r="G1027" s="904" t="n">
        <x:v>1611.61</x:v>
      </x:c>
      <x:c r="H1027" s="904" t="n">
        <x:v>1667.96</x:v>
      </x:c>
      <x:c r="I1027" s="904" t="n">
        <x:v>1603.73</x:v>
      </x:c>
      <x:c r="J1027" s="904" t="n">
        <x:v>1667.63</x:v>
      </x:c>
      <x:c r="K1027" s="901" t="n">
        <x:v>1439338154</x:v>
      </x:c>
      <x:c r="L1027" s="907" t="str">
        <x:v>SRC-P404</x:v>
      </x:c>
      <x:c r="M1027" s="907" t="str">
        <x:v>VNStock API actual</x:v>
      </x:c>
      <x:c r="N1027" s="1032" t="n">
        <x:v>46229.241747685184</x:v>
      </x:c>
    </x:row>
    <x:row r="1028">
      <x:c r="A1028" s="895" t="n">
        <x:v>45896</x:v>
      </x:c>
      <x:c r="B1028" s="898" t="n">
        <x:v>60.45</x:v>
      </x:c>
      <x:c r="C1028" s="898" t="n">
        <x:v>64.14</x:v>
      </x:c>
      <x:c r="D1028" s="898" t="n">
        <x:v>60.06</x:v>
      </x:c>
      <x:c r="E1028" s="898" t="n">
        <x:v>64.14</x:v>
      </x:c>
      <x:c r="F1028" s="901" t="n">
        <x:v>9811063</x:v>
      </x:c>
      <x:c r="G1028" s="904" t="n">
        <x:v>1678.54</x:v>
      </x:c>
      <x:c r="H1028" s="904" t="n">
        <x:v>1696.6</x:v>
      </x:c>
      <x:c r="I1028" s="904" t="n">
        <x:v>1668.24</x:v>
      </x:c>
      <x:c r="J1028" s="904" t="n">
        <x:v>1672.78</x:v>
      </x:c>
      <x:c r="K1028" s="901" t="n">
        <x:v>1562452835</x:v>
      </x:c>
      <x:c r="L1028" s="907" t="str">
        <x:v>SRC-P404</x:v>
      </x:c>
      <x:c r="M1028" s="907" t="str">
        <x:v>VNStock API actual</x:v>
      </x:c>
      <x:c r="N1028" s="1032" t="n">
        <x:v>46229.241747685184</x:v>
      </x:c>
    </x:row>
    <x:row r="1029">
      <x:c r="A1029" s="895" t="n">
        <x:v>45897</x:v>
      </x:c>
      <x:c r="B1029" s="898" t="n">
        <x:v>65.01</x:v>
      </x:c>
      <x:c r="C1029" s="898" t="n">
        <x:v>68.03</x:v>
      </x:c>
      <x:c r="D1029" s="898" t="n">
        <x:v>64.33</x:v>
      </x:c>
      <x:c r="E1029" s="898" t="n">
        <x:v>66.96</x:v>
      </x:c>
      <x:c r="F1029" s="901" t="n">
        <x:v>6051877</x:v>
      </x:c>
      <x:c r="G1029" s="904" t="n">
        <x:v>1679.33</x:v>
      </x:c>
      <x:c r="H1029" s="904" t="n">
        <x:v>1684.16</x:v>
      </x:c>
      <x:c r="I1029" s="904" t="n">
        <x:v>1659.68</x:v>
      </x:c>
      <x:c r="J1029" s="904" t="n">
        <x:v>1680.86</x:v>
      </x:c>
      <x:c r="K1029" s="901" t="n">
        <x:v>1190991833</x:v>
      </x:c>
      <x:c r="L1029" s="907" t="str">
        <x:v>SRC-P404</x:v>
      </x:c>
      <x:c r="M1029" s="907" t="str">
        <x:v>VNStock API actual</x:v>
      </x:c>
      <x:c r="N1029" s="1032" t="n">
        <x:v>46229.241747685184</x:v>
      </x:c>
    </x:row>
    <x:row r="1030">
      <x:c r="A1030" s="895" t="n">
        <x:v>45898</x:v>
      </x:c>
      <x:c r="B1030" s="898" t="n">
        <x:v>66.96</x:v>
      </x:c>
      <x:c r="C1030" s="898" t="n">
        <x:v>67.73</x:v>
      </x:c>
      <x:c r="D1030" s="898" t="n">
        <x:v>66.47</x:v>
      </x:c>
      <x:c r="E1030" s="898" t="n">
        <x:v>67.15</x:v>
      </x:c>
      <x:c r="F1030" s="901" t="n">
        <x:v>4681714</x:v>
      </x:c>
      <x:c r="G1030" s="904" t="n">
        <x:v>1690.11</x:v>
      </x:c>
      <x:c r="H1030" s="904" t="n">
        <x:v>1694.42</x:v>
      </x:c>
      <x:c r="I1030" s="904" t="n">
        <x:v>1678.57</x:v>
      </x:c>
      <x:c r="J1030" s="904" t="n">
        <x:v>1682.21</x:v>
      </x:c>
      <x:c r="K1030" s="901" t="n">
        <x:v>1522606385</x:v>
      </x:c>
      <x:c r="L1030" s="907" t="str">
        <x:v>SRC-P404</x:v>
      </x:c>
      <x:c r="M1030" s="907" t="str">
        <x:v>VNStock API actual</x:v>
      </x:c>
      <x:c r="N1030" s="1032" t="n">
        <x:v>46229.241747685184</x:v>
      </x:c>
    </x:row>
    <x:row r="1031">
      <x:c r="A1031" s="895" t="n">
        <x:v>45903</x:v>
      </x:c>
      <x:c r="B1031" s="898" t="n">
        <x:v>67.05</x:v>
      </x:c>
      <x:c r="C1031" s="898" t="n">
        <x:v>67.05</x:v>
      </x:c>
      <x:c r="D1031" s="898" t="n">
        <x:v>65.01</x:v>
      </x:c>
      <x:c r="E1031" s="898" t="n">
        <x:v>65.5</x:v>
      </x:c>
      <x:c r="F1031" s="901" t="n">
        <x:v>3027454</x:v>
      </x:c>
      <x:c r="G1031" s="904" t="n">
        <x:v>1682.11</x:v>
      </x:c>
      <x:c r="H1031" s="904" t="n">
        <x:v>1685.73</x:v>
      </x:c>
      <x:c r="I1031" s="904" t="n">
        <x:v>1670.39</x:v>
      </x:c>
      <x:c r="J1031" s="904" t="n">
        <x:v>1681.3</x:v>
      </x:c>
      <x:c r="K1031" s="901" t="n">
        <x:v>1305793226</x:v>
      </x:c>
      <x:c r="L1031" s="907" t="str">
        <x:v>SRC-P404</x:v>
      </x:c>
      <x:c r="M1031" s="907" t="str">
        <x:v>VNStock API actual</x:v>
      </x:c>
      <x:c r="N1031" s="1032" t="n">
        <x:v>46229.241747685184</x:v>
      </x:c>
    </x:row>
    <x:row r="1032">
      <x:c r="A1032" s="895" t="n">
        <x:v>45904</x:v>
      </x:c>
      <x:c r="B1032" s="898" t="n">
        <x:v>65.4</x:v>
      </x:c>
      <x:c r="C1032" s="898" t="n">
        <x:v>66.96</x:v>
      </x:c>
      <x:c r="D1032" s="898" t="n">
        <x:v>65.21</x:v>
      </x:c>
      <x:c r="E1032" s="898" t="n">
        <x:v>66.57</x:v>
      </x:c>
      <x:c r="F1032" s="901" t="n">
        <x:v>2477643</x:v>
      </x:c>
      <x:c r="G1032" s="904" t="n">
        <x:v>1687.59</x:v>
      </x:c>
      <x:c r="H1032" s="904" t="n">
        <x:v>1696.29</x:v>
      </x:c>
      <x:c r="I1032" s="904" t="n">
        <x:v>1675.95</x:v>
      </x:c>
      <x:c r="J1032" s="904" t="n">
        <x:v>1696.29</x:v>
      </x:c>
      <x:c r="K1032" s="901" t="n">
        <x:v>1375273973</x:v>
      </x:c>
      <x:c r="L1032" s="907" t="str">
        <x:v>SRC-P404</x:v>
      </x:c>
      <x:c r="M1032" s="907" t="str">
        <x:v>VNStock API actual</x:v>
      </x:c>
      <x:c r="N1032" s="1032" t="n">
        <x:v>46229.241747685184</x:v>
      </x:c>
    </x:row>
    <x:row r="1033">
      <x:c r="A1033" s="895" t="n">
        <x:v>45905</x:v>
      </x:c>
      <x:c r="B1033" s="898" t="n">
        <x:v>66.96</x:v>
      </x:c>
      <x:c r="C1033" s="898" t="n">
        <x:v>67.05</x:v>
      </x:c>
      <x:c r="D1033" s="898" t="n">
        <x:v>63.75</x:v>
      </x:c>
      <x:c r="E1033" s="898" t="n">
        <x:v>64.62</x:v>
      </x:c>
      <x:c r="F1033" s="901" t="n">
        <x:v>2750510</x:v>
      </x:c>
      <x:c r="G1033" s="904" t="n">
        <x:v>1705.13</x:v>
      </x:c>
      <x:c r="H1033" s="904" t="n">
        <x:v>1711.49</x:v>
      </x:c>
      <x:c r="I1033" s="904" t="n">
        <x:v>1665.45</x:v>
      </x:c>
      <x:c r="J1033" s="904" t="n">
        <x:v>1666.97</x:v>
      </x:c>
      <x:c r="K1033" s="901" t="n">
        <x:v>1696082766</x:v>
      </x:c>
      <x:c r="L1033" s="907" t="str">
        <x:v>SRC-P404</x:v>
      </x:c>
      <x:c r="M1033" s="907" t="str">
        <x:v>VNStock API actual</x:v>
      </x:c>
      <x:c r="N1033" s="1032" t="n">
        <x:v>46229.241747685184</x:v>
      </x:c>
    </x:row>
    <x:row r="1034">
      <x:c r="A1034" s="895" t="n">
        <x:v>45908</x:v>
      </x:c>
      <x:c r="B1034" s="898" t="n">
        <x:v>64.72</x:v>
      </x:c>
      <x:c r="C1034" s="898" t="n">
        <x:v>66.28</x:v>
      </x:c>
      <x:c r="D1034" s="898" t="n">
        <x:v>64.33</x:v>
      </x:c>
      <x:c r="E1034" s="898" t="n">
        <x:v>64.33</x:v>
      </x:c>
      <x:c r="F1034" s="901" t="n">
        <x:v>3018168</x:v>
      </x:c>
      <x:c r="G1034" s="904" t="n">
        <x:v>1660.91</x:v>
      </x:c>
      <x:c r="H1034" s="904" t="n">
        <x:v>1667.36</x:v>
      </x:c>
      <x:c r="I1034" s="904" t="n">
        <x:v>1624.53</x:v>
      </x:c>
      <x:c r="J1034" s="904" t="n">
        <x:v>1624.53</x:v>
      </x:c>
      <x:c r="K1034" s="901" t="n">
        <x:v>1904992565</x:v>
      </x:c>
      <x:c r="L1034" s="907" t="str">
        <x:v>SRC-P404</x:v>
      </x:c>
      <x:c r="M1034" s="907" t="str">
        <x:v>VNStock API actual</x:v>
      </x:c>
      <x:c r="N1034" s="1032" t="n">
        <x:v>46229.241747685184</x:v>
      </x:c>
    </x:row>
    <x:row r="1035">
      <x:c r="A1035" s="895" t="n">
        <x:v>45909</x:v>
      </x:c>
      <x:c r="B1035" s="898" t="n">
        <x:v>64.72</x:v>
      </x:c>
      <x:c r="C1035" s="898" t="n">
        <x:v>66.37</x:v>
      </x:c>
      <x:c r="D1035" s="898" t="n">
        <x:v>64.53</x:v>
      </x:c>
      <x:c r="E1035" s="898" t="n">
        <x:v>66.28</x:v>
      </x:c>
      <x:c r="F1035" s="901" t="n">
        <x:v>3909589</x:v>
      </x:c>
      <x:c r="G1035" s="904" t="n">
        <x:v>1629.58</x:v>
      </x:c>
      <x:c r="H1035" s="904" t="n">
        <x:v>1637.32</x:v>
      </x:c>
      <x:c r="I1035" s="904" t="n">
        <x:v>1613.01</x:v>
      </x:c>
      <x:c r="J1035" s="904" t="n">
        <x:v>1637.32</x:v>
      </x:c>
      <x:c r="K1035" s="901" t="n">
        <x:v>1129244291</x:v>
      </x:c>
      <x:c r="L1035" s="907" t="str">
        <x:v>SRC-P404</x:v>
      </x:c>
      <x:c r="M1035" s="907" t="str">
        <x:v>VNStock API actual</x:v>
      </x:c>
      <x:c r="N1035" s="1032" t="n">
        <x:v>46229.241747685184</x:v>
      </x:c>
    </x:row>
    <x:row r="1036">
      <x:c r="A1036" s="895" t="n">
        <x:v>45910</x:v>
      </x:c>
      <x:c r="B1036" s="898" t="n">
        <x:v>66.76</x:v>
      </x:c>
      <x:c r="C1036" s="898" t="n">
        <x:v>68.41</x:v>
      </x:c>
      <x:c r="D1036" s="898" t="n">
        <x:v>65.4</x:v>
      </x:c>
      <x:c r="E1036" s="898" t="n">
        <x:v>66.76</x:v>
      </x:c>
      <x:c r="F1036" s="901" t="n">
        <x:v>5269935</x:v>
      </x:c>
      <x:c r="G1036" s="904" t="n">
        <x:v>1646.41</x:v>
      </x:c>
      <x:c r="H1036" s="904" t="n">
        <x:v>1646.49</x:v>
      </x:c>
      <x:c r="I1036" s="904" t="n">
        <x:v>1629.29</x:v>
      </x:c>
      <x:c r="J1036" s="904" t="n">
        <x:v>1643.26</x:v>
      </x:c>
      <x:c r="K1036" s="901" t="n">
        <x:v>1009393499</x:v>
      </x:c>
      <x:c r="L1036" s="907" t="str">
        <x:v>SRC-P404</x:v>
      </x:c>
      <x:c r="M1036" s="907" t="str">
        <x:v>VNStock API actual</x:v>
      </x:c>
      <x:c r="N1036" s="1032" t="n">
        <x:v>46229.241747685184</x:v>
      </x:c>
    </x:row>
    <x:row r="1037">
      <x:c r="A1037" s="895" t="n">
        <x:v>45911</x:v>
      </x:c>
      <x:c r="B1037" s="898" t="n">
        <x:v>66.96</x:v>
      </x:c>
      <x:c r="C1037" s="898" t="n">
        <x:v>66.96</x:v>
      </x:c>
      <x:c r="D1037" s="898" t="n">
        <x:v>65.01</x:v>
      </x:c>
      <x:c r="E1037" s="898" t="n">
        <x:v>66.96</x:v>
      </x:c>
      <x:c r="F1037" s="901" t="n">
        <x:v>2222597</x:v>
      </x:c>
      <x:c r="G1037" s="904" t="n">
        <x:v>1638.75</x:v>
      </x:c>
      <x:c r="H1037" s="904" t="n">
        <x:v>1659.19</x:v>
      </x:c>
      <x:c r="I1037" s="904" t="n">
        <x:v>1605.76</x:v>
      </x:c>
      <x:c r="J1037" s="904" t="n">
        <x:v>1657.75</x:v>
      </x:c>
      <x:c r="K1037" s="901" t="n">
        <x:v>1271916658</x:v>
      </x:c>
      <x:c r="L1037" s="907" t="str">
        <x:v>SRC-P404</x:v>
      </x:c>
      <x:c r="M1037" s="907" t="str">
        <x:v>VNStock API actual</x:v>
      </x:c>
      <x:c r="N1037" s="1032" t="n">
        <x:v>46229.241747685184</x:v>
      </x:c>
    </x:row>
    <x:row r="1038">
      <x:c r="A1038" s="895" t="n">
        <x:v>45912</x:v>
      </x:c>
      <x:c r="B1038" s="898" t="n">
        <x:v>67.25</x:v>
      </x:c>
      <x:c r="C1038" s="898" t="n">
        <x:v>68.03</x:v>
      </x:c>
      <x:c r="D1038" s="898" t="n">
        <x:v>66.37</x:v>
      </x:c>
      <x:c r="E1038" s="898" t="n">
        <x:v>67.25</x:v>
      </x:c>
      <x:c r="F1038" s="901" t="n">
        <x:v>2139837</x:v>
      </x:c>
      <x:c r="G1038" s="904" t="n">
        <x:v>1662.02</x:v>
      </x:c>
      <x:c r="H1038" s="904" t="n">
        <x:v>1670.62</x:v>
      </x:c>
      <x:c r="I1038" s="904" t="n">
        <x:v>1653.79</x:v>
      </x:c>
      <x:c r="J1038" s="904" t="n">
        <x:v>1667.26</x:v>
      </x:c>
      <x:c r="K1038" s="901" t="n">
        <x:v>1121358725</x:v>
      </x:c>
      <x:c r="L1038" s="907" t="str">
        <x:v>SRC-P404</x:v>
      </x:c>
      <x:c r="M1038" s="907" t="str">
        <x:v>VNStock API actual</x:v>
      </x:c>
      <x:c r="N1038" s="1032" t="n">
        <x:v>46229.241747685184</x:v>
      </x:c>
    </x:row>
    <x:row r="1039">
      <x:c r="A1039" s="895" t="n">
        <x:v>45915</x:v>
      </x:c>
      <x:c r="B1039" s="898" t="n">
        <x:v>67.25</x:v>
      </x:c>
      <x:c r="C1039" s="898" t="n">
        <x:v>71.91</x:v>
      </x:c>
      <x:c r="D1039" s="898" t="n">
        <x:v>67.25</x:v>
      </x:c>
      <x:c r="E1039" s="898" t="n">
        <x:v>71.72</x:v>
      </x:c>
      <x:c r="F1039" s="901" t="n">
        <x:v>6604529</x:v>
      </x:c>
      <x:c r="G1039" s="904" t="n">
        <x:v>1672.59</x:v>
      </x:c>
      <x:c r="H1039" s="904" t="n">
        <x:v>1684.9</x:v>
      </x:c>
      <x:c r="I1039" s="904" t="n">
        <x:v>1668.09</x:v>
      </x:c>
      <x:c r="J1039" s="904" t="n">
        <x:v>1684.9</x:v>
      </x:c>
      <x:c r="K1039" s="901" t="n">
        <x:v>1242826634</x:v>
      </x:c>
      <x:c r="L1039" s="907" t="str">
        <x:v>SRC-P404</x:v>
      </x:c>
      <x:c r="M1039" s="907" t="str">
        <x:v>VNStock API actual</x:v>
      </x:c>
      <x:c r="N1039" s="1032" t="n">
        <x:v>46229.241747685184</x:v>
      </x:c>
    </x:row>
    <x:row r="1040">
      <x:c r="A1040" s="895" t="n">
        <x:v>45916</x:v>
      </x:c>
      <x:c r="B1040" s="898" t="n">
        <x:v>71.91</x:v>
      </x:c>
      <x:c r="C1040" s="898" t="n">
        <x:v>71.91</x:v>
      </x:c>
      <x:c r="D1040" s="898" t="n">
        <x:v>70.46</x:v>
      </x:c>
      <x:c r="E1040" s="898" t="n">
        <x:v>71.91</x:v>
      </x:c>
      <x:c r="F1040" s="901" t="n">
        <x:v>2963987</x:v>
      </x:c>
      <x:c r="G1040" s="904" t="n">
        <x:v>1696.87</x:v>
      </x:c>
      <x:c r="H1040" s="904" t="n">
        <x:v>1696.87</x:v>
      </x:c>
      <x:c r="I1040" s="904" t="n">
        <x:v>1677.03</x:v>
      </x:c>
      <x:c r="J1040" s="904" t="n">
        <x:v>1680.9</x:v>
      </x:c>
      <x:c r="K1040" s="901" t="n">
        <x:v>1330973777</x:v>
      </x:c>
      <x:c r="L1040" s="907" t="str">
        <x:v>SRC-P404</x:v>
      </x:c>
      <x:c r="M1040" s="907" t="str">
        <x:v>VNStock API actual</x:v>
      </x:c>
      <x:c r="N1040" s="1032" t="n">
        <x:v>46229.241747685184</x:v>
      </x:c>
    </x:row>
    <x:row r="1041">
      <x:c r="A1041" s="895" t="n">
        <x:v>45917</x:v>
      </x:c>
      <x:c r="B1041" s="898" t="n">
        <x:v>71.52</x:v>
      </x:c>
      <x:c r="C1041" s="898" t="n">
        <x:v>72.4</x:v>
      </x:c>
      <x:c r="D1041" s="898" t="n">
        <x:v>70.55</x:v>
      </x:c>
      <x:c r="E1041" s="898" t="n">
        <x:v>71.52</x:v>
      </x:c>
      <x:c r="F1041" s="901" t="n">
        <x:v>2239254</x:v>
      </x:c>
      <x:c r="G1041" s="904" t="n">
        <x:v>1678.09</x:v>
      </x:c>
      <x:c r="H1041" s="904" t="n">
        <x:v>1684.62</x:v>
      </x:c>
      <x:c r="I1041" s="904" t="n">
        <x:v>1666.27</x:v>
      </x:c>
      <x:c r="J1041" s="904" t="n">
        <x:v>1670.97</x:v>
      </x:c>
      <x:c r="K1041" s="901" t="n">
        <x:v>1071506811</x:v>
      </x:c>
      <x:c r="L1041" s="907" t="str">
        <x:v>SRC-P404</x:v>
      </x:c>
      <x:c r="M1041" s="907" t="str">
        <x:v>VNStock API actual</x:v>
      </x:c>
      <x:c r="N1041" s="1032" t="n">
        <x:v>46229.241747685184</x:v>
      </x:c>
    </x:row>
    <x:row r="1042">
      <x:c r="A1042" s="895" t="n">
        <x:v>45918</x:v>
      </x:c>
      <x:c r="B1042" s="898" t="n">
        <x:v>70.94</x:v>
      </x:c>
      <x:c r="C1042" s="898" t="n">
        <x:v>71.14</x:v>
      </x:c>
      <x:c r="D1042" s="898" t="n">
        <x:v>68.61</x:v>
      </x:c>
      <x:c r="E1042" s="898" t="n">
        <x:v>70.94</x:v>
      </x:c>
      <x:c r="F1042" s="901" t="n">
        <x:v>2866364</x:v>
      </x:c>
      <x:c r="G1042" s="904" t="n">
        <x:v>1675.85</x:v>
      </x:c>
      <x:c r="H1042" s="904" t="n">
        <x:v>1679.63</x:v>
      </x:c>
      <x:c r="I1042" s="904" t="n">
        <x:v>1653.89</x:v>
      </x:c>
      <x:c r="J1042" s="904" t="n">
        <x:v>1665.18</x:v>
      </x:c>
      <x:c r="K1042" s="901" t="n">
        <x:v>915010851</x:v>
      </x:c>
      <x:c r="L1042" s="907" t="str">
        <x:v>SRC-P404</x:v>
      </x:c>
      <x:c r="M1042" s="907" t="str">
        <x:v>VNStock API actual</x:v>
      </x:c>
      <x:c r="N1042" s="1032" t="n">
        <x:v>46229.241747685184</x:v>
      </x:c>
    </x:row>
    <x:row r="1043">
      <x:c r="A1043" s="895" t="n">
        <x:v>45919</x:v>
      </x:c>
      <x:c r="B1043" s="898" t="n">
        <x:v>70.75</x:v>
      </x:c>
      <x:c r="C1043" s="898" t="n">
        <x:v>71.14</x:v>
      </x:c>
      <x:c r="D1043" s="898" t="n">
        <x:v>69.39</x:v>
      </x:c>
      <x:c r="E1043" s="898" t="n">
        <x:v>70.84</x:v>
      </x:c>
      <x:c r="F1043" s="901" t="n">
        <x:v>1538587</x:v>
      </x:c>
      <x:c r="G1043" s="904" t="n">
        <x:v>1671.24</x:v>
      </x:c>
      <x:c r="H1043" s="904" t="n">
        <x:v>1671.77</x:v>
      </x:c>
      <x:c r="I1043" s="904" t="n">
        <x:v>1638.44</x:v>
      </x:c>
      <x:c r="J1043" s="904" t="n">
        <x:v>1658.62</x:v>
      </x:c>
      <x:c r="K1043" s="901" t="n">
        <x:v>927990635</x:v>
      </x:c>
      <x:c r="L1043" s="907" t="str">
        <x:v>SRC-P404</x:v>
      </x:c>
      <x:c r="M1043" s="907" t="str">
        <x:v>VNStock API actual</x:v>
      </x:c>
      <x:c r="N1043" s="1032" t="n">
        <x:v>46229.241747685184</x:v>
      </x:c>
    </x:row>
    <x:row r="1044">
      <x:c r="A1044" s="895" t="n">
        <x:v>45922</x:v>
      </x:c>
      <x:c r="B1044" s="898" t="n">
        <x:v>70.46</x:v>
      </x:c>
      <x:c r="C1044" s="898" t="n">
        <x:v>70.84</x:v>
      </x:c>
      <x:c r="D1044" s="898" t="n">
        <x:v>68.22</x:v>
      </x:c>
      <x:c r="E1044" s="898" t="n">
        <x:v>69.09</x:v>
      </x:c>
      <x:c r="F1044" s="901" t="n">
        <x:v>2546591</x:v>
      </x:c>
      <x:c r="G1044" s="904" t="n">
        <x:v>1656.66</x:v>
      </x:c>
      <x:c r="H1044" s="904" t="n">
        <x:v>1659.13</x:v>
      </x:c>
      <x:c r="I1044" s="904" t="n">
        <x:v>1616.02</x:v>
      </x:c>
      <x:c r="J1044" s="904" t="n">
        <x:v>1634.45</x:v>
      </x:c>
      <x:c r="K1044" s="901" t="n">
        <x:v>1212478380</x:v>
      </x:c>
      <x:c r="L1044" s="907" t="str">
        <x:v>SRC-P404</x:v>
      </x:c>
      <x:c r="M1044" s="907" t="str">
        <x:v>VNStock API actual</x:v>
      </x:c>
      <x:c r="N1044" s="1032" t="n">
        <x:v>46229.241747685184</x:v>
      </x:c>
    </x:row>
    <x:row r="1045">
      <x:c r="A1045" s="895" t="n">
        <x:v>45923</x:v>
      </x:c>
      <x:c r="B1045" s="898" t="n">
        <x:v>69.29</x:v>
      </x:c>
      <x:c r="C1045" s="898" t="n">
        <x:v>69.29</x:v>
      </x:c>
      <x:c r="D1045" s="898" t="n">
        <x:v>67.15</x:v>
      </x:c>
      <x:c r="E1045" s="898" t="n">
        <x:v>67.54</x:v>
      </x:c>
      <x:c r="F1045" s="901" t="n">
        <x:v>2149608</x:v>
      </x:c>
      <x:c r="G1045" s="904" t="n">
        <x:v>1635.12</x:v>
      </x:c>
      <x:c r="H1045" s="904" t="n">
        <x:v>1643.59</x:v>
      </x:c>
      <x:c r="I1045" s="904" t="n">
        <x:v>1626.65</x:v>
      </x:c>
      <x:c r="J1045" s="904" t="n">
        <x:v>1635.26</x:v>
      </x:c>
      <x:c r="K1045" s="901" t="n">
        <x:v>797233705</x:v>
      </x:c>
      <x:c r="L1045" s="907" t="str">
        <x:v>SRC-P404</x:v>
      </x:c>
      <x:c r="M1045" s="907" t="str">
        <x:v>VNStock API actual</x:v>
      </x:c>
      <x:c r="N1045" s="1032" t="n">
        <x:v>46229.241747685184</x:v>
      </x:c>
    </x:row>
    <x:row r="1046">
      <x:c r="A1046" s="895" t="n">
        <x:v>45924</x:v>
      </x:c>
      <x:c r="B1046" s="898" t="n">
        <x:v>68.32</x:v>
      </x:c>
      <x:c r="C1046" s="898" t="n">
        <x:v>69</x:v>
      </x:c>
      <x:c r="D1046" s="898" t="n">
        <x:v>67.25</x:v>
      </x:c>
      <x:c r="E1046" s="898" t="n">
        <x:v>68.71</x:v>
      </x:c>
      <x:c r="F1046" s="901" t="n">
        <x:v>2326964</x:v>
      </x:c>
      <x:c r="G1046" s="904" t="n">
        <x:v>1635.36</x:v>
      </x:c>
      <x:c r="H1046" s="904" t="n">
        <x:v>1657.46</x:v>
      </x:c>
      <x:c r="I1046" s="904" t="n">
        <x:v>1619.09</x:v>
      </x:c>
      <x:c r="J1046" s="904" t="n">
        <x:v>1657.46</x:v>
      </x:c>
      <x:c r="K1046" s="901" t="n">
        <x:v>998074719</x:v>
      </x:c>
      <x:c r="L1046" s="907" t="str">
        <x:v>SRC-P404</x:v>
      </x:c>
      <x:c r="M1046" s="907" t="str">
        <x:v>VNStock API actual</x:v>
      </x:c>
      <x:c r="N1046" s="1032" t="n">
        <x:v>46229.241747685184</x:v>
      </x:c>
    </x:row>
    <x:row r="1047">
      <x:c r="A1047" s="895" t="n">
        <x:v>45925</x:v>
      </x:c>
      <x:c r="B1047" s="898" t="n">
        <x:v>69.09</x:v>
      </x:c>
      <x:c r="C1047" s="898" t="n">
        <x:v>70.26</x:v>
      </x:c>
      <x:c r="D1047" s="898" t="n">
        <x:v>68.8</x:v>
      </x:c>
      <x:c r="E1047" s="898" t="n">
        <x:v>69.78</x:v>
      </x:c>
      <x:c r="F1047" s="901" t="n">
        <x:v>1967374</x:v>
      </x:c>
      <x:c r="G1047" s="904" t="n">
        <x:v>1661.08</x:v>
      </x:c>
      <x:c r="H1047" s="904" t="n">
        <x:v>1668.21</x:v>
      </x:c>
      <x:c r="I1047" s="904" t="n">
        <x:v>1654.47</x:v>
      </x:c>
      <x:c r="J1047" s="904" t="n">
        <x:v>1666.09</x:v>
      </x:c>
      <x:c r="K1047" s="901" t="n">
        <x:v>995617724</x:v>
      </x:c>
      <x:c r="L1047" s="907" t="str">
        <x:v>SRC-P404</x:v>
      </x:c>
      <x:c r="M1047" s="907" t="str">
        <x:v>VNStock API actual</x:v>
      </x:c>
      <x:c r="N1047" s="1032" t="n">
        <x:v>46229.241747685184</x:v>
      </x:c>
    </x:row>
    <x:row r="1048">
      <x:c r="A1048" s="895" t="n">
        <x:v>45926</x:v>
      </x:c>
      <x:c r="B1048" s="898" t="n">
        <x:v>69.78</x:v>
      </x:c>
      <x:c r="C1048" s="898" t="n">
        <x:v>69.78</x:v>
      </x:c>
      <x:c r="D1048" s="898" t="n">
        <x:v>67.83</x:v>
      </x:c>
      <x:c r="E1048" s="898" t="n">
        <x:v>68.03</x:v>
      </x:c>
      <x:c r="F1048" s="901" t="n">
        <x:v>1995823</x:v>
      </x:c>
      <x:c r="G1048" s="904" t="n">
        <x:v>1666.68</x:v>
      </x:c>
      <x:c r="H1048" s="904" t="n">
        <x:v>1671.43</x:v>
      </x:c>
      <x:c r="I1048" s="904" t="n">
        <x:v>1657.94</x:v>
      </x:c>
      <x:c r="J1048" s="904" t="n">
        <x:v>1660.7</x:v>
      </x:c>
      <x:c r="K1048" s="901" t="n">
        <x:v>963931987</x:v>
      </x:c>
      <x:c r="L1048" s="907" t="str">
        <x:v>SRC-P404</x:v>
      </x:c>
      <x:c r="M1048" s="907" t="str">
        <x:v>VNStock API actual</x:v>
      </x:c>
      <x:c r="N1048" s="1032" t="n">
        <x:v>46229.241747685184</x:v>
      </x:c>
    </x:row>
    <x:row r="1049">
      <x:c r="A1049" s="895" t="n">
        <x:v>45929</x:v>
      </x:c>
      <x:c r="B1049" s="898" t="n">
        <x:v>67.93</x:v>
      </x:c>
      <x:c r="C1049" s="898" t="n">
        <x:v>67.93</x:v>
      </x:c>
      <x:c r="D1049" s="898" t="n">
        <x:v>66.57</x:v>
      </x:c>
      <x:c r="E1049" s="898" t="n">
        <x:v>67.83</x:v>
      </x:c>
      <x:c r="F1049" s="901" t="n">
        <x:v>2788679</x:v>
      </x:c>
      <x:c r="G1049" s="904" t="n">
        <x:v>1659.24</x:v>
      </x:c>
      <x:c r="H1049" s="904" t="n">
        <x:v>1674.84</x:v>
      </x:c>
      <x:c r="I1049" s="904" t="n">
        <x:v>1655.03</x:v>
      </x:c>
      <x:c r="J1049" s="904" t="n">
        <x:v>1666.48</x:v>
      </x:c>
      <x:c r="K1049" s="901" t="n">
        <x:v>932831470</x:v>
      </x:c>
      <x:c r="L1049" s="907" t="str">
        <x:v>SRC-P404</x:v>
      </x:c>
      <x:c r="M1049" s="907" t="str">
        <x:v>VNStock API actual</x:v>
      </x:c>
      <x:c r="N1049" s="1032" t="n">
        <x:v>46229.241747685184</x:v>
      </x:c>
    </x:row>
    <x:row r="1050">
      <x:c r="A1050" s="895" t="n">
        <x:v>45930</x:v>
      </x:c>
      <x:c r="B1050" s="898" t="n">
        <x:v>67.83</x:v>
      </x:c>
      <x:c r="C1050" s="898" t="n">
        <x:v>67.83</x:v>
      </x:c>
      <x:c r="D1050" s="898" t="n">
        <x:v>64.72</x:v>
      </x:c>
      <x:c r="E1050" s="898" t="n">
        <x:v>65.99</x:v>
      </x:c>
      <x:c r="F1050" s="901" t="n">
        <x:v>3466670</x:v>
      </x:c>
      <x:c r="G1050" s="904" t="n">
        <x:v>1667.86</x:v>
      </x:c>
      <x:c r="H1050" s="904" t="n">
        <x:v>1676.8</x:v>
      </x:c>
      <x:c r="I1050" s="904" t="n">
        <x:v>1645.97</x:v>
      </x:c>
      <x:c r="J1050" s="904" t="n">
        <x:v>1661.7</x:v>
      </x:c>
      <x:c r="K1050" s="901" t="n">
        <x:v>1144254133</x:v>
      </x:c>
      <x:c r="L1050" s="907" t="str">
        <x:v>SRC-P404</x:v>
      </x:c>
      <x:c r="M1050" s="907" t="str">
        <x:v>VNStock API actual</x:v>
      </x:c>
      <x:c r="N1050" s="1032" t="n">
        <x:v>46229.241747685184</x:v>
      </x:c>
    </x:row>
    <x:row r="1051">
      <x:c r="A1051" s="895" t="n">
        <x:v>45931</x:v>
      </x:c>
      <x:c r="B1051" s="898" t="n">
        <x:v>65.3</x:v>
      </x:c>
      <x:c r="C1051" s="898" t="n">
        <x:v>65.99</x:v>
      </x:c>
      <x:c r="D1051" s="898" t="n">
        <x:v>64.33</x:v>
      </x:c>
      <x:c r="E1051" s="898" t="n">
        <x:v>64.62</x:v>
      </x:c>
      <x:c r="F1051" s="901" t="n">
        <x:v>1997192</x:v>
      </x:c>
      <x:c r="G1051" s="904" t="n">
        <x:v>1664.95</x:v>
      </x:c>
      <x:c r="H1051" s="904" t="n">
        <x:v>1671.07</x:v>
      </x:c>
      <x:c r="I1051" s="904" t="n">
        <x:v>1658.75</x:v>
      </x:c>
      <x:c r="J1051" s="904" t="n">
        <x:v>1665.05</x:v>
      </x:c>
      <x:c r="K1051" s="901" t="n">
        <x:v>721205372</x:v>
      </x:c>
      <x:c r="L1051" s="907" t="str">
        <x:v>SRC-P404</x:v>
      </x:c>
      <x:c r="M1051" s="907" t="str">
        <x:v>VNStock API actual</x:v>
      </x:c>
      <x:c r="N1051" s="1032" t="n">
        <x:v>46229.241747685184</x:v>
      </x:c>
    </x:row>
    <x:row r="1052">
      <x:c r="A1052" s="895" t="n">
        <x:v>45932</x:v>
      </x:c>
      <x:c r="B1052" s="898" t="n">
        <x:v>64.92</x:v>
      </x:c>
      <x:c r="C1052" s="898" t="n">
        <x:v>65.4</x:v>
      </x:c>
      <x:c r="D1052" s="898" t="n">
        <x:v>64.14</x:v>
      </x:c>
      <x:c r="E1052" s="898" t="n">
        <x:v>64.14</x:v>
      </x:c>
      <x:c r="F1052" s="901" t="n">
        <x:v>1615506</x:v>
      </x:c>
      <x:c r="G1052" s="904" t="n">
        <x:v>1668.04</x:v>
      </x:c>
      <x:c r="H1052" s="904" t="n">
        <x:v>1679.73</x:v>
      </x:c>
      <x:c r="I1052" s="904" t="n">
        <x:v>1650.87</x:v>
      </x:c>
      <x:c r="J1052" s="904" t="n">
        <x:v>1652.71</x:v>
      </x:c>
      <x:c r="K1052" s="901" t="n">
        <x:v>781183333</x:v>
      </x:c>
      <x:c r="L1052" s="907" t="str">
        <x:v>SRC-P404</x:v>
      </x:c>
      <x:c r="M1052" s="907" t="str">
        <x:v>VNStock API actual</x:v>
      </x:c>
      <x:c r="N1052" s="1032" t="n">
        <x:v>46229.241747685184</x:v>
      </x:c>
    </x:row>
    <x:row r="1053">
      <x:c r="A1053" s="895" t="n">
        <x:v>45933</x:v>
      </x:c>
      <x:c r="B1053" s="898" t="n">
        <x:v>64.14</x:v>
      </x:c>
      <x:c r="C1053" s="898" t="n">
        <x:v>64.72</x:v>
      </x:c>
      <x:c r="D1053" s="898" t="n">
        <x:v>63.65</x:v>
      </x:c>
      <x:c r="E1053" s="898" t="n">
        <x:v>64.04</x:v>
      </x:c>
      <x:c r="F1053" s="901" t="n">
        <x:v>1649890</x:v>
      </x:c>
      <x:c r="G1053" s="904" t="n">
        <x:v>1651.39</x:v>
      </x:c>
      <x:c r="H1053" s="904" t="n">
        <x:v>1654.6</x:v>
      </x:c>
      <x:c r="I1053" s="904" t="n">
        <x:v>1638.08</x:v>
      </x:c>
      <x:c r="J1053" s="904" t="n">
        <x:v>1645.82</x:v>
      </x:c>
      <x:c r="K1053" s="901" t="n">
        <x:v>860615053</x:v>
      </x:c>
      <x:c r="L1053" s="907" t="str">
        <x:v>SRC-P404</x:v>
      </x:c>
      <x:c r="M1053" s="907" t="str">
        <x:v>VNStock API actual</x:v>
      </x:c>
      <x:c r="N1053" s="1032" t="n">
        <x:v>46229.241747685184</x:v>
      </x:c>
    </x:row>
    <x:row r="1054">
      <x:c r="A1054" s="895" t="n">
        <x:v>45936</x:v>
      </x:c>
      <x:c r="B1054" s="898" t="n">
        <x:v>64.53</x:v>
      </x:c>
      <x:c r="C1054" s="898" t="n">
        <x:v>66.28</x:v>
      </x:c>
      <x:c r="D1054" s="898" t="n">
        <x:v>64.53</x:v>
      </x:c>
      <x:c r="E1054" s="898" t="n">
        <x:v>66.08</x:v>
      </x:c>
      <x:c r="F1054" s="901" t="n">
        <x:v>1522548</x:v>
      </x:c>
      <x:c r="G1054" s="904" t="n">
        <x:v>1673.16</x:v>
      </x:c>
      <x:c r="H1054" s="904" t="n">
        <x:v>1695.5</x:v>
      </x:c>
      <x:c r="I1054" s="904" t="n">
        <x:v>1664.17</x:v>
      </x:c>
      <x:c r="J1054" s="904" t="n">
        <x:v>1695.5</x:v>
      </x:c>
      <x:c r="K1054" s="901" t="n">
        <x:v>1087044888</x:v>
      </x:c>
      <x:c r="L1054" s="907" t="str">
        <x:v>SRC-P404</x:v>
      </x:c>
      <x:c r="M1054" s="907" t="str">
        <x:v>VNStock API actual</x:v>
      </x:c>
      <x:c r="N1054" s="1032" t="n">
        <x:v>46229.241747685184</x:v>
      </x:c>
    </x:row>
    <x:row r="1055">
      <x:c r="A1055" s="895" t="n">
        <x:v>45937</x:v>
      </x:c>
      <x:c r="B1055" s="898" t="n">
        <x:v>66.37</x:v>
      </x:c>
      <x:c r="C1055" s="898" t="n">
        <x:v>66.37</x:v>
      </x:c>
      <x:c r="D1055" s="898" t="n">
        <x:v>64.62</x:v>
      </x:c>
      <x:c r="E1055" s="898" t="n">
        <x:v>64.62</x:v>
      </x:c>
      <x:c r="F1055" s="901" t="n">
        <x:v>1264390</x:v>
      </x:c>
      <x:c r="G1055" s="904" t="n">
        <x:v>1703.9</x:v>
      </x:c>
      <x:c r="H1055" s="904" t="n">
        <x:v>1703.9</x:v>
      </x:c>
      <x:c r="I1055" s="904" t="n">
        <x:v>1678.66</x:v>
      </x:c>
      <x:c r="J1055" s="904" t="n">
        <x:v>1685.3</x:v>
      </x:c>
      <x:c r="K1055" s="901" t="n">
        <x:v>879953011</x:v>
      </x:c>
      <x:c r="L1055" s="907" t="str">
        <x:v>SRC-P404</x:v>
      </x:c>
      <x:c r="M1055" s="907" t="str">
        <x:v>VNStock API actual</x:v>
      </x:c>
      <x:c r="N1055" s="1032" t="n">
        <x:v>46229.241747685184</x:v>
      </x:c>
    </x:row>
    <x:row r="1056">
      <x:c r="A1056" s="895" t="n">
        <x:v>45938</x:v>
      </x:c>
      <x:c r="B1056" s="898" t="n">
        <x:v>65.11</x:v>
      </x:c>
      <x:c r="C1056" s="898" t="n">
        <x:v>65.6</x:v>
      </x:c>
      <x:c r="D1056" s="898" t="n">
        <x:v>64.43</x:v>
      </x:c>
      <x:c r="E1056" s="898" t="n">
        <x:v>65.6</x:v>
      </x:c>
      <x:c r="F1056" s="901" t="n">
        <x:v>1406447</x:v>
      </x:c>
      <x:c r="G1056" s="904" t="n">
        <x:v>1701.06</x:v>
      </x:c>
      <x:c r="H1056" s="904" t="n">
        <x:v>1704.42</x:v>
      </x:c>
      <x:c r="I1056" s="904" t="n">
        <x:v>1680.87</x:v>
      </x:c>
      <x:c r="J1056" s="904" t="n">
        <x:v>1697.83</x:v>
      </x:c>
      <x:c r="K1056" s="901" t="n">
        <x:v>1067425184</x:v>
      </x:c>
      <x:c r="L1056" s="907" t="str">
        <x:v>SRC-P404</x:v>
      </x:c>
      <x:c r="M1056" s="907" t="str">
        <x:v>VNStock API actual</x:v>
      </x:c>
      <x:c r="N1056" s="1032" t="n">
        <x:v>46229.241747685184</x:v>
      </x:c>
    </x:row>
    <x:row r="1057">
      <x:c r="A1057" s="895" t="n">
        <x:v>45939</x:v>
      </x:c>
      <x:c r="B1057" s="898" t="n">
        <x:v>65.6</x:v>
      </x:c>
      <x:c r="C1057" s="898" t="n">
        <x:v>65.6</x:v>
      </x:c>
      <x:c r="D1057" s="898" t="n">
        <x:v>64.14</x:v>
      </x:c>
      <x:c r="E1057" s="898" t="n">
        <x:v>65.4</x:v>
      </x:c>
      <x:c r="F1057" s="901" t="n">
        <x:v>2636365</x:v>
      </x:c>
      <x:c r="G1057" s="904" t="n">
        <x:v>1702.76</x:v>
      </x:c>
      <x:c r="H1057" s="904" t="n">
        <x:v>1717.65</x:v>
      </x:c>
      <x:c r="I1057" s="904" t="n">
        <x:v>1699.17</x:v>
      </x:c>
      <x:c r="J1057" s="904" t="n">
        <x:v>1716.47</x:v>
      </x:c>
      <x:c r="K1057" s="901" t="n">
        <x:v>1100211459</x:v>
      </x:c>
      <x:c r="L1057" s="907" t="str">
        <x:v>SRC-P404</x:v>
      </x:c>
      <x:c r="M1057" s="907" t="str">
        <x:v>VNStock API actual</x:v>
      </x:c>
      <x:c r="N1057" s="1032" t="n">
        <x:v>46229.241747685184</x:v>
      </x:c>
    </x:row>
    <x:row r="1058">
      <x:c r="A1058" s="895" t="n">
        <x:v>45940</x:v>
      </x:c>
      <x:c r="B1058" s="898" t="n">
        <x:v>65.4</x:v>
      </x:c>
      <x:c r="C1058" s="898" t="n">
        <x:v>67.15</x:v>
      </x:c>
      <x:c r="D1058" s="898" t="n">
        <x:v>65.21</x:v>
      </x:c>
      <x:c r="E1058" s="898" t="n">
        <x:v>66.57</x:v>
      </x:c>
      <x:c r="F1058" s="901" t="n">
        <x:v>2197166</x:v>
      </x:c>
      <x:c r="G1058" s="904" t="n">
        <x:v>1725.27</x:v>
      </x:c>
      <x:c r="H1058" s="904" t="n">
        <x:v>1747.57</x:v>
      </x:c>
      <x:c r="I1058" s="904" t="n">
        <x:v>1721.76</x:v>
      </x:c>
      <x:c r="J1058" s="904" t="n">
        <x:v>1747.55</x:v>
      </x:c>
      <x:c r="K1058" s="901" t="n">
        <x:v>1072926114</x:v>
      </x:c>
      <x:c r="L1058" s="907" t="str">
        <x:v>SRC-P404</x:v>
      </x:c>
      <x:c r="M1058" s="907" t="str">
        <x:v>VNStock API actual</x:v>
      </x:c>
      <x:c r="N1058" s="1032" t="n">
        <x:v>46229.241747685184</x:v>
      </x:c>
    </x:row>
    <x:row r="1059">
      <x:c r="A1059" s="895" t="n">
        <x:v>45943</x:v>
      </x:c>
      <x:c r="B1059" s="898" t="n">
        <x:v>65.3</x:v>
      </x:c>
      <x:c r="C1059" s="898" t="n">
        <x:v>66.57</x:v>
      </x:c>
      <x:c r="D1059" s="898" t="n">
        <x:v>65.21</x:v>
      </x:c>
      <x:c r="E1059" s="898" t="n">
        <x:v>65.3</x:v>
      </x:c>
      <x:c r="F1059" s="901" t="n">
        <x:v>2091822</x:v>
      </x:c>
      <x:c r="G1059" s="904" t="n">
        <x:v>1738.23</x:v>
      </x:c>
      <x:c r="H1059" s="904" t="n">
        <x:v>1766.77</x:v>
      </x:c>
      <x:c r="I1059" s="904" t="n">
        <x:v>1736.03</x:v>
      </x:c>
      <x:c r="J1059" s="904" t="n">
        <x:v>1765.12</x:v>
      </x:c>
      <x:c r="K1059" s="901" t="n">
        <x:v>1336021435</x:v>
      </x:c>
      <x:c r="L1059" s="907" t="str">
        <x:v>SRC-P404</x:v>
      </x:c>
      <x:c r="M1059" s="907" t="str">
        <x:v>VNStock API actual</x:v>
      </x:c>
      <x:c r="N1059" s="1032" t="n">
        <x:v>46229.241747685184</x:v>
      </x:c>
    </x:row>
    <x:row r="1060">
      <x:c r="A1060" s="895" t="n">
        <x:v>45944</x:v>
      </x:c>
      <x:c r="B1060" s="898" t="n">
        <x:v>65.4</x:v>
      </x:c>
      <x:c r="C1060" s="898" t="n">
        <x:v>66.76</x:v>
      </x:c>
      <x:c r="D1060" s="898" t="n">
        <x:v>65.01</x:v>
      </x:c>
      <x:c r="E1060" s="898" t="n">
        <x:v>66.18</x:v>
      </x:c>
      <x:c r="F1060" s="901" t="n">
        <x:v>2320622</x:v>
      </x:c>
      <x:c r="G1060" s="904" t="n">
        <x:v>1782.97</x:v>
      </x:c>
      <x:c r="H1060" s="904" t="n">
        <x:v>1794.58</x:v>
      </x:c>
      <x:c r="I1060" s="904" t="n">
        <x:v>1755.64</x:v>
      </x:c>
      <x:c r="J1060" s="904" t="n">
        <x:v>1761.06</x:v>
      </x:c>
      <x:c r="K1060" s="901" t="n">
        <x:v>1561254359</x:v>
      </x:c>
      <x:c r="L1060" s="907" t="str">
        <x:v>SRC-P404</x:v>
      </x:c>
      <x:c r="M1060" s="907" t="str">
        <x:v>VNStock API actual</x:v>
      </x:c>
      <x:c r="N1060" s="1032" t="n">
        <x:v>46229.241747685184</x:v>
      </x:c>
    </x:row>
    <x:row r="1061">
      <x:c r="A1061" s="895" t="n">
        <x:v>45945</x:v>
      </x:c>
      <x:c r="B1061" s="898" t="n">
        <x:v>66.37</x:v>
      </x:c>
      <x:c r="C1061" s="898" t="n">
        <x:v>69.29</x:v>
      </x:c>
      <x:c r="D1061" s="898" t="n">
        <x:v>61.61</x:v>
      </x:c>
      <x:c r="E1061" s="898" t="n">
        <x:v>67.05</x:v>
      </x:c>
      <x:c r="F1061" s="901" t="n">
        <x:v>3946470</x:v>
      </x:c>
      <x:c r="G1061" s="904" t="n">
        <x:v>1766.12</x:v>
      </x:c>
      <x:c r="H1061" s="904" t="n">
        <x:v>1773.73</x:v>
      </x:c>
      <x:c r="I1061" s="904" t="n">
        <x:v>1748.9</x:v>
      </x:c>
      <x:c r="J1061" s="904" t="n">
        <x:v>1757.95</x:v>
      </x:c>
      <x:c r="K1061" s="901" t="n">
        <x:v>1186599106</x:v>
      </x:c>
      <x:c r="L1061" s="907" t="str">
        <x:v>SRC-P404</x:v>
      </x:c>
      <x:c r="M1061" s="907" t="str">
        <x:v>VNStock API actual</x:v>
      </x:c>
      <x:c r="N1061" s="1032" t="n">
        <x:v>46229.241747685184</x:v>
      </x:c>
    </x:row>
    <x:row r="1062">
      <x:c r="A1062" s="895" t="n">
        <x:v>45946</x:v>
      </x:c>
      <x:c r="B1062" s="898" t="n">
        <x:v>67.54</x:v>
      </x:c>
      <x:c r="C1062" s="898" t="n">
        <x:v>67.54</x:v>
      </x:c>
      <x:c r="D1062" s="898" t="n">
        <x:v>65.6</x:v>
      </x:c>
      <x:c r="E1062" s="898" t="n">
        <x:v>65.6</x:v>
      </x:c>
      <x:c r="F1062" s="901" t="n">
        <x:v>2469632</x:v>
      </x:c>
      <x:c r="G1062" s="904" t="n">
        <x:v>1764.51</x:v>
      </x:c>
      <x:c r="H1062" s="904" t="n">
        <x:v>1768.45</x:v>
      </x:c>
      <x:c r="I1062" s="904" t="n">
        <x:v>1753.5</x:v>
      </x:c>
      <x:c r="J1062" s="904" t="n">
        <x:v>1766.85</x:v>
      </x:c>
      <x:c r="K1062" s="901" t="n">
        <x:v>1181490730</x:v>
      </x:c>
      <x:c r="L1062" s="907" t="str">
        <x:v>SRC-P404</x:v>
      </x:c>
      <x:c r="M1062" s="907" t="str">
        <x:v>VNStock API actual</x:v>
      </x:c>
      <x:c r="N1062" s="1032" t="n">
        <x:v>46229.241747685184</x:v>
      </x:c>
    </x:row>
    <x:row r="1063">
      <x:c r="A1063" s="895" t="n">
        <x:v>45947</x:v>
      </x:c>
      <x:c r="B1063" s="898" t="n">
        <x:v>65.6</x:v>
      </x:c>
      <x:c r="C1063" s="898" t="n">
        <x:v>66.47</x:v>
      </x:c>
      <x:c r="D1063" s="898" t="n">
        <x:v>65.11</x:v>
      </x:c>
      <x:c r="E1063" s="898" t="n">
        <x:v>66.08</x:v>
      </x:c>
      <x:c r="F1063" s="901" t="n">
        <x:v>2523654</x:v>
      </x:c>
      <x:c r="G1063" s="904" t="n">
        <x:v>1771.61</x:v>
      </x:c>
      <x:c r="H1063" s="904" t="n">
        <x:v>1771.61</x:v>
      </x:c>
      <x:c r="I1063" s="904" t="n">
        <x:v>1727.77</x:v>
      </x:c>
      <x:c r="J1063" s="904" t="n">
        <x:v>1731.19</x:v>
      </x:c>
      <x:c r="K1063" s="901" t="n">
        <x:v>1272671767</x:v>
      </x:c>
      <x:c r="L1063" s="907" t="str">
        <x:v>SRC-P404</x:v>
      </x:c>
      <x:c r="M1063" s="907" t="str">
        <x:v>VNStock API actual</x:v>
      </x:c>
      <x:c r="N1063" s="1032" t="n">
        <x:v>46229.241747685184</x:v>
      </x:c>
    </x:row>
    <x:row r="1064">
      <x:c r="A1064" s="895" t="n">
        <x:v>45950</x:v>
      </x:c>
      <x:c r="B1064" s="898" t="n">
        <x:v>66.08</x:v>
      </x:c>
      <x:c r="C1064" s="898" t="n">
        <x:v>66.08</x:v>
      </x:c>
      <x:c r="D1064" s="898" t="n">
        <x:v>61.51</x:v>
      </x:c>
      <x:c r="E1064" s="898" t="n">
        <x:v>61.51</x:v>
      </x:c>
      <x:c r="F1064" s="901" t="n">
        <x:v>5554194</x:v>
      </x:c>
      <x:c r="G1064" s="904" t="n">
        <x:v>1723.59</x:v>
      </x:c>
      <x:c r="H1064" s="904" t="n">
        <x:v>1727.11</x:v>
      </x:c>
      <x:c r="I1064" s="904" t="n">
        <x:v>1636.43</x:v>
      </x:c>
      <x:c r="J1064" s="904" t="n">
        <x:v>1636.43</x:v>
      </x:c>
      <x:c r="K1064" s="901" t="n">
        <x:v>1706768838</x:v>
      </x:c>
      <x:c r="L1064" s="907" t="str">
        <x:v>SRC-P404</x:v>
      </x:c>
      <x:c r="M1064" s="907" t="str">
        <x:v>VNStock API actual</x:v>
      </x:c>
      <x:c r="N1064" s="1032" t="n">
        <x:v>46229.241747685184</x:v>
      </x:c>
    </x:row>
    <x:row r="1065">
      <x:c r="A1065" s="895" t="n">
        <x:v>45951</x:v>
      </x:c>
      <x:c r="B1065" s="898" t="n">
        <x:v>61.9</x:v>
      </x:c>
      <x:c r="C1065" s="898" t="n">
        <x:v>64.43</x:v>
      </x:c>
      <x:c r="D1065" s="898" t="n">
        <x:v>61.61</x:v>
      </x:c>
      <x:c r="E1065" s="898" t="n">
        <x:v>64.14</x:v>
      </x:c>
      <x:c r="F1065" s="901" t="n">
        <x:v>2311315</x:v>
      </x:c>
      <x:c r="G1065" s="904" t="n">
        <x:v>1640.8</x:v>
      </x:c>
      <x:c r="H1065" s="904" t="n">
        <x:v>1677.11</x:v>
      </x:c>
      <x:c r="I1065" s="904" t="n">
        <x:v>1622.37</x:v>
      </x:c>
      <x:c r="J1065" s="904" t="n">
        <x:v>1663.43</x:v>
      </x:c>
      <x:c r="K1065" s="901" t="n">
        <x:v>1583235455</x:v>
      </x:c>
      <x:c r="L1065" s="907" t="str">
        <x:v>SRC-P404</x:v>
      </x:c>
      <x:c r="M1065" s="907" t="str">
        <x:v>VNStock API actual</x:v>
      </x:c>
      <x:c r="N1065" s="1032" t="n">
        <x:v>46229.241747685184</x:v>
      </x:c>
    </x:row>
    <x:row r="1066">
      <x:c r="A1066" s="895" t="n">
        <x:v>45952</x:v>
      </x:c>
      <x:c r="B1066" s="898" t="n">
        <x:v>64.14</x:v>
      </x:c>
      <x:c r="C1066" s="898" t="n">
        <x:v>65.3</x:v>
      </x:c>
      <x:c r="D1066" s="898" t="n">
        <x:v>63.46</x:v>
      </x:c>
      <x:c r="E1066" s="898" t="n">
        <x:v>65.11</x:v>
      </x:c>
      <x:c r="F1066" s="901" t="n">
        <x:v>1994951</x:v>
      </x:c>
      <x:c r="G1066" s="904" t="n">
        <x:v>1678.82</x:v>
      </x:c>
      <x:c r="H1066" s="904" t="n">
        <x:v>1678.82</x:v>
      </x:c>
      <x:c r="I1066" s="904" t="n">
        <x:v>1628.37</x:v>
      </x:c>
      <x:c r="J1066" s="904" t="n">
        <x:v>1678.5</x:v>
      </x:c>
      <x:c r="K1066" s="901" t="n">
        <x:v>995959634</x:v>
      </x:c>
      <x:c r="L1066" s="907" t="str">
        <x:v>SRC-P404</x:v>
      </x:c>
      <x:c r="M1066" s="907" t="str">
        <x:v>VNStock API actual</x:v>
      </x:c>
      <x:c r="N1066" s="1032" t="n">
        <x:v>46229.241747685184</x:v>
      </x:c>
    </x:row>
    <x:row r="1067">
      <x:c r="A1067" s="895" t="n">
        <x:v>45953</x:v>
      </x:c>
      <x:c r="B1067" s="898" t="n">
        <x:v>65.11</x:v>
      </x:c>
      <x:c r="C1067" s="898" t="n">
        <x:v>67.73</x:v>
      </x:c>
      <x:c r="D1067" s="898" t="n">
        <x:v>64.82</x:v>
      </x:c>
      <x:c r="E1067" s="898" t="n">
        <x:v>65.4</x:v>
      </x:c>
      <x:c r="F1067" s="901" t="n">
        <x:v>2383580</x:v>
      </x:c>
      <x:c r="G1067" s="904" t="n">
        <x:v>1680.73</x:v>
      </x:c>
      <x:c r="H1067" s="904" t="n">
        <x:v>1698.01</x:v>
      </x:c>
      <x:c r="I1067" s="904" t="n">
        <x:v>1669.78</x:v>
      </x:c>
      <x:c r="J1067" s="904" t="n">
        <x:v>1687.06</x:v>
      </x:c>
      <x:c r="K1067" s="901" t="n">
        <x:v>753331212</x:v>
      </x:c>
      <x:c r="L1067" s="907" t="str">
        <x:v>SRC-P404</x:v>
      </x:c>
      <x:c r="M1067" s="907" t="str">
        <x:v>VNStock API actual</x:v>
      </x:c>
      <x:c r="N1067" s="1032" t="n">
        <x:v>46229.241747685184</x:v>
      </x:c>
    </x:row>
    <x:row r="1068">
      <x:c r="A1068" s="895" t="n">
        <x:v>45954</x:v>
      </x:c>
      <x:c r="B1068" s="898" t="n">
        <x:v>65.6</x:v>
      </x:c>
      <x:c r="C1068" s="898" t="n">
        <x:v>65.6</x:v>
      </x:c>
      <x:c r="D1068" s="898" t="n">
        <x:v>64.04</x:v>
      </x:c>
      <x:c r="E1068" s="898" t="n">
        <x:v>64.92</x:v>
      </x:c>
      <x:c r="F1068" s="901" t="n">
        <x:v>1223141</x:v>
      </x:c>
      <x:c r="G1068" s="904" t="n">
        <x:v>1684.88</x:v>
      </x:c>
      <x:c r="H1068" s="904" t="n">
        <x:v>1691.69</x:v>
      </x:c>
      <x:c r="I1068" s="904" t="n">
        <x:v>1660.32</x:v>
      </x:c>
      <x:c r="J1068" s="904" t="n">
        <x:v>1683.18</x:v>
      </x:c>
      <x:c r="K1068" s="901" t="n">
        <x:v>952237808</x:v>
      </x:c>
      <x:c r="L1068" s="907" t="str">
        <x:v>SRC-P404</x:v>
      </x:c>
      <x:c r="M1068" s="907" t="str">
        <x:v>VNStock API actual</x:v>
      </x:c>
      <x:c r="N1068" s="1032" t="n">
        <x:v>46229.241747685184</x:v>
      </x:c>
    </x:row>
    <x:row r="1069">
      <x:c r="A1069" s="895" t="n">
        <x:v>45957</x:v>
      </x:c>
      <x:c r="B1069" s="898" t="n">
        <x:v>65.4</x:v>
      </x:c>
      <x:c r="C1069" s="898" t="n">
        <x:v>65.5</x:v>
      </x:c>
      <x:c r="D1069" s="898" t="n">
        <x:v>63.46</x:v>
      </x:c>
      <x:c r="E1069" s="898" t="n">
        <x:v>64.62</x:v>
      </x:c>
      <x:c r="F1069" s="901" t="n">
        <x:v>1408087</x:v>
      </x:c>
      <x:c r="G1069" s="904" t="n">
        <x:v>1696.45</x:v>
      </x:c>
      <x:c r="H1069" s="904" t="n">
        <x:v>1697.16</x:v>
      </x:c>
      <x:c r="I1069" s="904" t="n">
        <x:v>1652.54</x:v>
      </x:c>
      <x:c r="J1069" s="904" t="n">
        <x:v>1652.54</x:v>
      </x:c>
      <x:c r="K1069" s="901" t="n">
        <x:v>969578406</x:v>
      </x:c>
      <x:c r="L1069" s="907" t="str">
        <x:v>SRC-P404</x:v>
      </x:c>
      <x:c r="M1069" s="907" t="str">
        <x:v>VNStock API actual</x:v>
      </x:c>
      <x:c r="N1069" s="1032" t="n">
        <x:v>46229.241747685184</x:v>
      </x:c>
    </x:row>
    <x:row r="1070">
      <x:c r="A1070" s="895" t="n">
        <x:v>45958</x:v>
      </x:c>
      <x:c r="B1070" s="898" t="n">
        <x:v>64.53</x:v>
      </x:c>
      <x:c r="C1070" s="898" t="n">
        <x:v>64.62</x:v>
      </x:c>
      <x:c r="D1070" s="898" t="n">
        <x:v>62.2</x:v>
      </x:c>
      <x:c r="E1070" s="898" t="n">
        <x:v>64.62</x:v>
      </x:c>
      <x:c r="F1070" s="901" t="n">
        <x:v>2081293</x:v>
      </x:c>
      <x:c r="G1070" s="904" t="n">
        <x:v>1647.86</x:v>
      </x:c>
      <x:c r="H1070" s="904" t="n">
        <x:v>1680.5</x:v>
      </x:c>
      <x:c r="I1070" s="904" t="n">
        <x:v>1621.52</x:v>
      </x:c>
      <x:c r="J1070" s="904" t="n">
        <x:v>1680.5</x:v>
      </x:c>
      <x:c r="K1070" s="901" t="n">
        <x:v>933803962</x:v>
      </x:c>
      <x:c r="L1070" s="907" t="str">
        <x:v>SRC-P404</x:v>
      </x:c>
      <x:c r="M1070" s="907" t="str">
        <x:v>VNStock API actual</x:v>
      </x:c>
      <x:c r="N1070" s="1032" t="n">
        <x:v>46229.241747685184</x:v>
      </x:c>
    </x:row>
    <x:row r="1071">
      <x:c r="A1071" s="895" t="n">
        <x:v>45959</x:v>
      </x:c>
      <x:c r="B1071" s="898" t="n">
        <x:v>64.53</x:v>
      </x:c>
      <x:c r="C1071" s="898" t="n">
        <x:v>68.03</x:v>
      </x:c>
      <x:c r="D1071" s="898" t="n">
        <x:v>63.75</x:v>
      </x:c>
      <x:c r="E1071" s="898" t="n">
        <x:v>67.25</x:v>
      </x:c>
      <x:c r="F1071" s="901" t="n">
        <x:v>3995853</x:v>
      </x:c>
      <x:c r="G1071" s="904" t="n">
        <x:v>1685.9</x:v>
      </x:c>
      <x:c r="H1071" s="904" t="n">
        <x:v>1695.99</x:v>
      </x:c>
      <x:c r="I1071" s="904" t="n">
        <x:v>1675.68</x:v>
      </x:c>
      <x:c r="J1071" s="904" t="n">
        <x:v>1685.83</x:v>
      </x:c>
      <x:c r="K1071" s="901" t="n">
        <x:v>898809223</x:v>
      </x:c>
      <x:c r="L1071" s="907" t="str">
        <x:v>SRC-P404</x:v>
      </x:c>
      <x:c r="M1071" s="907" t="str">
        <x:v>VNStock API actual</x:v>
      </x:c>
      <x:c r="N1071" s="1032" t="n">
        <x:v>46229.241747685184</x:v>
      </x:c>
    </x:row>
    <x:row r="1072">
      <x:c r="A1072" s="895" t="n">
        <x:v>45960</x:v>
      </x:c>
      <x:c r="B1072" s="898" t="n">
        <x:v>67.83</x:v>
      </x:c>
      <x:c r="C1072" s="898" t="n">
        <x:v>68.61</x:v>
      </x:c>
      <x:c r="D1072" s="898" t="n">
        <x:v>66.86</x:v>
      </x:c>
      <x:c r="E1072" s="898" t="n">
        <x:v>68.51</x:v>
      </x:c>
      <x:c r="F1072" s="901" t="n">
        <x:v>3454735</x:v>
      </x:c>
      <x:c r="G1072" s="904" t="n">
        <x:v>1688.83</x:v>
      </x:c>
      <x:c r="H1072" s="904" t="n">
        <x:v>1690.69</x:v>
      </x:c>
      <x:c r="I1072" s="904" t="n">
        <x:v>1661.92</x:v>
      </x:c>
      <x:c r="J1072" s="904" t="n">
        <x:v>1669.57</x:v>
      </x:c>
      <x:c r="K1072" s="901" t="n">
        <x:v>796977133</x:v>
      </x:c>
      <x:c r="L1072" s="907" t="str">
        <x:v>SRC-P404</x:v>
      </x:c>
      <x:c r="M1072" s="907" t="str">
        <x:v>VNStock API actual</x:v>
      </x:c>
      <x:c r="N1072" s="1032" t="n">
        <x:v>46229.241747685184</x:v>
      </x:c>
    </x:row>
    <x:row r="1073">
      <x:c r="A1073" s="895" t="n">
        <x:v>45961</x:v>
      </x:c>
      <x:c r="B1073" s="898" t="n">
        <x:v>67.93</x:v>
      </x:c>
      <x:c r="C1073" s="898" t="n">
        <x:v>68.03</x:v>
      </x:c>
      <x:c r="D1073" s="898" t="n">
        <x:v>66.18</x:v>
      </x:c>
      <x:c r="E1073" s="898" t="n">
        <x:v>66.18</x:v>
      </x:c>
      <x:c r="F1073" s="901" t="n">
        <x:v>4258496</x:v>
      </x:c>
      <x:c r="G1073" s="904" t="n">
        <x:v>1669.61</x:v>
      </x:c>
      <x:c r="H1073" s="904" t="n">
        <x:v>1669.61</x:v>
      </x:c>
      <x:c r="I1073" s="904" t="n">
        <x:v>1636.62</x:v>
      </x:c>
      <x:c r="J1073" s="904" t="n">
        <x:v>1639.65</x:v>
      </x:c>
      <x:c r="K1073" s="901" t="n">
        <x:v>846392672</x:v>
      </x:c>
      <x:c r="L1073" s="907" t="str">
        <x:v>SRC-P404</x:v>
      </x:c>
      <x:c r="M1073" s="907" t="str">
        <x:v>VNStock API actual</x:v>
      </x:c>
      <x:c r="N1073" s="1032" t="n">
        <x:v>46229.241747685184</x:v>
      </x:c>
    </x:row>
    <x:row r="1074">
      <x:c r="A1074" s="895" t="n">
        <x:v>45964</x:v>
      </x:c>
      <x:c r="B1074" s="898" t="n">
        <x:v>66.28</x:v>
      </x:c>
      <x:c r="C1074" s="898" t="n">
        <x:v>69</x:v>
      </x:c>
      <x:c r="D1074" s="898" t="n">
        <x:v>65.79</x:v>
      </x:c>
      <x:c r="E1074" s="898" t="n">
        <x:v>66.57</x:v>
      </x:c>
      <x:c r="F1074" s="901" t="n">
        <x:v>3828168</x:v>
      </x:c>
      <x:c r="G1074" s="904" t="n">
        <x:v>1644.56</x:v>
      </x:c>
      <x:c r="H1074" s="904" t="n">
        <x:v>1652.48</x:v>
      </x:c>
      <x:c r="I1074" s="904" t="n">
        <x:v>1617</x:v>
      </x:c>
      <x:c r="J1074" s="904" t="n">
        <x:v>1617</x:v>
      </x:c>
      <x:c r="K1074" s="901" t="n">
        <x:v>1012509465</x:v>
      </x:c>
      <x:c r="L1074" s="907" t="str">
        <x:v>SRC-P404</x:v>
      </x:c>
      <x:c r="M1074" s="907" t="str">
        <x:v>VNStock API actual</x:v>
      </x:c>
      <x:c r="N1074" s="1032" t="n">
        <x:v>46229.241747685184</x:v>
      </x:c>
    </x:row>
    <x:row r="1075">
      <x:c r="A1075" s="895" t="n">
        <x:v>45965</x:v>
      </x:c>
      <x:c r="B1075" s="898" t="n">
        <x:v>65.69</x:v>
      </x:c>
      <x:c r="C1075" s="898" t="n">
        <x:v>66.18</x:v>
      </x:c>
      <x:c r="D1075" s="898" t="n">
        <x:v>62.29</x:v>
      </x:c>
      <x:c r="E1075" s="898" t="n">
        <x:v>65.4</x:v>
      </x:c>
      <x:c r="F1075" s="901" t="n">
        <x:v>3775405</x:v>
      </x:c>
      <x:c r="G1075" s="904" t="n">
        <x:v>1618.02</x:v>
      </x:c>
      <x:c r="H1075" s="904" t="n">
        <x:v>1658.93</x:v>
      </x:c>
      <x:c r="I1075" s="904" t="n">
        <x:v>1600.56</x:v>
      </x:c>
      <x:c r="J1075" s="904" t="n">
        <x:v>1651.98</x:v>
      </x:c>
      <x:c r="K1075" s="901" t="n">
        <x:v>1198941757</x:v>
      </x:c>
      <x:c r="L1075" s="907" t="str">
        <x:v>SRC-P404</x:v>
      </x:c>
      <x:c r="M1075" s="907" t="str">
        <x:v>VNStock API actual</x:v>
      </x:c>
      <x:c r="N1075" s="1032" t="n">
        <x:v>46229.241747685184</x:v>
      </x:c>
    </x:row>
    <x:row r="1076">
      <x:c r="A1076" s="895" t="n">
        <x:v>45966</x:v>
      </x:c>
      <x:c r="B1076" s="898" t="n">
        <x:v>65.4</x:v>
      </x:c>
      <x:c r="C1076" s="898" t="n">
        <x:v>65.4</x:v>
      </x:c>
      <x:c r="D1076" s="898" t="n">
        <x:v>63.75</x:v>
      </x:c>
      <x:c r="E1076" s="898" t="n">
        <x:v>65.11</x:v>
      </x:c>
      <x:c r="F1076" s="901" t="n">
        <x:v>1441752</x:v>
      </x:c>
      <x:c r="G1076" s="904" t="n">
        <x:v>1647.46</x:v>
      </x:c>
      <x:c r="H1076" s="904" t="n">
        <x:v>1659.58</x:v>
      </x:c>
      <x:c r="I1076" s="904" t="n">
        <x:v>1640.51</x:v>
      </x:c>
      <x:c r="J1076" s="904" t="n">
        <x:v>1654.89</x:v>
      </x:c>
      <x:c r="K1076" s="901" t="n">
        <x:v>662264267</x:v>
      </x:c>
      <x:c r="L1076" s="907" t="str">
        <x:v>SRC-P404</x:v>
      </x:c>
      <x:c r="M1076" s="907" t="str">
        <x:v>VNStock API actual</x:v>
      </x:c>
      <x:c r="N1076" s="1032" t="n">
        <x:v>46229.241747685184</x:v>
      </x:c>
    </x:row>
    <x:row r="1077">
      <x:c r="A1077" s="895" t="n">
        <x:v>45967</x:v>
      </x:c>
      <x:c r="B1077" s="898" t="n">
        <x:v>65.11</x:v>
      </x:c>
      <x:c r="C1077" s="898" t="n">
        <x:v>65.79</x:v>
      </x:c>
      <x:c r="D1077" s="898" t="n">
        <x:v>64.24</x:v>
      </x:c>
      <x:c r="E1077" s="898" t="n">
        <x:v>64.24</x:v>
      </x:c>
      <x:c r="F1077" s="901" t="n">
        <x:v>1891675</x:v>
      </x:c>
      <x:c r="G1077" s="904" t="n">
        <x:v>1656.67</x:v>
      </x:c>
      <x:c r="H1077" s="904" t="n">
        <x:v>1658.69</x:v>
      </x:c>
      <x:c r="I1077" s="904" t="n">
        <x:v>1638.12</x:v>
      </x:c>
      <x:c r="J1077" s="904" t="n">
        <x:v>1642.64</x:v>
      </x:c>
      <x:c r="K1077" s="901" t="n">
        <x:v>583918596</x:v>
      </x:c>
      <x:c r="L1077" s="907" t="str">
        <x:v>SRC-P404</x:v>
      </x:c>
      <x:c r="M1077" s="907" t="str">
        <x:v>VNStock API actual</x:v>
      </x:c>
      <x:c r="N1077" s="1032" t="n">
        <x:v>46229.241747685184</x:v>
      </x:c>
    </x:row>
    <x:row r="1078">
      <x:c r="A1078" s="895" t="n">
        <x:v>45968</x:v>
      </x:c>
      <x:c r="B1078" s="898" t="n">
        <x:v>64.24</x:v>
      </x:c>
      <x:c r="C1078" s="898" t="n">
        <x:v>64.33</x:v>
      </x:c>
      <x:c r="D1078" s="898" t="n">
        <x:v>61.22</x:v>
      </x:c>
      <x:c r="E1078" s="898" t="n">
        <x:v>61.61</x:v>
      </x:c>
      <x:c r="F1078" s="901" t="n">
        <x:v>2328622</x:v>
      </x:c>
      <x:c r="G1078" s="904" t="n">
        <x:v>1636.24</x:v>
      </x:c>
      <x:c r="H1078" s="904" t="n">
        <x:v>1638.59</x:v>
      </x:c>
      <x:c r="I1078" s="904" t="n">
        <x:v>1595.34</x:v>
      </x:c>
      <x:c r="J1078" s="904" t="n">
        <x:v>1599.1</x:v>
      </x:c>
      <x:c r="K1078" s="901" t="n">
        <x:v>846874733</x:v>
      </x:c>
      <x:c r="L1078" s="907" t="str">
        <x:v>SRC-P404</x:v>
      </x:c>
      <x:c r="M1078" s="907" t="str">
        <x:v>VNStock API actual</x:v>
      </x:c>
      <x:c r="N1078" s="1032" t="n">
        <x:v>46229.241747685184</x:v>
      </x:c>
    </x:row>
    <x:row r="1079">
      <x:c r="A1079" s="895" t="n">
        <x:v>45971</x:v>
      </x:c>
      <x:c r="B1079" s="898" t="n">
        <x:v>61.61</x:v>
      </x:c>
      <x:c r="C1079" s="898" t="n">
        <x:v>61.81</x:v>
      </x:c>
      <x:c r="D1079" s="898" t="n">
        <x:v>59.28</x:v>
      </x:c>
      <x:c r="E1079" s="898" t="n">
        <x:v>59.28</x:v>
      </x:c>
      <x:c r="F1079" s="901" t="n">
        <x:v>2652251</x:v>
      </x:c>
      <x:c r="G1079" s="904" t="n">
        <x:v>1598.02</x:v>
      </x:c>
      <x:c r="H1079" s="904" t="n">
        <x:v>1609.49</x:v>
      </x:c>
      <x:c r="I1079" s="904" t="n">
        <x:v>1580.54</x:v>
      </x:c>
      <x:c r="J1079" s="904" t="n">
        <x:v>1580.54</x:v>
      </x:c>
      <x:c r="K1079" s="901" t="n">
        <x:v>733963463</x:v>
      </x:c>
      <x:c r="L1079" s="907" t="str">
        <x:v>SRC-P404</x:v>
      </x:c>
      <x:c r="M1079" s="907" t="str">
        <x:v>VNStock API actual</x:v>
      </x:c>
      <x:c r="N1079" s="1032" t="n">
        <x:v>46229.241747685184</x:v>
      </x:c>
    </x:row>
    <x:row r="1080">
      <x:c r="A1080" s="895" t="n">
        <x:v>45972</x:v>
      </x:c>
      <x:c r="B1080" s="898" t="n">
        <x:v>59.28</x:v>
      </x:c>
      <x:c r="C1080" s="898" t="n">
        <x:v>60.25</x:v>
      </x:c>
      <x:c r="D1080" s="898" t="n">
        <x:v>57.82</x:v>
      </x:c>
      <x:c r="E1080" s="898" t="n">
        <x:v>59.28</x:v>
      </x:c>
      <x:c r="F1080" s="901" t="n">
        <x:v>1525079</x:v>
      </x:c>
      <x:c r="G1080" s="904" t="n">
        <x:v>1585.32</x:v>
      </x:c>
      <x:c r="H1080" s="904" t="n">
        <x:v>1597.08</x:v>
      </x:c>
      <x:c r="I1080" s="904" t="n">
        <x:v>1578.42</x:v>
      </x:c>
      <x:c r="J1080" s="904" t="n">
        <x:v>1593.61</x:v>
      </x:c>
      <x:c r="K1080" s="901" t="n">
        <x:v>664598578</x:v>
      </x:c>
      <x:c r="L1080" s="907" t="str">
        <x:v>SRC-P404</x:v>
      </x:c>
      <x:c r="M1080" s="907" t="str">
        <x:v>VNStock API actual</x:v>
      </x:c>
      <x:c r="N1080" s="1032" t="n">
        <x:v>46229.241747685184</x:v>
      </x:c>
    </x:row>
    <x:row r="1081">
      <x:c r="A1081" s="895" t="n">
        <x:v>45973</x:v>
      </x:c>
      <x:c r="B1081" s="898" t="n">
        <x:v>59.77</x:v>
      </x:c>
      <x:c r="C1081" s="898" t="n">
        <x:v>61.22</x:v>
      </x:c>
      <x:c r="D1081" s="898" t="n">
        <x:v>59.67</x:v>
      </x:c>
      <x:c r="E1081" s="898" t="n">
        <x:v>60.25</x:v>
      </x:c>
      <x:c r="F1081" s="901" t="n">
        <x:v>1119168</x:v>
      </x:c>
      <x:c r="G1081" s="904" t="n">
        <x:v>1599.63</x:v>
      </x:c>
      <x:c r="H1081" s="904" t="n">
        <x:v>1631.86</x:v>
      </x:c>
      <x:c r="I1081" s="904" t="n">
        <x:v>1596.43</x:v>
      </x:c>
      <x:c r="J1081" s="904" t="n">
        <x:v>1631.86</x:v>
      </x:c>
      <x:c r="K1081" s="901" t="n">
        <x:v>757596568</x:v>
      </x:c>
      <x:c r="L1081" s="907" t="str">
        <x:v>SRC-P404</x:v>
      </x:c>
      <x:c r="M1081" s="907" t="str">
        <x:v>VNStock API actual</x:v>
      </x:c>
      <x:c r="N1081" s="1032" t="n">
        <x:v>46229.241747685184</x:v>
      </x:c>
    </x:row>
    <x:row r="1082">
      <x:c r="A1082" s="895" t="n">
        <x:v>45974</x:v>
      </x:c>
      <x:c r="B1082" s="898" t="n">
        <x:v>60.35</x:v>
      </x:c>
      <x:c r="C1082" s="898" t="n">
        <x:v>62.1</x:v>
      </x:c>
      <x:c r="D1082" s="898" t="n">
        <x:v>60.35</x:v>
      </x:c>
      <x:c r="E1082" s="898" t="n">
        <x:v>61.22</x:v>
      </x:c>
      <x:c r="F1082" s="901" t="n">
        <x:v>1574773</x:v>
      </x:c>
      <x:c r="G1082" s="904" t="n">
        <x:v>1632.64</x:v>
      </x:c>
      <x:c r="H1082" s="904" t="n">
        <x:v>1638.98</x:v>
      </x:c>
      <x:c r="I1082" s="904" t="n">
        <x:v>1626.14</x:v>
      </x:c>
      <x:c r="J1082" s="904" t="n">
        <x:v>1631.44</x:v>
      </x:c>
      <x:c r="K1082" s="901" t="n">
        <x:v>699139664</x:v>
      </x:c>
      <x:c r="L1082" s="907" t="str">
        <x:v>SRC-P404</x:v>
      </x:c>
      <x:c r="M1082" s="907" t="str">
        <x:v>VNStock API actual</x:v>
      </x:c>
      <x:c r="N1082" s="1032" t="n">
        <x:v>46229.241747685184</x:v>
      </x:c>
    </x:row>
    <x:row r="1083">
      <x:c r="A1083" s="895" t="n">
        <x:v>45975</x:v>
      </x:c>
      <x:c r="B1083" s="898" t="n">
        <x:v>61.22</x:v>
      </x:c>
      <x:c r="C1083" s="898" t="n">
        <x:v>61.32</x:v>
      </x:c>
      <x:c r="D1083" s="898" t="n">
        <x:v>60.35</x:v>
      </x:c>
      <x:c r="E1083" s="898" t="n">
        <x:v>60.74</x:v>
      </x:c>
      <x:c r="F1083" s="901" t="n">
        <x:v>767955</x:v>
      </x:c>
      <x:c r="G1083" s="904" t="n">
        <x:v>1627.45</x:v>
      </x:c>
      <x:c r="H1083" s="904" t="n">
        <x:v>1638.35</x:v>
      </x:c>
      <x:c r="I1083" s="904" t="n">
        <x:v>1623.03</x:v>
      </x:c>
      <x:c r="J1083" s="904" t="n">
        <x:v>1635.46</x:v>
      </x:c>
      <x:c r="K1083" s="901" t="n">
        <x:v>703912296</x:v>
      </x:c>
      <x:c r="L1083" s="907" t="str">
        <x:v>SRC-P404</x:v>
      </x:c>
      <x:c r="M1083" s="907" t="str">
        <x:v>VNStock API actual</x:v>
      </x:c>
      <x:c r="N1083" s="1032" t="n">
        <x:v>46229.241747685184</x:v>
      </x:c>
    </x:row>
    <x:row r="1084">
      <x:c r="A1084" s="895" t="n">
        <x:v>45978</x:v>
      </x:c>
      <x:c r="B1084" s="898" t="n">
        <x:v>60.74</x:v>
      </x:c>
      <x:c r="C1084" s="898" t="n">
        <x:v>62.2</x:v>
      </x:c>
      <x:c r="D1084" s="898" t="n">
        <x:v>60.74</x:v>
      </x:c>
      <x:c r="E1084" s="898" t="n">
        <x:v>61.81</x:v>
      </x:c>
      <x:c r="F1084" s="901" t="n">
        <x:v>614442</x:v>
      </x:c>
      <x:c r="G1084" s="904" t="n">
        <x:v>1640.47</x:v>
      </x:c>
      <x:c r="H1084" s="904" t="n">
        <x:v>1654.42</x:v>
      </x:c>
      <x:c r="I1084" s="904" t="n">
        <x:v>1640.47</x:v>
      </x:c>
      <x:c r="J1084" s="904" t="n">
        <x:v>1654.42</x:v>
      </x:c>
      <x:c r="K1084" s="901" t="n">
        <x:v>766684998</x:v>
      </x:c>
      <x:c r="L1084" s="907" t="str">
        <x:v>SRC-P404</x:v>
      </x:c>
      <x:c r="M1084" s="907" t="str">
        <x:v>VNStock API actual</x:v>
      </x:c>
      <x:c r="N1084" s="1032" t="n">
        <x:v>46229.241747685184</x:v>
      </x:c>
    </x:row>
    <x:row r="1085">
      <x:c r="A1085" s="895" t="n">
        <x:v>45979</x:v>
      </x:c>
      <x:c r="B1085" s="898" t="n">
        <x:v>61.61</x:v>
      </x:c>
      <x:c r="C1085" s="898" t="n">
        <x:v>62.68</x:v>
      </x:c>
      <x:c r="D1085" s="898" t="n">
        <x:v>61.32</x:v>
      </x:c>
      <x:c r="E1085" s="898" t="n">
        <x:v>61.71</x:v>
      </x:c>
      <x:c r="F1085" s="901" t="n">
        <x:v>1083549</x:v>
      </x:c>
      <x:c r="G1085" s="904" t="n">
        <x:v>1657.43</x:v>
      </x:c>
      <x:c r="H1085" s="904" t="n">
        <x:v>1660.41</x:v>
      </x:c>
      <x:c r="I1085" s="904" t="n">
        <x:v>1647.64</x:v>
      </x:c>
      <x:c r="J1085" s="904" t="n">
        <x:v>1659.92</x:v>
      </x:c>
      <x:c r="K1085" s="901" t="n">
        <x:v>773781151</x:v>
      </x:c>
      <x:c r="L1085" s="907" t="str">
        <x:v>SRC-P404</x:v>
      </x:c>
      <x:c r="M1085" s="907" t="str">
        <x:v>VNStock API actual</x:v>
      </x:c>
      <x:c r="N1085" s="1032" t="n">
        <x:v>46229.241747685184</x:v>
      </x:c>
    </x:row>
    <x:row r="1086">
      <x:c r="A1086" s="895" t="n">
        <x:v>45980</x:v>
      </x:c>
      <x:c r="B1086" s="898" t="n">
        <x:v>61.81</x:v>
      </x:c>
      <x:c r="C1086" s="898" t="n">
        <x:v>62.2</x:v>
      </x:c>
      <x:c r="D1086" s="898" t="n">
        <x:v>60.93</x:v>
      </x:c>
      <x:c r="E1086" s="898" t="n">
        <x:v>61.42</x:v>
      </x:c>
      <x:c r="F1086" s="901" t="n">
        <x:v>907553</x:v>
      </x:c>
      <x:c r="G1086" s="904" t="n">
        <x:v>1659.25</x:v>
      </x:c>
      <x:c r="H1086" s="904" t="n">
        <x:v>1661.51</x:v>
      </x:c>
      <x:c r="I1086" s="904" t="n">
        <x:v>1643.04</x:v>
      </x:c>
      <x:c r="J1086" s="904" t="n">
        <x:v>1649</x:v>
      </x:c>
      <x:c r="K1086" s="901" t="n">
        <x:v>850211293</x:v>
      </x:c>
      <x:c r="L1086" s="907" t="str">
        <x:v>SRC-P404</x:v>
      </x:c>
      <x:c r="M1086" s="907" t="str">
        <x:v>VNStock API actual</x:v>
      </x:c>
      <x:c r="N1086" s="1032" t="n">
        <x:v>46229.241747685184</x:v>
      </x:c>
    </x:row>
    <x:row r="1087">
      <x:c r="A1087" s="895" t="n">
        <x:v>45981</x:v>
      </x:c>
      <x:c r="B1087" s="898" t="n">
        <x:v>61.42</x:v>
      </x:c>
      <x:c r="C1087" s="898" t="n">
        <x:v>61.42</x:v>
      </x:c>
      <x:c r="D1087" s="898" t="n">
        <x:v>60.74</x:v>
      </x:c>
      <x:c r="E1087" s="898" t="n">
        <x:v>60.83</x:v>
      </x:c>
      <x:c r="F1087" s="901" t="n">
        <x:v>757437</x:v>
      </x:c>
      <x:c r="G1087" s="904" t="n">
        <x:v>1651.93</x:v>
      </x:c>
      <x:c r="H1087" s="904" t="n">
        <x:v>1660.55</x:v>
      </x:c>
      <x:c r="I1087" s="904" t="n">
        <x:v>1647.79</x:v>
      </x:c>
      <x:c r="J1087" s="904" t="n">
        <x:v>1655.99</x:v>
      </x:c>
      <x:c r="K1087" s="901" t="n">
        <x:v>681094934</x:v>
      </x:c>
      <x:c r="L1087" s="907" t="str">
        <x:v>SRC-P404</x:v>
      </x:c>
      <x:c r="M1087" s="907" t="str">
        <x:v>VNStock API actual</x:v>
      </x:c>
      <x:c r="N1087" s="1032" t="n">
        <x:v>46229.241747685184</x:v>
      </x:c>
    </x:row>
    <x:row r="1088">
      <x:c r="A1088" s="895" t="n">
        <x:v>45982</x:v>
      </x:c>
      <x:c r="B1088" s="898" t="n">
        <x:v>60.74</x:v>
      </x:c>
      <x:c r="C1088" s="898" t="n">
        <x:v>62.1</x:v>
      </x:c>
      <x:c r="D1088" s="898" t="n">
        <x:v>60.15</x:v>
      </x:c>
      <x:c r="E1088" s="898" t="n">
        <x:v>61.42</x:v>
      </x:c>
      <x:c r="F1088" s="901" t="n">
        <x:v>865664</x:v>
      </x:c>
      <x:c r="G1088" s="904" t="n">
        <x:v>1646.36</x:v>
      </x:c>
      <x:c r="H1088" s="904" t="n">
        <x:v>1656.84</x:v>
      </x:c>
      <x:c r="I1088" s="904" t="n">
        <x:v>1635.1</x:v>
      </x:c>
      <x:c r="J1088" s="904" t="n">
        <x:v>1654.93</x:v>
      </x:c>
      <x:c r="K1088" s="901" t="n">
        <x:v>730536641</x:v>
      </x:c>
      <x:c r="L1088" s="907" t="str">
        <x:v>SRC-P404</x:v>
      </x:c>
      <x:c r="M1088" s="907" t="str">
        <x:v>VNStock API actual</x:v>
      </x:c>
      <x:c r="N1088" s="1032" t="n">
        <x:v>46229.241747685184</x:v>
      </x:c>
    </x:row>
    <x:row r="1089">
      <x:c r="A1089" s="895" t="n">
        <x:v>45985</x:v>
      </x:c>
      <x:c r="B1089" s="898" t="n">
        <x:v>61.42</x:v>
      </x:c>
      <x:c r="C1089" s="898" t="n">
        <x:v>61.71</x:v>
      </x:c>
      <x:c r="D1089" s="898" t="n">
        <x:v>61.13</x:v>
      </x:c>
      <x:c r="E1089" s="898" t="n">
        <x:v>61.13</x:v>
      </x:c>
      <x:c r="F1089" s="901" t="n">
        <x:v>438379</x:v>
      </x:c>
      <x:c r="G1089" s="904" t="n">
        <x:v>1656.03</x:v>
      </x:c>
      <x:c r="H1089" s="904" t="n">
        <x:v>1674.29</x:v>
      </x:c>
      <x:c r="I1089" s="904" t="n">
        <x:v>1656.01</x:v>
      </x:c>
      <x:c r="J1089" s="904" t="n">
        <x:v>1667.98</x:v>
      </x:c>
      <x:c r="K1089" s="901" t="n">
        <x:v>576494405</x:v>
      </x:c>
      <x:c r="L1089" s="907" t="str">
        <x:v>SRC-P404</x:v>
      </x:c>
      <x:c r="M1089" s="907" t="str">
        <x:v>VNStock API actual</x:v>
      </x:c>
      <x:c r="N1089" s="1032" t="n">
        <x:v>46229.241747685184</x:v>
      </x:c>
    </x:row>
    <x:row r="1090">
      <x:c r="A1090" s="895" t="n">
        <x:v>45986</x:v>
      </x:c>
      <x:c r="B1090" s="898" t="n">
        <x:v>61.22</x:v>
      </x:c>
      <x:c r="C1090" s="898" t="n">
        <x:v>61.61</x:v>
      </x:c>
      <x:c r="D1090" s="898" t="n">
        <x:v>60.25</x:v>
      </x:c>
      <x:c r="E1090" s="898" t="n">
        <x:v>61.13</x:v>
      </x:c>
      <x:c r="F1090" s="901" t="n">
        <x:v>1312794</x:v>
      </x:c>
      <x:c r="G1090" s="904" t="n">
        <x:v>1670.08</x:v>
      </x:c>
      <x:c r="H1090" s="904" t="n">
        <x:v>1676.7</x:v>
      </x:c>
      <x:c r="I1090" s="904" t="n">
        <x:v>1657.77</x:v>
      </x:c>
      <x:c r="J1090" s="904" t="n">
        <x:v>1660.36</x:v>
      </x:c>
      <x:c r="K1090" s="901" t="n">
        <x:v>912568955</x:v>
      </x:c>
      <x:c r="L1090" s="907" t="str">
        <x:v>SRC-P404</x:v>
      </x:c>
      <x:c r="M1090" s="907" t="str">
        <x:v>VNStock API actual</x:v>
      </x:c>
      <x:c r="N1090" s="1032" t="n">
        <x:v>46229.241747685184</x:v>
      </x:c>
    </x:row>
    <x:row r="1091">
      <x:c r="A1091" s="895" t="n">
        <x:v>45987</x:v>
      </x:c>
      <x:c r="B1091" s="898" t="n">
        <x:v>61.22</x:v>
      </x:c>
      <x:c r="C1091" s="898" t="n">
        <x:v>61.9</x:v>
      </x:c>
      <x:c r="D1091" s="898" t="n">
        <x:v>60.74</x:v>
      </x:c>
      <x:c r="E1091" s="898" t="n">
        <x:v>61.61</x:v>
      </x:c>
      <x:c r="F1091" s="901" t="n">
        <x:v>1234043</x:v>
      </x:c>
      <x:c r="G1091" s="904" t="n">
        <x:v>1667.31</x:v>
      </x:c>
      <x:c r="H1091" s="904" t="n">
        <x:v>1682.17</x:v>
      </x:c>
      <x:c r="I1091" s="904" t="n">
        <x:v>1663.99</x:v>
      </x:c>
      <x:c r="J1091" s="904" t="n">
        <x:v>1680.36</x:v>
      </x:c>
      <x:c r="K1091" s="901" t="n">
        <x:v>794445051</x:v>
      </x:c>
      <x:c r="L1091" s="907" t="str">
        <x:v>SRC-P404</x:v>
      </x:c>
      <x:c r="M1091" s="907" t="str">
        <x:v>VNStock API actual</x:v>
      </x:c>
      <x:c r="N1091" s="1032" t="n">
        <x:v>46229.241747685184</x:v>
      </x:c>
    </x:row>
    <x:row r="1092">
      <x:c r="A1092" s="895" t="n">
        <x:v>45988</x:v>
      </x:c>
      <x:c r="B1092" s="898" t="n">
        <x:v>61.71</x:v>
      </x:c>
      <x:c r="C1092" s="898" t="n">
        <x:v>62.49</x:v>
      </x:c>
      <x:c r="D1092" s="898" t="n">
        <x:v>61.32</x:v>
      </x:c>
      <x:c r="E1092" s="898" t="n">
        <x:v>62.1</x:v>
      </x:c>
      <x:c r="F1092" s="901" t="n">
        <x:v>1197035</x:v>
      </x:c>
      <x:c r="G1092" s="904" t="n">
        <x:v>1686.03</x:v>
      </x:c>
      <x:c r="H1092" s="904" t="n">
        <x:v>1695.34</x:v>
      </x:c>
      <x:c r="I1092" s="904" t="n">
        <x:v>1681.08</x:v>
      </x:c>
      <x:c r="J1092" s="904" t="n">
        <x:v>1684.32</x:v>
      </x:c>
      <x:c r="K1092" s="901" t="n">
        <x:v>714132340</x:v>
      </x:c>
      <x:c r="L1092" s="907" t="str">
        <x:v>SRC-P404</x:v>
      </x:c>
      <x:c r="M1092" s="907" t="str">
        <x:v>VNStock API actual</x:v>
      </x:c>
      <x:c r="N1092" s="1032" t="n">
        <x:v>46229.241747685184</x:v>
      </x:c>
    </x:row>
    <x:row r="1093">
      <x:c r="A1093" s="895" t="n">
        <x:v>45989</x:v>
      </x:c>
      <x:c r="B1093" s="898" t="n">
        <x:v>62.29</x:v>
      </x:c>
      <x:c r="C1093" s="898" t="n">
        <x:v>62.88</x:v>
      </x:c>
      <x:c r="D1093" s="898" t="n">
        <x:v>61.61</x:v>
      </x:c>
      <x:c r="E1093" s="898" t="n">
        <x:v>62.2</x:v>
      </x:c>
      <x:c r="F1093" s="901" t="n">
        <x:v>1069025</x:v>
      </x:c>
      <x:c r="G1093" s="904" t="n">
        <x:v>1683.77</x:v>
      </x:c>
      <x:c r="H1093" s="904" t="n">
        <x:v>1696.14</x:v>
      </x:c>
      <x:c r="I1093" s="904" t="n">
        <x:v>1679.12</x:v>
      </x:c>
      <x:c r="J1093" s="904" t="n">
        <x:v>1690.99</x:v>
      </x:c>
      <x:c r="K1093" s="901" t="n">
        <x:v>723199925</x:v>
      </x:c>
      <x:c r="L1093" s="907" t="str">
        <x:v>SRC-P404</x:v>
      </x:c>
      <x:c r="M1093" s="907" t="str">
        <x:v>VNStock API actual</x:v>
      </x:c>
      <x:c r="N1093" s="1032" t="n">
        <x:v>46229.241747685184</x:v>
      </x:c>
    </x:row>
    <x:row r="1094">
      <x:c r="A1094" s="895" t="n">
        <x:v>45992</x:v>
      </x:c>
      <x:c r="B1094" s="898" t="n">
        <x:v>62.1</x:v>
      </x:c>
      <x:c r="C1094" s="898" t="n">
        <x:v>62.2</x:v>
      </x:c>
      <x:c r="D1094" s="898" t="n">
        <x:v>60.93</x:v>
      </x:c>
      <x:c r="E1094" s="898" t="n">
        <x:v>61.71</x:v>
      </x:c>
      <x:c r="F1094" s="901" t="n">
        <x:v>562626</x:v>
      </x:c>
      <x:c r="G1094" s="904" t="n">
        <x:v>1698.98</x:v>
      </x:c>
      <x:c r="H1094" s="904" t="n">
        <x:v>1713.77</x:v>
      </x:c>
      <x:c r="I1094" s="904" t="n">
        <x:v>1697.38</x:v>
      </x:c>
      <x:c r="J1094" s="904" t="n">
        <x:v>1701.67</x:v>
      </x:c>
      <x:c r="K1094" s="901" t="n">
        <x:v>633506422</x:v>
      </x:c>
      <x:c r="L1094" s="907" t="str">
        <x:v>SRC-P404</x:v>
      </x:c>
      <x:c r="M1094" s="907" t="str">
        <x:v>VNStock API actual</x:v>
      </x:c>
      <x:c r="N1094" s="1032" t="n">
        <x:v>46229.241747685184</x:v>
      </x:c>
    </x:row>
    <x:row r="1095">
      <x:c r="A1095" s="895" t="n">
        <x:v>45993</x:v>
      </x:c>
      <x:c r="B1095" s="898" t="n">
        <x:v>61.03</x:v>
      </x:c>
      <x:c r="C1095" s="898" t="n">
        <x:v>61.03</x:v>
      </x:c>
      <x:c r="D1095" s="898" t="n">
        <x:v>60.15</x:v>
      </x:c>
      <x:c r="E1095" s="898" t="n">
        <x:v>60.93</x:v>
      </x:c>
      <x:c r="F1095" s="901" t="n">
        <x:v>1274053</x:v>
      </x:c>
      <x:c r="G1095" s="904" t="n">
        <x:v>1704.84</x:v>
      </x:c>
      <x:c r="H1095" s="904" t="n">
        <x:v>1719.03</x:v>
      </x:c>
      <x:c r="I1095" s="904" t="n">
        <x:v>1690.36</x:v>
      </x:c>
      <x:c r="J1095" s="904" t="n">
        <x:v>1717.06</x:v>
      </x:c>
      <x:c r="K1095" s="901" t="n">
        <x:v>693931904</x:v>
      </x:c>
      <x:c r="L1095" s="907" t="str">
        <x:v>SRC-P404</x:v>
      </x:c>
      <x:c r="M1095" s="907" t="str">
        <x:v>VNStock API actual</x:v>
      </x:c>
      <x:c r="N1095" s="1032" t="n">
        <x:v>46229.241747685184</x:v>
      </x:c>
    </x:row>
    <x:row r="1096">
      <x:c r="A1096" s="895" t="n">
        <x:v>45994</x:v>
      </x:c>
      <x:c r="B1096" s="898" t="n">
        <x:v>60.93</x:v>
      </x:c>
      <x:c r="C1096" s="898" t="n">
        <x:v>61.03</x:v>
      </x:c>
      <x:c r="D1096" s="898" t="n">
        <x:v>60.54</x:v>
      </x:c>
      <x:c r="E1096" s="898" t="n">
        <x:v>60.93</x:v>
      </x:c>
      <x:c r="F1096" s="901" t="n">
        <x:v>1276308</x:v>
      </x:c>
      <x:c r="G1096" s="904" t="n">
        <x:v>1725.9</x:v>
      </x:c>
      <x:c r="H1096" s="904" t="n">
        <x:v>1741.65</x:v>
      </x:c>
      <x:c r="I1096" s="904" t="n">
        <x:v>1714.9</x:v>
      </x:c>
      <x:c r="J1096" s="904" t="n">
        <x:v>1731.77</x:v>
      </x:c>
      <x:c r="K1096" s="901" t="n">
        <x:v>822614056</x:v>
      </x:c>
      <x:c r="L1096" s="907" t="str">
        <x:v>SRC-P404</x:v>
      </x:c>
      <x:c r="M1096" s="907" t="str">
        <x:v>VNStock API actual</x:v>
      </x:c>
      <x:c r="N1096" s="1032" t="n">
        <x:v>46229.241747685184</x:v>
      </x:c>
    </x:row>
    <x:row r="1097">
      <x:c r="A1097" s="895" t="n">
        <x:v>45995</x:v>
      </x:c>
      <x:c r="B1097" s="898" t="n">
        <x:v>61.22</x:v>
      </x:c>
      <x:c r="C1097" s="898" t="n">
        <x:v>61.81</x:v>
      </x:c>
      <x:c r="D1097" s="898" t="n">
        <x:v>60.35</x:v>
      </x:c>
      <x:c r="E1097" s="898" t="n">
        <x:v>60.35</x:v>
      </x:c>
      <x:c r="F1097" s="901" t="n">
        <x:v>1571398</x:v>
      </x:c>
      <x:c r="G1097" s="904" t="n">
        <x:v>1735.41</x:v>
      </x:c>
      <x:c r="H1097" s="904" t="n">
        <x:v>1741.71</x:v>
      </x:c>
      <x:c r="I1097" s="904" t="n">
        <x:v>1725.23</x:v>
      </x:c>
      <x:c r="J1097" s="904" t="n">
        <x:v>1737.24</x:v>
      </x:c>
      <x:c r="K1097" s="901" t="n">
        <x:v>894123127</x:v>
      </x:c>
      <x:c r="L1097" s="907" t="str">
        <x:v>SRC-P404</x:v>
      </x:c>
      <x:c r="M1097" s="907" t="str">
        <x:v>VNStock API actual</x:v>
      </x:c>
      <x:c r="N1097" s="1032" t="n">
        <x:v>46229.241747685184</x:v>
      </x:c>
    </x:row>
    <x:row r="1098">
      <x:c r="A1098" s="895" t="n">
        <x:v>45996</x:v>
      </x:c>
      <x:c r="B1098" s="898" t="n">
        <x:v>60.54</x:v>
      </x:c>
      <x:c r="C1098" s="898" t="n">
        <x:v>60.74</x:v>
      </x:c>
      <x:c r="D1098" s="898" t="n">
        <x:v>59.28</x:v>
      </x:c>
      <x:c r="E1098" s="898" t="n">
        <x:v>59.28</x:v>
      </x:c>
      <x:c r="F1098" s="901" t="n">
        <x:v>1150617</x:v>
      </x:c>
      <x:c r="G1098" s="904" t="n">
        <x:v>1755.72</x:v>
      </x:c>
      <x:c r="H1098" s="904" t="n">
        <x:v>1758.44</x:v>
      </x:c>
      <x:c r="I1098" s="904" t="n">
        <x:v>1738.3</x:v>
      </x:c>
      <x:c r="J1098" s="904" t="n">
        <x:v>1741.32</x:v>
      </x:c>
      <x:c r="K1098" s="901" t="n">
        <x:v>658094976</x:v>
      </x:c>
      <x:c r="L1098" s="907" t="str">
        <x:v>SRC-P404</x:v>
      </x:c>
      <x:c r="M1098" s="907" t="str">
        <x:v>VNStock API actual</x:v>
      </x:c>
      <x:c r="N1098" s="1032" t="n">
        <x:v>46229.241747685184</x:v>
      </x:c>
    </x:row>
    <x:row r="1099">
      <x:c r="A1099" s="895" t="n">
        <x:v>45999</x:v>
      </x:c>
      <x:c r="B1099" s="898" t="n">
        <x:v>59.96</x:v>
      </x:c>
      <x:c r="C1099" s="898" t="n">
        <x:v>59.96</x:v>
      </x:c>
      <x:c r="D1099" s="898" t="n">
        <x:v>57.43</x:v>
      </x:c>
      <x:c r="E1099" s="898" t="n">
        <x:v>57.82</x:v>
      </x:c>
      <x:c r="F1099" s="901" t="n">
        <x:v>1700225</x:v>
      </x:c>
      <x:c r="G1099" s="904" t="n">
        <x:v>1757.42</x:v>
      </x:c>
      <x:c r="H1099" s="904" t="n">
        <x:v>1758.41</x:v>
      </x:c>
      <x:c r="I1099" s="904" t="n">
        <x:v>1746.03</x:v>
      </x:c>
      <x:c r="J1099" s="904" t="n">
        <x:v>1753.74</x:v>
      </x:c>
      <x:c r="K1099" s="901" t="n">
        <x:v>740943400</x:v>
      </x:c>
      <x:c r="L1099" s="907" t="str">
        <x:v>SRC-P404</x:v>
      </x:c>
      <x:c r="M1099" s="907" t="str">
        <x:v>VNStock API actual</x:v>
      </x:c>
      <x:c r="N1099" s="1032" t="n">
        <x:v>46229.241747685184</x:v>
      </x:c>
    </x:row>
    <x:row r="1100">
      <x:c r="A1100" s="895" t="n">
        <x:v>46000</x:v>
      </x:c>
      <x:c r="B1100" s="898" t="n">
        <x:v>57.82</x:v>
      </x:c>
      <x:c r="C1100" s="898" t="n">
        <x:v>57.82</x:v>
      </x:c>
      <x:c r="D1100" s="898" t="n">
        <x:v>56.27</x:v>
      </x:c>
      <x:c r="E1100" s="898" t="n">
        <x:v>56.85</x:v>
      </x:c>
      <x:c r="F1100" s="901" t="n">
        <x:v>2523667</x:v>
      </x:c>
      <x:c r="G1100" s="904" t="n">
        <x:v>1772.03</x:v>
      </x:c>
      <x:c r="H1100" s="904" t="n">
        <x:v>1772.03</x:v>
      </x:c>
      <x:c r="I1100" s="904" t="n">
        <x:v>1724.66</x:v>
      </x:c>
      <x:c r="J1100" s="904" t="n">
        <x:v>1747.17</x:v>
      </x:c>
      <x:c r="K1100" s="901" t="n">
        <x:v>973849509</x:v>
      </x:c>
      <x:c r="L1100" s="907" t="str">
        <x:v>SRC-P404</x:v>
      </x:c>
      <x:c r="M1100" s="907" t="str">
        <x:v>VNStock API actual</x:v>
      </x:c>
      <x:c r="N1100" s="1032" t="n">
        <x:v>46229.241747685184</x:v>
      </x:c>
    </x:row>
    <x:row r="1101">
      <x:c r="A1101" s="895" t="n">
        <x:v>46001</x:v>
      </x:c>
      <x:c r="B1101" s="898" t="n">
        <x:v>57.04</x:v>
      </x:c>
      <x:c r="C1101" s="898" t="n">
        <x:v>57.24</x:v>
      </x:c>
      <x:c r="D1101" s="898" t="n">
        <x:v>56.17</x:v>
      </x:c>
      <x:c r="E1101" s="898" t="n">
        <x:v>56.36</x:v>
      </x:c>
      <x:c r="F1101" s="901" t="n">
        <x:v>1257102</x:v>
      </x:c>
      <x:c r="G1101" s="904" t="n">
        <x:v>1748.82</x:v>
      </x:c>
      <x:c r="H1101" s="904" t="n">
        <x:v>1748.82</x:v>
      </x:c>
      <x:c r="I1101" s="904" t="n">
        <x:v>1713.64</x:v>
      </x:c>
      <x:c r="J1101" s="904" t="n">
        <x:v>1718.98</x:v>
      </x:c>
      <x:c r="K1101" s="901" t="n">
        <x:v>647038643</x:v>
      </x:c>
      <x:c r="L1101" s="907" t="str">
        <x:v>SRC-P404</x:v>
      </x:c>
      <x:c r="M1101" s="907" t="str">
        <x:v>VNStock API actual</x:v>
      </x:c>
      <x:c r="N1101" s="1032" t="n">
        <x:v>46229.241747685184</x:v>
      </x:c>
    </x:row>
    <x:row r="1102">
      <x:c r="A1102" s="895" t="n">
        <x:v>46002</x:v>
      </x:c>
      <x:c r="B1102" s="898" t="n">
        <x:v>56.46</x:v>
      </x:c>
      <x:c r="C1102" s="898" t="n">
        <x:v>57.14</x:v>
      </x:c>
      <x:c r="D1102" s="898" t="n">
        <x:v>56.36</x:v>
      </x:c>
      <x:c r="E1102" s="898" t="n">
        <x:v>56.36</x:v>
      </x:c>
      <x:c r="F1102" s="901" t="n">
        <x:v>1060341</x:v>
      </x:c>
      <x:c r="G1102" s="904" t="n">
        <x:v>1710.28</x:v>
      </x:c>
      <x:c r="H1102" s="904" t="n">
        <x:v>1718.84</x:v>
      </x:c>
      <x:c r="I1102" s="904" t="n">
        <x:v>1690.82</x:v>
      </x:c>
      <x:c r="J1102" s="904" t="n">
        <x:v>1698.9</x:v>
      </x:c>
      <x:c r="K1102" s="901" t="n">
        <x:v>592555601</x:v>
      </x:c>
      <x:c r="L1102" s="907" t="str">
        <x:v>SRC-P404</x:v>
      </x:c>
      <x:c r="M1102" s="907" t="str">
        <x:v>VNStock API actual</x:v>
      </x:c>
      <x:c r="N1102" s="1032" t="n">
        <x:v>46229.241747685184</x:v>
      </x:c>
    </x:row>
    <x:row r="1103">
      <x:c r="A1103" s="895" t="n">
        <x:v>46003</x:v>
      </x:c>
      <x:c r="B1103" s="898" t="n">
        <x:v>56.46</x:v>
      </x:c>
      <x:c r="C1103" s="898" t="n">
        <x:v>56.75</x:v>
      </x:c>
      <x:c r="D1103" s="898" t="n">
        <x:v>55.78</x:v>
      </x:c>
      <x:c r="E1103" s="898" t="n">
        <x:v>55.78</x:v>
      </x:c>
      <x:c r="F1103" s="901" t="n">
        <x:v>1207063</x:v>
      </x:c>
      <x:c r="G1103" s="904" t="n">
        <x:v>1702.72</x:v>
      </x:c>
      <x:c r="H1103" s="904" t="n">
        <x:v>1702.73</x:v>
      </x:c>
      <x:c r="I1103" s="904" t="n">
        <x:v>1638.48</x:v>
      </x:c>
      <x:c r="J1103" s="904" t="n">
        <x:v>1646.89</x:v>
      </x:c>
      <x:c r="K1103" s="901" t="n">
        <x:v>919272724</x:v>
      </x:c>
      <x:c r="L1103" s="907" t="str">
        <x:v>SRC-P404</x:v>
      </x:c>
      <x:c r="M1103" s="907" t="str">
        <x:v>VNStock API actual</x:v>
      </x:c>
      <x:c r="N1103" s="1032" t="n">
        <x:v>46229.241747685184</x:v>
      </x:c>
    </x:row>
    <x:row r="1104">
      <x:c r="A1104" s="895" t="n">
        <x:v>46006</x:v>
      </x:c>
      <x:c r="B1104" s="898" t="n">
        <x:v>55.88</x:v>
      </x:c>
      <x:c r="C1104" s="898" t="n">
        <x:v>57.14</x:v>
      </x:c>
      <x:c r="D1104" s="898" t="n">
        <x:v>55.3</x:v>
      </x:c>
      <x:c r="E1104" s="898" t="n">
        <x:v>56.85</x:v>
      </x:c>
      <x:c r="F1104" s="901" t="n">
        <x:v>1516530</x:v>
      </x:c>
      <x:c r="G1104" s="904" t="n">
        <x:v>1645.87</x:v>
      </x:c>
      <x:c r="H1104" s="904" t="n">
        <x:v>1665.65</x:v>
      </x:c>
      <x:c r="I1104" s="904" t="n">
        <x:v>1636.82</x:v>
      </x:c>
      <x:c r="J1104" s="904" t="n">
        <x:v>1646.01</x:v>
      </x:c>
      <x:c r="K1104" s="901" t="n">
        <x:v>684864300</x:v>
      </x:c>
      <x:c r="L1104" s="907" t="str">
        <x:v>SRC-P404</x:v>
      </x:c>
      <x:c r="M1104" s="907" t="str">
        <x:v>VNStock API actual</x:v>
      </x:c>
      <x:c r="N1104" s="1032" t="n">
        <x:v>46229.241747685184</x:v>
      </x:c>
    </x:row>
    <x:row r="1105">
      <x:c r="A1105" s="895" t="n">
        <x:v>46007</x:v>
      </x:c>
      <x:c r="B1105" s="898" t="n">
        <x:v>57.04</x:v>
      </x:c>
      <x:c r="C1105" s="898" t="n">
        <x:v>57.53</x:v>
      </x:c>
      <x:c r="D1105" s="898" t="n">
        <x:v>55.68</x:v>
      </x:c>
      <x:c r="E1105" s="898" t="n">
        <x:v>57.24</x:v>
      </x:c>
      <x:c r="F1105" s="901" t="n">
        <x:v>654364</x:v>
      </x:c>
      <x:c r="G1105" s="904" t="n">
        <x:v>1647.42</x:v>
      </x:c>
      <x:c r="H1105" s="904" t="n">
        <x:v>1689.07</x:v>
      </x:c>
      <x:c r="I1105" s="904" t="n">
        <x:v>1629.37</x:v>
      </x:c>
      <x:c r="J1105" s="904" t="n">
        <x:v>1679.18</x:v>
      </x:c>
      <x:c r="K1105" s="901" t="n">
        <x:v>832044428</x:v>
      </x:c>
      <x:c r="L1105" s="907" t="str">
        <x:v>SRC-P404</x:v>
      </x:c>
      <x:c r="M1105" s="907" t="str">
        <x:v>VNStock API actual</x:v>
      </x:c>
      <x:c r="N1105" s="1032" t="n">
        <x:v>46229.241747685184</x:v>
      </x:c>
    </x:row>
    <x:row r="1106">
      <x:c r="A1106" s="895" t="n">
        <x:v>46008</x:v>
      </x:c>
      <x:c r="B1106" s="898" t="n">
        <x:v>57.04</x:v>
      </x:c>
      <x:c r="C1106" s="898" t="n">
        <x:v>57.43</x:v>
      </x:c>
      <x:c r="D1106" s="898" t="n">
        <x:v>56.56</x:v>
      </x:c>
      <x:c r="E1106" s="898" t="n">
        <x:v>57.04</x:v>
      </x:c>
      <x:c r="F1106" s="901" t="n">
        <x:v>393201</x:v>
      </x:c>
      <x:c r="G1106" s="904" t="n">
        <x:v>1680.18</x:v>
      </x:c>
      <x:c r="H1106" s="904" t="n">
        <x:v>1683.95</x:v>
      </x:c>
      <x:c r="I1106" s="904" t="n">
        <x:v>1668.19</x:v>
      </x:c>
      <x:c r="J1106" s="904" t="n">
        <x:v>1673.66</x:v>
      </x:c>
      <x:c r="K1106" s="901" t="n">
        <x:v>612255424</x:v>
      </x:c>
      <x:c r="L1106" s="907" t="str">
        <x:v>SRC-P404</x:v>
      </x:c>
      <x:c r="M1106" s="907" t="str">
        <x:v>VNStock API actual</x:v>
      </x:c>
      <x:c r="N1106" s="1032" t="n">
        <x:v>46229.241747685184</x:v>
      </x:c>
    </x:row>
    <x:row r="1107">
      <x:c r="A1107" s="895" t="n">
        <x:v>46009</x:v>
      </x:c>
      <x:c r="B1107" s="898" t="n">
        <x:v>56.85</x:v>
      </x:c>
      <x:c r="C1107" s="898" t="n">
        <x:v>57.04</x:v>
      </x:c>
      <x:c r="D1107" s="898" t="n">
        <x:v>56.56</x:v>
      </x:c>
      <x:c r="E1107" s="898" t="n">
        <x:v>56.75</x:v>
      </x:c>
      <x:c r="F1107" s="901" t="n">
        <x:v>210419</x:v>
      </x:c>
      <x:c r="G1107" s="904" t="n">
        <x:v>1675.54</x:v>
      </x:c>
      <x:c r="H1107" s="904" t="n">
        <x:v>1676.98</x:v>
      </x:c>
      <x:c r="I1107" s="904" t="n">
        <x:v>1665.21</x:v>
      </x:c>
      <x:c r="J1107" s="904" t="n">
        <x:v>1676.98</x:v>
      </x:c>
      <x:c r="K1107" s="901" t="n">
        <x:v>677428400</x:v>
      </x:c>
      <x:c r="L1107" s="907" t="str">
        <x:v>SRC-P404</x:v>
      </x:c>
      <x:c r="M1107" s="907" t="str">
        <x:v>VNStock API actual</x:v>
      </x:c>
      <x:c r="N1107" s="1032" t="n">
        <x:v>46229.241747685184</x:v>
      </x:c>
    </x:row>
    <x:row r="1108">
      <x:c r="A1108" s="895" t="n">
        <x:v>46010</x:v>
      </x:c>
      <x:c r="B1108" s="898" t="n">
        <x:v>56.75</x:v>
      </x:c>
      <x:c r="C1108" s="898" t="n">
        <x:v>57.82</x:v>
      </x:c>
      <x:c r="D1108" s="898" t="n">
        <x:v>56.36</x:v>
      </x:c>
      <x:c r="E1108" s="898" t="n">
        <x:v>57.82</x:v>
      </x:c>
      <x:c r="F1108" s="901" t="n">
        <x:v>722306</x:v>
      </x:c>
      <x:c r="G1108" s="904" t="n">
        <x:v>1678.72</x:v>
      </x:c>
      <x:c r="H1108" s="904" t="n">
        <x:v>1705.76</x:v>
      </x:c>
      <x:c r="I1108" s="904" t="n">
        <x:v>1677.67</x:v>
      </x:c>
      <x:c r="J1108" s="904" t="n">
        <x:v>1704.31</x:v>
      </x:c>
      <x:c r="K1108" s="901" t="n">
        <x:v>776738534</x:v>
      </x:c>
      <x:c r="L1108" s="907" t="str">
        <x:v>SRC-P404</x:v>
      </x:c>
      <x:c r="M1108" s="907" t="str">
        <x:v>VNStock API actual</x:v>
      </x:c>
      <x:c r="N1108" s="1032" t="n">
        <x:v>46229.241747685184</x:v>
      </x:c>
    </x:row>
    <x:row r="1109">
      <x:c r="A1109" s="895" t="n">
        <x:v>46013</x:v>
      </x:c>
      <x:c r="B1109" s="898" t="n">
        <x:v>57.82</x:v>
      </x:c>
      <x:c r="C1109" s="898" t="n">
        <x:v>58.41</x:v>
      </x:c>
      <x:c r="D1109" s="898" t="n">
        <x:v>57.53</x:v>
      </x:c>
      <x:c r="E1109" s="898" t="n">
        <x:v>57.82</x:v>
      </x:c>
      <x:c r="F1109" s="901" t="n">
        <x:v>600688</x:v>
      </x:c>
      <x:c r="G1109" s="904" t="n">
        <x:v>1717.42</x:v>
      </x:c>
      <x:c r="H1109" s="904" t="n">
        <x:v>1751.03</x:v>
      </x:c>
      <x:c r="I1109" s="904" t="n">
        <x:v>1712.48</x:v>
      </x:c>
      <x:c r="J1109" s="904" t="n">
        <x:v>1751.03</x:v>
      </x:c>
      <x:c r="K1109" s="901" t="n">
        <x:v>980004438</x:v>
      </x:c>
      <x:c r="L1109" s="907" t="str">
        <x:v>SRC-P404</x:v>
      </x:c>
      <x:c r="M1109" s="907" t="str">
        <x:v>VNStock API actual</x:v>
      </x:c>
      <x:c r="N1109" s="1032" t="n">
        <x:v>46229.241747685184</x:v>
      </x:c>
    </x:row>
    <x:row r="1110">
      <x:c r="A1110" s="895" t="n">
        <x:v>46014</x:v>
      </x:c>
      <x:c r="B1110" s="898" t="n">
        <x:v>58.79</x:v>
      </x:c>
      <x:c r="C1110" s="898" t="n">
        <x:v>58.79</x:v>
      </x:c>
      <x:c r="D1110" s="898" t="n">
        <x:v>57.82</x:v>
      </x:c>
      <x:c r="E1110" s="898" t="n">
        <x:v>57.82</x:v>
      </x:c>
      <x:c r="F1110" s="901" t="n">
        <x:v>808492</x:v>
      </x:c>
      <x:c r="G1110" s="904" t="n">
        <x:v>1765</x:v>
      </x:c>
      <x:c r="H1110" s="904" t="n">
        <x:v>1778.18</x:v>
      </x:c>
      <x:c r="I1110" s="904" t="n">
        <x:v>1763.52</x:v>
      </x:c>
      <x:c r="J1110" s="904" t="n">
        <x:v>1772.15</x:v>
      </x:c>
      <x:c r="K1110" s="901" t="n">
        <x:v>859542980</x:v>
      </x:c>
      <x:c r="L1110" s="907" t="str">
        <x:v>SRC-P404</x:v>
      </x:c>
      <x:c r="M1110" s="907" t="str">
        <x:v>VNStock API actual</x:v>
      </x:c>
      <x:c r="N1110" s="1032" t="n">
        <x:v>46229.241747685184</x:v>
      </x:c>
    </x:row>
    <x:row r="1111">
      <x:c r="A1111" s="895" t="n">
        <x:v>46015</x:v>
      </x:c>
      <x:c r="B1111" s="898" t="n">
        <x:v>57.43</x:v>
      </x:c>
      <x:c r="C1111" s="898" t="n">
        <x:v>58.41</x:v>
      </x:c>
      <x:c r="D1111" s="898" t="n">
        <x:v>57.24</x:v>
      </x:c>
      <x:c r="E1111" s="898" t="n">
        <x:v>58.31</x:v>
      </x:c>
      <x:c r="F1111" s="901" t="n">
        <x:v>1052787</x:v>
      </x:c>
      <x:c r="G1111" s="904" t="n">
        <x:v>1782.71</x:v>
      </x:c>
      <x:c r="H1111" s="904" t="n">
        <x:v>1784.98</x:v>
      </x:c>
      <x:c r="I1111" s="904" t="n">
        <x:v>1753.65</x:v>
      </x:c>
      <x:c r="J1111" s="904" t="n">
        <x:v>1782.82</x:v>
      </x:c>
      <x:c r="K1111" s="901" t="n">
        <x:v>808080310</x:v>
      </x:c>
      <x:c r="L1111" s="907" t="str">
        <x:v>SRC-P404</x:v>
      </x:c>
      <x:c r="M1111" s="907" t="str">
        <x:v>VNStock API actual</x:v>
      </x:c>
      <x:c r="N1111" s="1032" t="n">
        <x:v>46229.241747685184</x:v>
      </x:c>
    </x:row>
    <x:row r="1112">
      <x:c r="A1112" s="895" t="n">
        <x:v>46016</x:v>
      </x:c>
      <x:c r="B1112" s="898" t="n">
        <x:v>58.41</x:v>
      </x:c>
      <x:c r="C1112" s="898" t="n">
        <x:v>58.89</x:v>
      </x:c>
      <x:c r="D1112" s="898" t="n">
        <x:v>57.72</x:v>
      </x:c>
      <x:c r="E1112" s="898" t="n">
        <x:v>58.79</x:v>
      </x:c>
      <x:c r="F1112" s="901" t="n">
        <x:v>740766</x:v>
      </x:c>
      <x:c r="G1112" s="904" t="n">
        <x:v>1779.19</x:v>
      </x:c>
      <x:c r="H1112" s="904" t="n">
        <x:v>1805.93</x:v>
      </x:c>
      <x:c r="I1112" s="904" t="n">
        <x:v>1742.85</x:v>
      </x:c>
      <x:c r="J1112" s="904" t="n">
        <x:v>1742.85</x:v>
      </x:c>
      <x:c r="K1112" s="901" t="n">
        <x:v>830259375</x:v>
      </x:c>
      <x:c r="L1112" s="907" t="str">
        <x:v>SRC-P404</x:v>
      </x:c>
      <x:c r="M1112" s="907" t="str">
        <x:v>VNStock API actual</x:v>
      </x:c>
      <x:c r="N1112" s="1032" t="n">
        <x:v>46229.241747685184</x:v>
      </x:c>
    </x:row>
    <x:row r="1113">
      <x:c r="A1113" s="895" t="n">
        <x:v>46017</x:v>
      </x:c>
      <x:c r="B1113" s="898" t="n">
        <x:v>58.31</x:v>
      </x:c>
      <x:c r="C1113" s="898" t="n">
        <x:v>58.5</x:v>
      </x:c>
      <x:c r="D1113" s="898" t="n">
        <x:v>56.85</x:v>
      </x:c>
      <x:c r="E1113" s="898" t="n">
        <x:v>57.82</x:v>
      </x:c>
      <x:c r="F1113" s="901" t="n">
        <x:v>820686</x:v>
      </x:c>
      <x:c r="G1113" s="904" t="n">
        <x:v>1706.39</x:v>
      </x:c>
      <x:c r="H1113" s="904" t="n">
        <x:v>1730.99</x:v>
      </x:c>
      <x:c r="I1113" s="904" t="n">
        <x:v>1687.14</x:v>
      </x:c>
      <x:c r="J1113" s="904" t="n">
        <x:v>1729.8</x:v>
      </x:c>
      <x:c r="K1113" s="901" t="n">
        <x:v>1081379964</x:v>
      </x:c>
      <x:c r="L1113" s="907" t="str">
        <x:v>SRC-P404</x:v>
      </x:c>
      <x:c r="M1113" s="907" t="str">
        <x:v>VNStock API actual</x:v>
      </x:c>
      <x:c r="N1113" s="1032" t="n">
        <x:v>46229.241747685184</x:v>
      </x:c>
    </x:row>
    <x:row r="1114">
      <x:c r="A1114" s="895" t="n">
        <x:v>46020</x:v>
      </x:c>
      <x:c r="B1114" s="898" t="n">
        <x:v>57.72</x:v>
      </x:c>
      <x:c r="C1114" s="898" t="n">
        <x:v>59.57</x:v>
      </x:c>
      <x:c r="D1114" s="898" t="n">
        <x:v>57.72</x:v>
      </x:c>
      <x:c r="E1114" s="898" t="n">
        <x:v>59.57</x:v>
      </x:c>
      <x:c r="F1114" s="901" t="n">
        <x:v>1399845</x:v>
      </x:c>
      <x:c r="G1114" s="904" t="n">
        <x:v>1733.39</x:v>
      </x:c>
      <x:c r="H1114" s="904" t="n">
        <x:v>1754.84</x:v>
      </x:c>
      <x:c r="I1114" s="904" t="n">
        <x:v>1731.63</x:v>
      </x:c>
      <x:c r="J1114" s="904" t="n">
        <x:v>1754.84</x:v>
      </x:c>
      <x:c r="K1114" s="901" t="n">
        <x:v>681132121</x:v>
      </x:c>
      <x:c r="L1114" s="907" t="str">
        <x:v>SRC-P404</x:v>
      </x:c>
      <x:c r="M1114" s="907" t="str">
        <x:v>VNStock API actual</x:v>
      </x:c>
      <x:c r="N1114" s="1032" t="n">
        <x:v>46229.241747685184</x:v>
      </x:c>
    </x:row>
    <x:row r="1115">
      <x:c r="A1115" s="895" t="n">
        <x:v>46021</x:v>
      </x:c>
      <x:c r="B1115" s="898" t="n">
        <x:v>59.28</x:v>
      </x:c>
      <x:c r="C1115" s="898" t="n">
        <x:v>60.25</x:v>
      </x:c>
      <x:c r="D1115" s="898" t="n">
        <x:v>59.28</x:v>
      </x:c>
      <x:c r="E1115" s="898" t="n">
        <x:v>60.06</x:v>
      </x:c>
      <x:c r="F1115" s="901" t="n">
        <x:v>1096143</x:v>
      </x:c>
      <x:c r="G1115" s="904" t="n">
        <x:v>1758.45</x:v>
      </x:c>
      <x:c r="H1115" s="904" t="n">
        <x:v>1766.9</x:v>
      </x:c>
      <x:c r="I1115" s="904" t="n">
        <x:v>1740.07</x:v>
      </x:c>
      <x:c r="J1115" s="904" t="n">
        <x:v>1766.9</x:v>
      </x:c>
      <x:c r="K1115" s="901" t="n">
        <x:v>639630103</x:v>
      </x:c>
      <x:c r="L1115" s="907" t="str">
        <x:v>SRC-P404</x:v>
      </x:c>
      <x:c r="M1115" s="907" t="str">
        <x:v>VNStock API actual</x:v>
      </x:c>
      <x:c r="N1115" s="1032" t="n">
        <x:v>46229.241747685184</x:v>
      </x:c>
    </x:row>
    <x:row r="1116">
      <x:c r="A1116" s="895" t="n">
        <x:v>46022</x:v>
      </x:c>
      <x:c r="B1116" s="898" t="n">
        <x:v>60.25</x:v>
      </x:c>
      <x:c r="C1116" s="898" t="n">
        <x:v>60.25</x:v>
      </x:c>
      <x:c r="D1116" s="898" t="n">
        <x:v>59.28</x:v>
      </x:c>
      <x:c r="E1116" s="898" t="n">
        <x:v>59.28</x:v>
      </x:c>
      <x:c r="F1116" s="901" t="n">
        <x:v>319352</x:v>
      </x:c>
      <x:c r="G1116" s="904" t="n">
        <x:v>1760.81</x:v>
      </x:c>
      <x:c r="H1116" s="904" t="n">
        <x:v>1787.75</x:v>
      </x:c>
      <x:c r="I1116" s="904" t="n">
        <x:v>1760.14</x:v>
      </x:c>
      <x:c r="J1116" s="904" t="n">
        <x:v>1784.49</x:v>
      </x:c>
      <x:c r="K1116" s="901" t="n">
        <x:v>704538818</x:v>
      </x:c>
      <x:c r="L1116" s="907" t="str">
        <x:v>SRC-P404</x:v>
      </x:c>
      <x:c r="M1116" s="907" t="str">
        <x:v>VNStock API actual</x:v>
      </x:c>
      <x:c r="N1116" s="1032" t="n">
        <x:v>46229.241747685184</x:v>
      </x:c>
    </x:row>
    <x:row r="1117">
      <x:c r="A1117" s="895" t="n">
        <x:v>46027</x:v>
      </x:c>
      <x:c r="B1117" s="898" t="n">
        <x:v>59.28</x:v>
      </x:c>
      <x:c r="C1117" s="898" t="n">
        <x:v>59.47</x:v>
      </x:c>
      <x:c r="D1117" s="898" t="n">
        <x:v>58.6</x:v>
      </x:c>
      <x:c r="E1117" s="898" t="n">
        <x:v>58.89</x:v>
      </x:c>
      <x:c r="F1117" s="901" t="n">
        <x:v>637627</x:v>
      </x:c>
      <x:c r="G1117" s="904" t="n">
        <x:v>1787.13</x:v>
      </x:c>
      <x:c r="H1117" s="904" t="n">
        <x:v>1797.4</x:v>
      </x:c>
      <x:c r="I1117" s="904" t="n">
        <x:v>1775.19</x:v>
      </x:c>
      <x:c r="J1117" s="904" t="n">
        <x:v>1788.4</x:v>
      </x:c>
      <x:c r="K1117" s="901" t="n">
        <x:v>870442791</x:v>
      </x:c>
      <x:c r="L1117" s="907" t="str">
        <x:v>SRC-P404</x:v>
      </x:c>
      <x:c r="M1117" s="907" t="str">
        <x:v>VNStock API actual</x:v>
      </x:c>
      <x:c r="N1117" s="1032" t="n">
        <x:v>46229.241747685184</x:v>
      </x:c>
    </x:row>
    <x:row r="1118">
      <x:c r="A1118" s="895" t="n">
        <x:v>46028</x:v>
      </x:c>
      <x:c r="B1118" s="898" t="n">
        <x:v>58.89</x:v>
      </x:c>
      <x:c r="C1118" s="898" t="n">
        <x:v>59.47</x:v>
      </x:c>
      <x:c r="D1118" s="898" t="n">
        <x:v>58.6</x:v>
      </x:c>
      <x:c r="E1118" s="898" t="n">
        <x:v>58.7</x:v>
      </x:c>
      <x:c r="F1118" s="901" t="n">
        <x:v>712535</x:v>
      </x:c>
      <x:c r="G1118" s="904" t="n">
        <x:v>1795.57</x:v>
      </x:c>
      <x:c r="H1118" s="904" t="n">
        <x:v>1817.06</x:v>
      </x:c>
      <x:c r="I1118" s="904" t="n">
        <x:v>1790.44</x:v>
      </x:c>
      <x:c r="J1118" s="904" t="n">
        <x:v>1816.27</x:v>
      </x:c>
      <x:c r="K1118" s="901" t="n">
        <x:v>956959249</x:v>
      </x:c>
      <x:c r="L1118" s="907" t="str">
        <x:v>SRC-P404</x:v>
      </x:c>
      <x:c r="M1118" s="907" t="str">
        <x:v>VNStock API actual</x:v>
      </x:c>
      <x:c r="N1118" s="1032" t="n">
        <x:v>46229.241747685184</x:v>
      </x:c>
    </x:row>
    <x:row r="1119">
      <x:c r="A1119" s="895" t="n">
        <x:v>46029</x:v>
      </x:c>
      <x:c r="B1119" s="898" t="n">
        <x:v>58.6</x:v>
      </x:c>
      <x:c r="C1119" s="898" t="n">
        <x:v>61.32</x:v>
      </x:c>
      <x:c r="D1119" s="898" t="n">
        <x:v>58.5</x:v>
      </x:c>
      <x:c r="E1119" s="898" t="n">
        <x:v>60.93</x:v>
      </x:c>
      <x:c r="F1119" s="901" t="n">
        <x:v>2596499</x:v>
      </x:c>
      <x:c r="G1119" s="904" t="n">
        <x:v>1832.23</x:v>
      </x:c>
      <x:c r="H1119" s="904" t="n">
        <x:v>1861.58</x:v>
      </x:c>
      <x:c r="I1119" s="904" t="n">
        <x:v>1819.17</x:v>
      </x:c>
      <x:c r="J1119" s="904" t="n">
        <x:v>1861.58</x:v>
      </x:c>
      <x:c r="K1119" s="901" t="n">
        <x:v>1014370947</x:v>
      </x:c>
      <x:c r="L1119" s="907" t="str">
        <x:v>SRC-P404</x:v>
      </x:c>
      <x:c r="M1119" s="907" t="str">
        <x:v>VNStock API actual</x:v>
      </x:c>
      <x:c r="N1119" s="1032" t="n">
        <x:v>46229.241747685184</x:v>
      </x:c>
    </x:row>
    <x:row r="1120">
      <x:c r="A1120" s="895" t="n">
        <x:v>46030</x:v>
      </x:c>
      <x:c r="B1120" s="898" t="n">
        <x:v>60.93</x:v>
      </x:c>
      <x:c r="C1120" s="898" t="n">
        <x:v>61.51</x:v>
      </x:c>
      <x:c r="D1120" s="898" t="n">
        <x:v>60.15</x:v>
      </x:c>
      <x:c r="E1120" s="898" t="n">
        <x:v>61.22</x:v>
      </x:c>
      <x:c r="F1120" s="901" t="n">
        <x:v>1996703</x:v>
      </x:c>
      <x:c r="G1120" s="904" t="n">
        <x:v>1880.81</x:v>
      </x:c>
      <x:c r="H1120" s="904" t="n">
        <x:v>1888.33</x:v>
      </x:c>
      <x:c r="I1120" s="904" t="n">
        <x:v>1850.11</x:v>
      </x:c>
      <x:c r="J1120" s="904" t="n">
        <x:v>1855.56</x:v>
      </x:c>
      <x:c r="K1120" s="901" t="n">
        <x:v>1262265120</x:v>
      </x:c>
      <x:c r="L1120" s="907" t="str">
        <x:v>SRC-P404</x:v>
      </x:c>
      <x:c r="M1120" s="907" t="str">
        <x:v>VNStock API actual</x:v>
      </x:c>
      <x:c r="N1120" s="1032" t="n">
        <x:v>46229.241747685184</x:v>
      </x:c>
    </x:row>
    <x:row r="1121">
      <x:c r="A1121" s="895" t="n">
        <x:v>46031</x:v>
      </x:c>
      <x:c r="B1121" s="898" t="n">
        <x:v>61.22</x:v>
      </x:c>
      <x:c r="C1121" s="898" t="n">
        <x:v>61.42</x:v>
      </x:c>
      <x:c r="D1121" s="898" t="n">
        <x:v>60.25</x:v>
      </x:c>
      <x:c r="E1121" s="898" t="n">
        <x:v>60.25</x:v>
      </x:c>
      <x:c r="F1121" s="901" t="n">
        <x:v>822079</x:v>
      </x:c>
      <x:c r="G1121" s="904" t="n">
        <x:v>1861.02</x:v>
      </x:c>
      <x:c r="H1121" s="904" t="n">
        <x:v>1880.16</x:v>
      </x:c>
      <x:c r="I1121" s="904" t="n">
        <x:v>1853.16</x:v>
      </x:c>
      <x:c r="J1121" s="904" t="n">
        <x:v>1867.9</x:v>
      </x:c>
      <x:c r="K1121" s="901" t="n">
        <x:v>1300275020</x:v>
      </x:c>
      <x:c r="L1121" s="907" t="str">
        <x:v>SRC-P404</x:v>
      </x:c>
      <x:c r="M1121" s="907" t="str">
        <x:v>VNStock API actual</x:v>
      </x:c>
      <x:c r="N1121" s="1032" t="n">
        <x:v>46229.241747685184</x:v>
      </x:c>
    </x:row>
    <x:row r="1122">
      <x:c r="A1122" s="895" t="n">
        <x:v>46034</x:v>
      </x:c>
      <x:c r="B1122" s="898" t="n">
        <x:v>60.64</x:v>
      </x:c>
      <x:c r="C1122" s="898" t="n">
        <x:v>61.81</x:v>
      </x:c>
      <x:c r="D1122" s="898" t="n">
        <x:v>60.64</x:v>
      </x:c>
      <x:c r="E1122" s="898" t="n">
        <x:v>61.22</x:v>
      </x:c>
      <x:c r="F1122" s="901" t="n">
        <x:v>1242242</x:v>
      </x:c>
      <x:c r="G1122" s="904" t="n">
        <x:v>1880.38</x:v>
      </x:c>
      <x:c r="H1122" s="904" t="n">
        <x:v>1887.92</x:v>
      </x:c>
      <x:c r="I1122" s="904" t="n">
        <x:v>1868.89</x:v>
      </x:c>
      <x:c r="J1122" s="904" t="n">
        <x:v>1877.33</x:v>
      </x:c>
      <x:c r="K1122" s="901" t="n">
        <x:v>1380092734</x:v>
      </x:c>
      <x:c r="L1122" s="907" t="str">
        <x:v>SRC-P404</x:v>
      </x:c>
      <x:c r="M1122" s="907" t="str">
        <x:v>VNStock API actual</x:v>
      </x:c>
      <x:c r="N1122" s="1032" t="n">
        <x:v>46229.241747685184</x:v>
      </x:c>
    </x:row>
    <x:row r="1123">
      <x:c r="A1123" s="895" t="n">
        <x:v>46035</x:v>
      </x:c>
      <x:c r="B1123" s="898" t="n">
        <x:v>61.03</x:v>
      </x:c>
      <x:c r="C1123" s="898" t="n">
        <x:v>62.2</x:v>
      </x:c>
      <x:c r="D1123" s="898" t="n">
        <x:v>60.83</x:v>
      </x:c>
      <x:c r="E1123" s="898" t="n">
        <x:v>61.13</x:v>
      </x:c>
      <x:c r="F1123" s="901" t="n">
        <x:v>1022466</x:v>
      </x:c>
      <x:c r="G1123" s="904" t="n">
        <x:v>1873.93</x:v>
      </x:c>
      <x:c r="H1123" s="904" t="n">
        <x:v>1910.69</x:v>
      </x:c>
      <x:c r="I1123" s="904" t="n">
        <x:v>1871.79</x:v>
      </x:c>
      <x:c r="J1123" s="904" t="n">
        <x:v>1902.93</x:v>
      </x:c>
      <x:c r="K1123" s="901" t="n">
        <x:v>1343676537</x:v>
      </x:c>
      <x:c r="L1123" s="907" t="str">
        <x:v>SRC-P404</x:v>
      </x:c>
      <x:c r="M1123" s="907" t="str">
        <x:v>VNStock API actual</x:v>
      </x:c>
      <x:c r="N1123" s="1032" t="n">
        <x:v>46229.241747685184</x:v>
      </x:c>
    </x:row>
    <x:row r="1124">
      <x:c r="A1124" s="895" t="n">
        <x:v>46036</x:v>
      </x:c>
      <x:c r="B1124" s="898" t="n">
        <x:v>61.42</x:v>
      </x:c>
      <x:c r="C1124" s="898" t="n">
        <x:v>62</x:v>
      </x:c>
      <x:c r="D1124" s="898" t="n">
        <x:v>60.83</x:v>
      </x:c>
      <x:c r="E1124" s="898" t="n">
        <x:v>61.22</x:v>
      </x:c>
      <x:c r="F1124" s="901" t="n">
        <x:v>1539398</x:v>
      </x:c>
      <x:c r="G1124" s="904" t="n">
        <x:v>1910.32</x:v>
      </x:c>
      <x:c r="H1124" s="904" t="n">
        <x:v>1918.46</x:v>
      </x:c>
      <x:c r="I1124" s="904" t="n">
        <x:v>1870.87</x:v>
      </x:c>
      <x:c r="J1124" s="904" t="n">
        <x:v>1894.44</x:v>
      </x:c>
      <x:c r="K1124" s="901" t="n">
        <x:v>1423913258</x:v>
      </x:c>
      <x:c r="L1124" s="907" t="str">
        <x:v>SRC-P404</x:v>
      </x:c>
      <x:c r="M1124" s="907" t="str">
        <x:v>VNStock API actual</x:v>
      </x:c>
      <x:c r="N1124" s="1032" t="n">
        <x:v>46229.241747685184</x:v>
      </x:c>
    </x:row>
    <x:row r="1125">
      <x:c r="A1125" s="895" t="n">
        <x:v>46037</x:v>
      </x:c>
      <x:c r="B1125" s="898" t="n">
        <x:v>61.42</x:v>
      </x:c>
      <x:c r="C1125" s="898" t="n">
        <x:v>62.1</x:v>
      </x:c>
      <x:c r="D1125" s="898" t="n">
        <x:v>61.22</x:v>
      </x:c>
      <x:c r="E1125" s="898" t="n">
        <x:v>61.71</x:v>
      </x:c>
      <x:c r="F1125" s="901" t="n">
        <x:v>934694</x:v>
      </x:c>
      <x:c r="G1125" s="904" t="n">
        <x:v>1883.7</x:v>
      </x:c>
      <x:c r="H1125" s="904" t="n">
        <x:v>1884.19</x:v>
      </x:c>
      <x:c r="I1125" s="904" t="n">
        <x:v>1845.95</x:v>
      </x:c>
      <x:c r="J1125" s="904" t="n">
        <x:v>1864.8</x:v>
      </x:c>
      <x:c r="K1125" s="901" t="n">
        <x:v>1237786766</x:v>
      </x:c>
      <x:c r="L1125" s="907" t="str">
        <x:v>SRC-P404</x:v>
      </x:c>
      <x:c r="M1125" s="907" t="str">
        <x:v>VNStock API actual</x:v>
      </x:c>
      <x:c r="N1125" s="1032" t="n">
        <x:v>46229.241747685184</x:v>
      </x:c>
    </x:row>
    <x:row r="1126">
      <x:c r="A1126" s="895" t="n">
        <x:v>46038</x:v>
      </x:c>
      <x:c r="B1126" s="898" t="n">
        <x:v>61.71</x:v>
      </x:c>
      <x:c r="C1126" s="898" t="n">
        <x:v>64.14</x:v>
      </x:c>
      <x:c r="D1126" s="898" t="n">
        <x:v>61.32</x:v>
      </x:c>
      <x:c r="E1126" s="898" t="n">
        <x:v>62.1</x:v>
      </x:c>
      <x:c r="F1126" s="901" t="n">
        <x:v>1896045</x:v>
      </x:c>
      <x:c r="G1126" s="904" t="n">
        <x:v>1875.14</x:v>
      </x:c>
      <x:c r="H1126" s="904" t="n">
        <x:v>1901.22</x:v>
      </x:c>
      <x:c r="I1126" s="904" t="n">
        <x:v>1874.6</x:v>
      </x:c>
      <x:c r="J1126" s="904" t="n">
        <x:v>1879.13</x:v>
      </x:c>
      <x:c r="K1126" s="901" t="n">
        <x:v>1021323506</x:v>
      </x:c>
      <x:c r="L1126" s="907" t="str">
        <x:v>SRC-P404</x:v>
      </x:c>
      <x:c r="M1126" s="907" t="str">
        <x:v>VNStock API actual</x:v>
      </x:c>
      <x:c r="N1126" s="1032" t="n">
        <x:v>46229.241747685184</x:v>
      </x:c>
    </x:row>
    <x:row r="1127">
      <x:c r="A1127" s="895" t="n">
        <x:v>46041</x:v>
      </x:c>
      <x:c r="B1127" s="898" t="n">
        <x:v>62.58</x:v>
      </x:c>
      <x:c r="C1127" s="898" t="n">
        <x:v>62.58</x:v>
      </x:c>
      <x:c r="D1127" s="898" t="n">
        <x:v>61.81</x:v>
      </x:c>
      <x:c r="E1127" s="898" t="n">
        <x:v>62</x:v>
      </x:c>
      <x:c r="F1127" s="901" t="n">
        <x:v>967886</x:v>
      </x:c>
      <x:c r="G1127" s="904" t="n">
        <x:v>1894.67</x:v>
      </x:c>
      <x:c r="H1127" s="904" t="n">
        <x:v>1898.24</x:v>
      </x:c>
      <x:c r="I1127" s="904" t="n">
        <x:v>1874.69</x:v>
      </x:c>
      <x:c r="J1127" s="904" t="n">
        <x:v>1896.59</x:v>
      </x:c>
      <x:c r="K1127" s="901" t="n">
        <x:v>1163188480</x:v>
      </x:c>
      <x:c r="L1127" s="907" t="str">
        <x:v>SRC-P404</x:v>
      </x:c>
      <x:c r="M1127" s="907" t="str">
        <x:v>VNStock API actual</x:v>
      </x:c>
      <x:c r="N1127" s="1032" t="n">
        <x:v>46229.241747685184</x:v>
      </x:c>
    </x:row>
    <x:row r="1128">
      <x:c r="A1128" s="895" t="n">
        <x:v>46042</x:v>
      </x:c>
      <x:c r="B1128" s="898" t="n">
        <x:v>62.2</x:v>
      </x:c>
      <x:c r="C1128" s="898" t="n">
        <x:v>66.28</x:v>
      </x:c>
      <x:c r="D1128" s="898" t="n">
        <x:v>61.9</x:v>
      </x:c>
      <x:c r="E1128" s="898" t="n">
        <x:v>66.28</x:v>
      </x:c>
      <x:c r="F1128" s="901" t="n">
        <x:v>4476081</x:v>
      </x:c>
      <x:c r="G1128" s="904" t="n">
        <x:v>1904.58</x:v>
      </x:c>
      <x:c r="H1128" s="904" t="n">
        <x:v>1915.11</x:v>
      </x:c>
      <x:c r="I1128" s="904" t="n">
        <x:v>1884.6</x:v>
      </x:c>
      <x:c r="J1128" s="904" t="n">
        <x:v>1893.78</x:v>
      </x:c>
      <x:c r="K1128" s="901" t="n">
        <x:v>1078094824</x:v>
      </x:c>
      <x:c r="L1128" s="907" t="str">
        <x:v>SRC-P404</x:v>
      </x:c>
      <x:c r="M1128" s="907" t="str">
        <x:v>VNStock API actual</x:v>
      </x:c>
      <x:c r="N1128" s="1032" t="n">
        <x:v>46229.241747685184</x:v>
      </x:c>
    </x:row>
    <x:row r="1129">
      <x:c r="A1129" s="895" t="n">
        <x:v>46043</x:v>
      </x:c>
      <x:c r="B1129" s="898" t="n">
        <x:v>66.57</x:v>
      </x:c>
      <x:c r="C1129" s="898" t="n">
        <x:v>69.19</x:v>
      </x:c>
      <x:c r="D1129" s="898" t="n">
        <x:v>66.57</x:v>
      </x:c>
      <x:c r="E1129" s="898" t="n">
        <x:v>68.51</x:v>
      </x:c>
      <x:c r="F1129" s="901" t="n">
        <x:v>5348406</x:v>
      </x:c>
      <x:c r="G1129" s="904" t="n">
        <x:v>1876.96</x:v>
      </x:c>
      <x:c r="H1129" s="904" t="n">
        <x:v>1894.22</x:v>
      </x:c>
      <x:c r="I1129" s="904" t="n">
        <x:v>1859.25</x:v>
      </x:c>
      <x:c r="J1129" s="904" t="n">
        <x:v>1885.44</x:v>
      </x:c>
      <x:c r="K1129" s="901" t="n">
        <x:v>1204631813</x:v>
      </x:c>
      <x:c r="L1129" s="907" t="str">
        <x:v>SRC-P404</x:v>
      </x:c>
      <x:c r="M1129" s="907" t="str">
        <x:v>VNStock API actual</x:v>
      </x:c>
      <x:c r="N1129" s="1032" t="n">
        <x:v>46229.241747685184</x:v>
      </x:c>
    </x:row>
    <x:row r="1130">
      <x:c r="A1130" s="895" t="n">
        <x:v>46044</x:v>
      </x:c>
      <x:c r="B1130" s="898" t="n">
        <x:v>68.61</x:v>
      </x:c>
      <x:c r="C1130" s="898" t="n">
        <x:v>68.61</x:v>
      </x:c>
      <x:c r="D1130" s="898" t="n">
        <x:v>66.76</x:v>
      </x:c>
      <x:c r="E1130" s="898" t="n">
        <x:v>68.03</x:v>
      </x:c>
      <x:c r="F1130" s="901" t="n">
        <x:v>2689096</x:v>
      </x:c>
      <x:c r="G1130" s="904" t="n">
        <x:v>1895.08</x:v>
      </x:c>
      <x:c r="H1130" s="904" t="n">
        <x:v>1904.56</x:v>
      </x:c>
      <x:c r="I1130" s="904" t="n">
        <x:v>1874.81</x:v>
      </x:c>
      <x:c r="J1130" s="904" t="n">
        <x:v>1882.73</x:v>
      </x:c>
      <x:c r="K1130" s="901" t="n">
        <x:v>1058940345</x:v>
      </x:c>
      <x:c r="L1130" s="907" t="str">
        <x:v>SRC-P404</x:v>
      </x:c>
      <x:c r="M1130" s="907" t="str">
        <x:v>VNStock API actual</x:v>
      </x:c>
      <x:c r="N1130" s="1032" t="n">
        <x:v>46229.241747685184</x:v>
      </x:c>
    </x:row>
    <x:row r="1131">
      <x:c r="A1131" s="895" t="n">
        <x:v>46045</x:v>
      </x:c>
      <x:c r="B1131" s="898" t="n">
        <x:v>68.12</x:v>
      </x:c>
      <x:c r="C1131" s="898" t="n">
        <x:v>68.12</x:v>
      </x:c>
      <x:c r="D1131" s="898" t="n">
        <x:v>64.72</x:v>
      </x:c>
      <x:c r="E1131" s="898" t="n">
        <x:v>66.57</x:v>
      </x:c>
      <x:c r="F1131" s="901" t="n">
        <x:v>2549945</x:v>
      </x:c>
      <x:c r="G1131" s="904" t="n">
        <x:v>1890.39</x:v>
      </x:c>
      <x:c r="H1131" s="904" t="n">
        <x:v>1898.83</x:v>
      </x:c>
      <x:c r="I1131" s="904" t="n">
        <x:v>1866.87</x:v>
      </x:c>
      <x:c r="J1131" s="904" t="n">
        <x:v>1870.79</x:v>
      </x:c>
      <x:c r="K1131" s="901" t="n">
        <x:v>888764058</x:v>
      </x:c>
      <x:c r="L1131" s="907" t="str">
        <x:v>SRC-P404</x:v>
      </x:c>
      <x:c r="M1131" s="907" t="str">
        <x:v>VNStock API actual</x:v>
      </x:c>
      <x:c r="N1131" s="1032" t="n">
        <x:v>46229.241747685184</x:v>
      </x:c>
    </x:row>
    <x:row r="1132">
      <x:c r="A1132" s="895" t="n">
        <x:v>46048</x:v>
      </x:c>
      <x:c r="B1132" s="898" t="n">
        <x:v>65.89</x:v>
      </x:c>
      <x:c r="C1132" s="898" t="n">
        <x:v>66.28</x:v>
      </x:c>
      <x:c r="D1132" s="898" t="n">
        <x:v>62.2</x:v>
      </x:c>
      <x:c r="E1132" s="898" t="n">
        <x:v>62.2</x:v>
      </x:c>
      <x:c r="F1132" s="901" t="n">
        <x:v>3118981</x:v>
      </x:c>
      <x:c r="G1132" s="904" t="n">
        <x:v>1876.81</x:v>
      </x:c>
      <x:c r="H1132" s="904" t="n">
        <x:v>1879.45</x:v>
      </x:c>
      <x:c r="I1132" s="904" t="n">
        <x:v>1833.21</x:v>
      </x:c>
      <x:c r="J1132" s="904" t="n">
        <x:v>1843.72</x:v>
      </x:c>
      <x:c r="K1132" s="901" t="n">
        <x:v>1112553302</x:v>
      </x:c>
      <x:c r="L1132" s="907" t="str">
        <x:v>SRC-P404</x:v>
      </x:c>
      <x:c r="M1132" s="907" t="str">
        <x:v>VNStock API actual</x:v>
      </x:c>
      <x:c r="N1132" s="1032" t="n">
        <x:v>46229.241747685184</x:v>
      </x:c>
    </x:row>
    <x:row r="1133">
      <x:c r="A1133" s="895" t="n">
        <x:v>46049</x:v>
      </x:c>
      <x:c r="B1133" s="898" t="n">
        <x:v>61.51</x:v>
      </x:c>
      <x:c r="C1133" s="898" t="n">
        <x:v>63.94</x:v>
      </x:c>
      <x:c r="D1133" s="898" t="n">
        <x:v>61.51</x:v>
      </x:c>
      <x:c r="E1133" s="898" t="n">
        <x:v>63.94</x:v>
      </x:c>
      <x:c r="F1133" s="901" t="n">
        <x:v>1216089</x:v>
      </x:c>
      <x:c r="G1133" s="904" t="n">
        <x:v>1843.94</x:v>
      </x:c>
      <x:c r="H1133" s="904" t="n">
        <x:v>1845.7</x:v>
      </x:c>
      <x:c r="I1133" s="904" t="n">
        <x:v>1821.79</x:v>
      </x:c>
      <x:c r="J1133" s="904" t="n">
        <x:v>1830.5</x:v>
      </x:c>
      <x:c r="K1133" s="901" t="n">
        <x:v>788848818</x:v>
      </x:c>
      <x:c r="L1133" s="907" t="str">
        <x:v>SRC-P404</x:v>
      </x:c>
      <x:c r="M1133" s="907" t="str">
        <x:v>VNStock API actual</x:v>
      </x:c>
      <x:c r="N1133" s="1032" t="n">
        <x:v>46229.241747685184</x:v>
      </x:c>
    </x:row>
    <x:row r="1134">
      <x:c r="A1134" s="895" t="n">
        <x:v>46050</x:v>
      </x:c>
      <x:c r="B1134" s="898" t="n">
        <x:v>63.75</x:v>
      </x:c>
      <x:c r="C1134" s="898" t="n">
        <x:v>64.24</x:v>
      </x:c>
      <x:c r="D1134" s="898" t="n">
        <x:v>63.07</x:v>
      </x:c>
      <x:c r="E1134" s="898" t="n">
        <x:v>63.94</x:v>
      </x:c>
      <x:c r="F1134" s="901" t="n">
        <x:v>826451</x:v>
      </x:c>
      <x:c r="G1134" s="904" t="n">
        <x:v>1837.67</x:v>
      </x:c>
      <x:c r="H1134" s="904" t="n">
        <x:v>1842.61</x:v>
      </x:c>
      <x:c r="I1134" s="904" t="n">
        <x:v>1793.13</x:v>
      </x:c>
      <x:c r="J1134" s="904" t="n">
        <x:v>1802.91</x:v>
      </x:c>
      <x:c r="K1134" s="901" t="n">
        <x:v>1046874107</x:v>
      </x:c>
      <x:c r="L1134" s="907" t="str">
        <x:v>SRC-P404</x:v>
      </x:c>
      <x:c r="M1134" s="907" t="str">
        <x:v>VNStock API actual</x:v>
      </x:c>
      <x:c r="N1134" s="1032" t="n">
        <x:v>46229.241747685184</x:v>
      </x:c>
    </x:row>
    <x:row r="1135">
      <x:c r="A1135" s="895" t="n">
        <x:v>46051</x:v>
      </x:c>
      <x:c r="B1135" s="898" t="n">
        <x:v>63.36</x:v>
      </x:c>
      <x:c r="C1135" s="898" t="n">
        <x:v>65.99</x:v>
      </x:c>
      <x:c r="D1135" s="898" t="n">
        <x:v>63.36</x:v>
      </x:c>
      <x:c r="E1135" s="898" t="n">
        <x:v>65.99</x:v>
      </x:c>
      <x:c r="F1135" s="901" t="n">
        <x:v>996972</x:v>
      </x:c>
      <x:c r="G1135" s="904" t="n">
        <x:v>1804.15</x:v>
      </x:c>
      <x:c r="H1135" s="904" t="n">
        <x:v>1814.98</x:v>
      </x:c>
      <x:c r="I1135" s="904" t="n">
        <x:v>1797.32</x:v>
      </x:c>
      <x:c r="J1135" s="904" t="n">
        <x:v>1814.98</x:v>
      </x:c>
      <x:c r="K1135" s="901" t="n">
        <x:v>723177476</x:v>
      </x:c>
      <x:c r="L1135" s="907" t="str">
        <x:v>SRC-P404</x:v>
      </x:c>
      <x:c r="M1135" s="907" t="str">
        <x:v>VNStock API actual</x:v>
      </x:c>
      <x:c r="N1135" s="1032" t="n">
        <x:v>46229.241747685184</x:v>
      </x:c>
    </x:row>
    <x:row r="1136">
      <x:c r="A1136" s="895" t="n">
        <x:v>46052</x:v>
      </x:c>
      <x:c r="B1136" s="898" t="n">
        <x:v>66.08</x:v>
      </x:c>
      <x:c r="C1136" s="898" t="n">
        <x:v>68.03</x:v>
      </x:c>
      <x:c r="D1136" s="898" t="n">
        <x:v>65.11</x:v>
      </x:c>
      <x:c r="E1136" s="898" t="n">
        <x:v>66.57</x:v>
      </x:c>
      <x:c r="F1136" s="901" t="n">
        <x:v>1902876</x:v>
      </x:c>
      <x:c r="G1136" s="904" t="n">
        <x:v>1822.1</x:v>
      </x:c>
      <x:c r="H1136" s="904" t="n">
        <x:v>1831.97</x:v>
      </x:c>
      <x:c r="I1136" s="904" t="n">
        <x:v>1808.47</x:v>
      </x:c>
      <x:c r="J1136" s="904" t="n">
        <x:v>1829.04</x:v>
      </x:c>
      <x:c r="K1136" s="901" t="n">
        <x:v>877814543</x:v>
      </x:c>
      <x:c r="L1136" s="907" t="str">
        <x:v>SRC-P404</x:v>
      </x:c>
      <x:c r="M1136" s="907" t="str">
        <x:v>VNStock API actual</x:v>
      </x:c>
      <x:c r="N1136" s="1032" t="n">
        <x:v>46229.241747685184</x:v>
      </x:c>
    </x:row>
    <x:row r="1137">
      <x:c r="A1137" s="895" t="n">
        <x:v>46055</x:v>
      </x:c>
      <x:c r="B1137" s="898" t="n">
        <x:v>66.67</x:v>
      </x:c>
      <x:c r="C1137" s="898" t="n">
        <x:v>67.05</x:v>
      </x:c>
      <x:c r="D1137" s="898" t="n">
        <x:v>64.72</x:v>
      </x:c>
      <x:c r="E1137" s="898" t="n">
        <x:v>66.28</x:v>
      </x:c>
      <x:c r="F1137" s="901" t="n">
        <x:v>1994482</x:v>
      </x:c>
      <x:c r="G1137" s="904" t="n">
        <x:v>1824.1</x:v>
      </x:c>
      <x:c r="H1137" s="904" t="n">
        <x:v>1827.91</x:v>
      </x:c>
      <x:c r="I1137" s="904" t="n">
        <x:v>1777.85</x:v>
      </x:c>
      <x:c r="J1137" s="904" t="n">
        <x:v>1806.5</x:v>
      </x:c>
      <x:c r="K1137" s="901" t="n">
        <x:v>973917373</x:v>
      </x:c>
      <x:c r="L1137" s="907" t="str">
        <x:v>SRC-P404</x:v>
      </x:c>
      <x:c r="M1137" s="907" t="str">
        <x:v>VNStock API actual</x:v>
      </x:c>
      <x:c r="N1137" s="1032" t="n">
        <x:v>46229.241747685184</x:v>
      </x:c>
    </x:row>
    <x:row r="1138">
      <x:c r="A1138" s="895" t="n">
        <x:v>46056</x:v>
      </x:c>
      <x:c r="B1138" s="898" t="n">
        <x:v>67.25</x:v>
      </x:c>
      <x:c r="C1138" s="898" t="n">
        <x:v>70.84</x:v>
      </x:c>
      <x:c r="D1138" s="898" t="n">
        <x:v>67.25</x:v>
      </x:c>
      <x:c r="E1138" s="898" t="n">
        <x:v>70.84</x:v>
      </x:c>
      <x:c r="F1138" s="901" t="n">
        <x:v>7672143</x:v>
      </x:c>
      <x:c r="G1138" s="904" t="n">
        <x:v>1807.09</x:v>
      </x:c>
      <x:c r="H1138" s="904" t="n">
        <x:v>1827.22</x:v>
      </x:c>
      <x:c r="I1138" s="904" t="n">
        <x:v>1805.22</x:v>
      </x:c>
      <x:c r="J1138" s="904" t="n">
        <x:v>1813.4</x:v>
      </x:c>
      <x:c r="K1138" s="901" t="n">
        <x:v>985977888</x:v>
      </x:c>
      <x:c r="L1138" s="907" t="str">
        <x:v>SRC-P404</x:v>
      </x:c>
      <x:c r="M1138" s="907" t="str">
        <x:v>VNStock API actual</x:v>
      </x:c>
      <x:c r="N1138" s="1032" t="n">
        <x:v>46229.241747685184</x:v>
      </x:c>
    </x:row>
    <x:row r="1139">
      <x:c r="A1139" s="895" t="n">
        <x:v>46057</x:v>
      </x:c>
      <x:c r="B1139" s="898" t="n">
        <x:v>70.65</x:v>
      </x:c>
      <x:c r="C1139" s="898" t="n">
        <x:v>72.89</x:v>
      </x:c>
      <x:c r="D1139" s="898" t="n">
        <x:v>70.65</x:v>
      </x:c>
      <x:c r="E1139" s="898" t="n">
        <x:v>71.23</x:v>
      </x:c>
      <x:c r="F1139" s="901" t="n">
        <x:v>2084226</x:v>
      </x:c>
      <x:c r="G1139" s="904" t="n">
        <x:v>1813.87</x:v>
      </x:c>
      <x:c r="H1139" s="904" t="n">
        <x:v>1813.87</x:v>
      </x:c>
      <x:c r="I1139" s="904" t="n">
        <x:v>1780.71</x:v>
      </x:c>
      <x:c r="J1139" s="904" t="n">
        <x:v>1791.43</x:v>
      </x:c>
      <x:c r="K1139" s="901" t="n">
        <x:v>1053888972</x:v>
      </x:c>
      <x:c r="L1139" s="907" t="str">
        <x:v>SRC-P404</x:v>
      </x:c>
      <x:c r="M1139" s="907" t="str">
        <x:v>VNStock API actual</x:v>
      </x:c>
      <x:c r="N1139" s="1032" t="n">
        <x:v>46229.241747685184</x:v>
      </x:c>
    </x:row>
    <x:row r="1140">
      <x:c r="A1140" s="895" t="n">
        <x:v>46058</x:v>
      </x:c>
      <x:c r="B1140" s="898" t="n">
        <x:v>70.94</x:v>
      </x:c>
      <x:c r="C1140" s="898" t="n">
        <x:v>72.2</x:v>
      </x:c>
      <x:c r="D1140" s="898" t="n">
        <x:v>69.09</x:v>
      </x:c>
      <x:c r="E1140" s="898" t="n">
        <x:v>69.09</x:v>
      </x:c>
      <x:c r="F1140" s="901" t="n">
        <x:v>1908628</x:v>
      </x:c>
      <x:c r="G1140" s="904" t="n">
        <x:v>1789.14</x:v>
      </x:c>
      <x:c r="H1140" s="904" t="n">
        <x:v>1800.1</x:v>
      </x:c>
      <x:c r="I1140" s="904" t="n">
        <x:v>1782.18</x:v>
      </x:c>
      <x:c r="J1140" s="904" t="n">
        <x:v>1782.56</x:v>
      </x:c>
      <x:c r="K1140" s="901" t="n">
        <x:v>739892290</x:v>
      </x:c>
      <x:c r="L1140" s="907" t="str">
        <x:v>SRC-P404</x:v>
      </x:c>
      <x:c r="M1140" s="907" t="str">
        <x:v>VNStock API actual</x:v>
      </x:c>
      <x:c r="N1140" s="1032" t="n">
        <x:v>46229.241747685184</x:v>
      </x:c>
    </x:row>
    <x:row r="1141">
      <x:c r="A1141" s="895" t="n">
        <x:v>46059</x:v>
      </x:c>
      <x:c r="B1141" s="898" t="n">
        <x:v>68.71</x:v>
      </x:c>
      <x:c r="C1141" s="898" t="n">
        <x:v>70.94</x:v>
      </x:c>
      <x:c r="D1141" s="898" t="n">
        <x:v>68.22</x:v>
      </x:c>
      <x:c r="E1141" s="898" t="n">
        <x:v>69.48</x:v>
      </x:c>
      <x:c r="F1141" s="901" t="n">
        <x:v>2873270</x:v>
      </x:c>
      <x:c r="G1141" s="904" t="n">
        <x:v>1768.77</x:v>
      </x:c>
      <x:c r="H1141" s="904" t="n">
        <x:v>1782.34</x:v>
      </x:c>
      <x:c r="I1141" s="904" t="n">
        <x:v>1754.39</x:v>
      </x:c>
      <x:c r="J1141" s="904" t="n">
        <x:v>1755.49</x:v>
      </x:c>
      <x:c r="K1141" s="901" t="n">
        <x:v>1133423406</x:v>
      </x:c>
      <x:c r="L1141" s="907" t="str">
        <x:v>SRC-P404</x:v>
      </x:c>
      <x:c r="M1141" s="907" t="str">
        <x:v>VNStock API actual</x:v>
      </x:c>
      <x:c r="N1141" s="1032" t="n">
        <x:v>46229.241747685184</x:v>
      </x:c>
    </x:row>
    <x:row r="1142">
      <x:c r="A1142" s="895" t="n">
        <x:v>46062</x:v>
      </x:c>
      <x:c r="B1142" s="898" t="n">
        <x:v>70.46</x:v>
      </x:c>
      <x:c r="C1142" s="898" t="n">
        <x:v>70.75</x:v>
      </x:c>
      <x:c r="D1142" s="898" t="n">
        <x:v>67.44</x:v>
      </x:c>
      <x:c r="E1142" s="898" t="n">
        <x:v>69.29</x:v>
      </x:c>
      <x:c r="F1142" s="901" t="n">
        <x:v>1313501</x:v>
      </x:c>
      <x:c r="G1142" s="904" t="n">
        <x:v>1769.76</x:v>
      </x:c>
      <x:c r="H1142" s="904" t="n">
        <x:v>1771.73</x:v>
      </x:c>
      <x:c r="I1142" s="904" t="n">
        <x:v>1749.87</x:v>
      </x:c>
      <x:c r="J1142" s="904" t="n">
        <x:v>1754.82</x:v>
      </x:c>
      <x:c r="K1142" s="901" t="n">
        <x:v>726411658</x:v>
      </x:c>
      <x:c r="L1142" s="907" t="str">
        <x:v>SRC-P404</x:v>
      </x:c>
      <x:c r="M1142" s="907" t="str">
        <x:v>VNStock API actual</x:v>
      </x:c>
      <x:c r="N1142" s="1032" t="n">
        <x:v>46229.241747685184</x:v>
      </x:c>
    </x:row>
    <x:row r="1143">
      <x:c r="A1143" s="895" t="n">
        <x:v>46063</x:v>
      </x:c>
      <x:c r="B1143" s="898" t="n">
        <x:v>68.51</x:v>
      </x:c>
      <x:c r="C1143" s="898" t="n">
        <x:v>69.48</x:v>
      </x:c>
      <x:c r="D1143" s="898" t="n">
        <x:v>66.76</x:v>
      </x:c>
      <x:c r="E1143" s="898" t="n">
        <x:v>69</x:v>
      </x:c>
      <x:c r="F1143" s="901" t="n">
        <x:v>2073054</x:v>
      </x:c>
      <x:c r="G1143" s="904" t="n">
        <x:v>1755.83</x:v>
      </x:c>
      <x:c r="H1143" s="904" t="n">
        <x:v>1776.24</x:v>
      </x:c>
      <x:c r="I1143" s="904" t="n">
        <x:v>1741.37</x:v>
      </x:c>
      <x:c r="J1143" s="904" t="n">
        <x:v>1754.03</x:v>
      </x:c>
      <x:c r="K1143" s="901" t="n">
        <x:v>920697778</x:v>
      </x:c>
      <x:c r="L1143" s="907" t="str">
        <x:v>SRC-P404</x:v>
      </x:c>
      <x:c r="M1143" s="907" t="str">
        <x:v>VNStock API actual</x:v>
      </x:c>
      <x:c r="N1143" s="1032" t="n">
        <x:v>46229.241747685184</x:v>
      </x:c>
    </x:row>
    <x:row r="1144">
      <x:c r="A1144" s="895" t="n">
        <x:v>46064</x:v>
      </x:c>
      <x:c r="B1144" s="898" t="n">
        <x:v>69.09</x:v>
      </x:c>
      <x:c r="C1144" s="898" t="n">
        <x:v>69.29</x:v>
      </x:c>
      <x:c r="D1144" s="898" t="n">
        <x:v>67.93</x:v>
      </x:c>
      <x:c r="E1144" s="898" t="n">
        <x:v>69.29</x:v>
      </x:c>
      <x:c r="F1144" s="901" t="n">
        <x:v>1318542</x:v>
      </x:c>
      <x:c r="G1144" s="904" t="n">
        <x:v>1768.18</x:v>
      </x:c>
      <x:c r="H1144" s="904" t="n">
        <x:v>1799.92</x:v>
      </x:c>
      <x:c r="I1144" s="904" t="n">
        <x:v>1763.96</x:v>
      </x:c>
      <x:c r="J1144" s="904" t="n">
        <x:v>1796.85</x:v>
      </x:c>
      <x:c r="K1144" s="901" t="n">
        <x:v>1146844032</x:v>
      </x:c>
      <x:c r="L1144" s="907" t="str">
        <x:v>SRC-P404</x:v>
      </x:c>
      <x:c r="M1144" s="907" t="str">
        <x:v>VNStock API actual</x:v>
      </x:c>
      <x:c r="N1144" s="1032" t="n">
        <x:v>46229.241747685184</x:v>
      </x:c>
    </x:row>
    <x:row r="1145">
      <x:c r="A1145" s="895" t="n">
        <x:v>46065</x:v>
      </x:c>
      <x:c r="B1145" s="898" t="n">
        <x:v>69.39</x:v>
      </x:c>
      <x:c r="C1145" s="898" t="n">
        <x:v>72.69</x:v>
      </x:c>
      <x:c r="D1145" s="898" t="n">
        <x:v>69.39</x:v>
      </x:c>
      <x:c r="E1145" s="898" t="n">
        <x:v>72.4</x:v>
      </x:c>
      <x:c r="F1145" s="901" t="n">
        <x:v>4715962</x:v>
      </x:c>
      <x:c r="G1145" s="904" t="n">
        <x:v>1809.01</x:v>
      </x:c>
      <x:c r="H1145" s="904" t="n">
        <x:v>1816.11</x:v>
      </x:c>
      <x:c r="I1145" s="904" t="n">
        <x:v>1804.6</x:v>
      </x:c>
      <x:c r="J1145" s="904" t="n">
        <x:v>1814.09</x:v>
      </x:c>
      <x:c r="K1145" s="901" t="n">
        <x:v>501048660</x:v>
      </x:c>
      <x:c r="L1145" s="907" t="str">
        <x:v>SRC-P404</x:v>
      </x:c>
      <x:c r="M1145" s="907" t="str">
        <x:v>VNStock API actual</x:v>
      </x:c>
      <x:c r="N1145" s="1032" t="n">
        <x:v>46229.241747685184</x:v>
      </x:c>
    </x:row>
    <x:row r="1146">
      <x:c r="A1146" s="895" t="n">
        <x:v>46066</x:v>
      </x:c>
      <x:c r="B1146" s="898" t="n">
        <x:v>71.43</x:v>
      </x:c>
      <x:c r="C1146" s="898" t="n">
        <x:v>72.89</x:v>
      </x:c>
      <x:c r="D1146" s="898" t="n">
        <x:v>71.43</x:v>
      </x:c>
      <x:c r="E1146" s="898" t="n">
        <x:v>72.89</x:v>
      </x:c>
      <x:c r="F1146" s="901" t="n">
        <x:v>1370078</x:v>
      </x:c>
      <x:c r="G1146" s="904" t="n">
        <x:v>1818.07</x:v>
      </x:c>
      <x:c r="H1146" s="904" t="n">
        <x:v>1824.09</x:v>
      </x:c>
      <x:c r="I1146" s="904" t="n">
        <x:v>1792.91</x:v>
      </x:c>
      <x:c r="J1146" s="904" t="n">
        <x:v>1824.09</x:v>
      </x:c>
      <x:c r="K1146" s="901" t="n">
        <x:v>608586792</x:v>
      </x:c>
      <x:c r="L1146" s="907" t="str">
        <x:v>SRC-P404</x:v>
      </x:c>
      <x:c r="M1146" s="907" t="str">
        <x:v>VNStock API actual</x:v>
      </x:c>
      <x:c r="N1146" s="1032" t="n">
        <x:v>46229.241747685184</x:v>
      </x:c>
    </x:row>
    <x:row r="1147">
      <x:c r="A1147" s="895" t="n">
        <x:v>46076</x:v>
      </x:c>
      <x:c r="B1147" s="898" t="n">
        <x:v>73.37</x:v>
      </x:c>
      <x:c r="C1147" s="898" t="n">
        <x:v>73.37</x:v>
      </x:c>
      <x:c r="D1147" s="898" t="n">
        <x:v>71.91</x:v>
      </x:c>
      <x:c r="E1147" s="898" t="n">
        <x:v>73.37</x:v>
      </x:c>
      <x:c r="F1147" s="901" t="n">
        <x:v>1303737</x:v>
      </x:c>
      <x:c r="G1147" s="904" t="n">
        <x:v>1833.9</x:v>
      </x:c>
      <x:c r="H1147" s="904" t="n">
        <x:v>1863.13</x:v>
      </x:c>
      <x:c r="I1147" s="904" t="n">
        <x:v>1833.9</x:v>
      </x:c>
      <x:c r="J1147" s="904" t="n">
        <x:v>1860.14</x:v>
      </x:c>
      <x:c r="K1147" s="901" t="n">
        <x:v>756872733</x:v>
      </x:c>
      <x:c r="L1147" s="907" t="str">
        <x:v>SRC-P404</x:v>
      </x:c>
      <x:c r="M1147" s="907" t="str">
        <x:v>VNStock API actual</x:v>
      </x:c>
      <x:c r="N1147" s="1032" t="n">
        <x:v>46229.241747685184</x:v>
      </x:c>
    </x:row>
    <x:row r="1148">
      <x:c r="A1148" s="895" t="n">
        <x:v>46077</x:v>
      </x:c>
      <x:c r="B1148" s="898" t="n">
        <x:v>73.57</x:v>
      </x:c>
      <x:c r="C1148" s="898" t="n">
        <x:v>78.13</x:v>
      </x:c>
      <x:c r="D1148" s="898" t="n">
        <x:v>73.18</x:v>
      </x:c>
      <x:c r="E1148" s="898" t="n">
        <x:v>77.55</x:v>
      </x:c>
      <x:c r="F1148" s="901" t="n">
        <x:v>5163857</x:v>
      </x:c>
      <x:c r="G1148" s="904" t="n">
        <x:v>1862.18</x:v>
      </x:c>
      <x:c r="H1148" s="904" t="n">
        <x:v>1867.62</x:v>
      </x:c>
      <x:c r="I1148" s="904" t="n">
        <x:v>1849.6</x:v>
      </x:c>
      <x:c r="J1148" s="904" t="n">
        <x:v>1867.62</x:v>
      </x:c>
      <x:c r="K1148" s="901" t="n">
        <x:v>1002135553</x:v>
      </x:c>
      <x:c r="L1148" s="907" t="str">
        <x:v>SRC-P404</x:v>
      </x:c>
      <x:c r="M1148" s="907" t="str">
        <x:v>VNStock API actual</x:v>
      </x:c>
      <x:c r="N1148" s="1032" t="n">
        <x:v>46229.241747685184</x:v>
      </x:c>
    </x:row>
    <x:row r="1149">
      <x:c r="A1149" s="895" t="n">
        <x:v>46078</x:v>
      </x:c>
      <x:c r="B1149" s="898" t="n">
        <x:v>77.74</x:v>
      </x:c>
      <x:c r="C1149" s="898" t="n">
        <x:v>78.13</x:v>
      </x:c>
      <x:c r="D1149" s="898" t="n">
        <x:v>76.87</x:v>
      </x:c>
      <x:c r="E1149" s="898" t="n">
        <x:v>77.74</x:v>
      </x:c>
      <x:c r="F1149" s="901" t="n">
        <x:v>2203826</x:v>
      </x:c>
      <x:c r="G1149" s="904" t="n">
        <x:v>1869.49</x:v>
      </x:c>
      <x:c r="H1149" s="904" t="n">
        <x:v>1876.01</x:v>
      </x:c>
      <x:c r="I1149" s="904" t="n">
        <x:v>1857.16</x:v>
      </x:c>
      <x:c r="J1149" s="904" t="n">
        <x:v>1860.91</x:v>
      </x:c>
      <x:c r="K1149" s="901" t="n">
        <x:v>1156532827</x:v>
      </x:c>
      <x:c r="L1149" s="907" t="str">
        <x:v>SRC-P404</x:v>
      </x:c>
      <x:c r="M1149" s="907" t="str">
        <x:v>VNStock API actual</x:v>
      </x:c>
      <x:c r="N1149" s="1032" t="n">
        <x:v>46229.241747685184</x:v>
      </x:c>
    </x:row>
    <x:row r="1150">
      <x:c r="A1150" s="895" t="n">
        <x:v>46079</x:v>
      </x:c>
      <x:c r="B1150" s="898" t="n">
        <x:v>77.94</x:v>
      </x:c>
      <x:c r="C1150" s="898" t="n">
        <x:v>81.53</x:v>
      </x:c>
      <x:c r="D1150" s="898" t="n">
        <x:v>77.26</x:v>
      </x:c>
      <x:c r="E1150" s="898" t="n">
        <x:v>79.1</x:v>
      </x:c>
      <x:c r="F1150" s="901" t="n">
        <x:v>3049371</x:v>
      </x:c>
      <x:c r="G1150" s="904" t="n">
        <x:v>1861.32</x:v>
      </x:c>
      <x:c r="H1150" s="904" t="n">
        <x:v>1882.17</x:v>
      </x:c>
      <x:c r="I1150" s="904" t="n">
        <x:v>1859.04</x:v>
      </x:c>
      <x:c r="J1150" s="904" t="n">
        <x:v>1879.64</x:v>
      </x:c>
      <x:c r="K1150" s="901" t="n">
        <x:v>891033680</x:v>
      </x:c>
      <x:c r="L1150" s="907" t="str">
        <x:v>SRC-P404</x:v>
      </x:c>
      <x:c r="M1150" s="907" t="str">
        <x:v>VNStock API actual</x:v>
      </x:c>
      <x:c r="N1150" s="1032" t="n">
        <x:v>46229.241747685184</x:v>
      </x:c>
    </x:row>
    <x:row r="1151">
      <x:c r="A1151" s="895" t="n">
        <x:v>46080</x:v>
      </x:c>
      <x:c r="B1151" s="898" t="n">
        <x:v>80.27</x:v>
      </x:c>
      <x:c r="C1151" s="898" t="n">
        <x:v>82.7</x:v>
      </x:c>
      <x:c r="D1151" s="898" t="n">
        <x:v>78.52</x:v>
      </x:c>
      <x:c r="E1151" s="898" t="n">
        <x:v>82.02</x:v>
      </x:c>
      <x:c r="F1151" s="901" t="n">
        <x:v>4409491</x:v>
      </x:c>
      <x:c r="G1151" s="904" t="n">
        <x:v>1883.12</x:v>
      </x:c>
      <x:c r="H1151" s="904" t="n">
        <x:v>1899.44</x:v>
      </x:c>
      <x:c r="I1151" s="904" t="n">
        <x:v>1863.36</x:v>
      </x:c>
      <x:c r="J1151" s="904" t="n">
        <x:v>1880.33</x:v>
      </x:c>
      <x:c r="K1151" s="901" t="n">
        <x:v>927701241</x:v>
      </x:c>
      <x:c r="L1151" s="907" t="str">
        <x:v>SRC-P404</x:v>
      </x:c>
      <x:c r="M1151" s="907" t="str">
        <x:v>VNStock API actual</x:v>
      </x:c>
      <x:c r="N1151" s="1032" t="n">
        <x:v>46229.241747685184</x:v>
      </x:c>
    </x:row>
    <x:row r="1152">
      <x:c r="A1152" s="895" t="n">
        <x:v>46083</x:v>
      </x:c>
      <x:c r="B1152" s="898" t="n">
        <x:v>82.21</x:v>
      </x:c>
      <x:c r="C1152" s="898" t="n">
        <x:v>86.98</x:v>
      </x:c>
      <x:c r="D1152" s="898" t="n">
        <x:v>78.72</x:v>
      </x:c>
      <x:c r="E1152" s="898" t="n">
        <x:v>78.72</x:v>
      </x:c>
      <x:c r="F1152" s="901" t="n">
        <x:v>4975834</x:v>
      </x:c>
      <x:c r="G1152" s="904" t="n">
        <x:v>1876.01</x:v>
      </x:c>
      <x:c r="H1152" s="904" t="n">
        <x:v>1885.18</x:v>
      </x:c>
      <x:c r="I1152" s="904" t="n">
        <x:v>1844.25</x:v>
      </x:c>
      <x:c r="J1152" s="904" t="n">
        <x:v>1846.1</x:v>
      </x:c>
      <x:c r="K1152" s="901" t="n">
        <x:v>1548149985</x:v>
      </x:c>
      <x:c r="L1152" s="907" t="str">
        <x:v>SRC-P404</x:v>
      </x:c>
      <x:c r="M1152" s="907" t="str">
        <x:v>VNStock API actual</x:v>
      </x:c>
      <x:c r="N1152" s="1032" t="n">
        <x:v>46229.241747685184</x:v>
      </x:c>
    </x:row>
    <x:row r="1153">
      <x:c r="A1153" s="895" t="n">
        <x:v>46084</x:v>
      </x:c>
      <x:c r="B1153" s="898" t="n">
        <x:v>78.72</x:v>
      </x:c>
      <x:c r="C1153" s="898" t="n">
        <x:v>80.47</x:v>
      </x:c>
      <x:c r="D1153" s="898" t="n">
        <x:v>77.74</x:v>
      </x:c>
      <x:c r="E1153" s="898" t="n">
        <x:v>79.2</x:v>
      </x:c>
      <x:c r="F1153" s="901" t="n">
        <x:v>4685411</x:v>
      </x:c>
      <x:c r="G1153" s="904" t="n">
        <x:v>1854.28</x:v>
      </x:c>
      <x:c r="H1153" s="904" t="n">
        <x:v>1854.28</x:v>
      </x:c>
      <x:c r="I1153" s="904" t="n">
        <x:v>1808.55</x:v>
      </x:c>
      <x:c r="J1153" s="904" t="n">
        <x:v>1813.14</x:v>
      </x:c>
      <x:c r="K1153" s="901" t="n">
        <x:v>1303657670</x:v>
      </x:c>
      <x:c r="L1153" s="907" t="str">
        <x:v>SRC-P404</x:v>
      </x:c>
      <x:c r="M1153" s="907" t="str">
        <x:v>VNStock API actual</x:v>
      </x:c>
      <x:c r="N1153" s="1032" t="n">
        <x:v>46229.241747685184</x:v>
      </x:c>
    </x:row>
    <x:row r="1154">
      <x:c r="A1154" s="895" t="n">
        <x:v>46085</x:v>
      </x:c>
      <x:c r="B1154" s="898" t="n">
        <x:v>79.69</x:v>
      </x:c>
      <x:c r="C1154" s="898" t="n">
        <x:v>79.69</x:v>
      </x:c>
      <x:c r="D1154" s="898" t="n">
        <x:v>73.95</x:v>
      </x:c>
      <x:c r="E1154" s="898" t="n">
        <x:v>76.77</x:v>
      </x:c>
      <x:c r="F1154" s="901" t="n">
        <x:v>3975342</x:v>
      </x:c>
      <x:c r="G1154" s="904" t="n">
        <x:v>1803.54</x:v>
      </x:c>
      <x:c r="H1154" s="904" t="n">
        <x:v>1833.33</x:v>
      </x:c>
      <x:c r="I1154" s="904" t="n">
        <x:v>1766.86</x:v>
      </x:c>
      <x:c r="J1154" s="904" t="n">
        <x:v>1818.27</x:v>
      </x:c>
      <x:c r="K1154" s="901" t="n">
        <x:v>1574263001</x:v>
      </x:c>
      <x:c r="L1154" s="907" t="str">
        <x:v>SRC-P404</x:v>
      </x:c>
      <x:c r="M1154" s="907" t="str">
        <x:v>VNStock API actual</x:v>
      </x:c>
      <x:c r="N1154" s="1032" t="n">
        <x:v>46229.241747685184</x:v>
      </x:c>
    </x:row>
    <x:row r="1155">
      <x:c r="A1155" s="895" t="n">
        <x:v>46086</x:v>
      </x:c>
      <x:c r="B1155" s="898" t="n">
        <x:v>77.06</x:v>
      </x:c>
      <x:c r="C1155" s="898" t="n">
        <x:v>78.04</x:v>
      </x:c>
      <x:c r="D1155" s="898" t="n">
        <x:v>74.93</x:v>
      </x:c>
      <x:c r="E1155" s="898" t="n">
        <x:v>75.12</x:v>
      </x:c>
      <x:c r="F1155" s="901" t="n">
        <x:v>2757655</x:v>
      </x:c>
      <x:c r="G1155" s="904" t="n">
        <x:v>1837.34</x:v>
      </x:c>
      <x:c r="H1155" s="904" t="n">
        <x:v>1849.01</x:v>
      </x:c>
      <x:c r="I1155" s="904" t="n">
        <x:v>1806.53</x:v>
      </x:c>
      <x:c r="J1155" s="904" t="n">
        <x:v>1808.51</x:v>
      </x:c>
      <x:c r="K1155" s="901" t="n">
        <x:v>1126642399</x:v>
      </x:c>
      <x:c r="L1155" s="907" t="str">
        <x:v>SRC-P404</x:v>
      </x:c>
      <x:c r="M1155" s="907" t="str">
        <x:v>VNStock API actual</x:v>
      </x:c>
      <x:c r="N1155" s="1032" t="n">
        <x:v>46229.241747685184</x:v>
      </x:c>
    </x:row>
    <x:row r="1156">
      <x:c r="A1156" s="895" t="n">
        <x:v>46087</x:v>
      </x:c>
      <x:c r="B1156" s="898" t="n">
        <x:v>74.83</x:v>
      </x:c>
      <x:c r="C1156" s="898" t="n">
        <x:v>76.77</x:v>
      </x:c>
      <x:c r="D1156" s="898" t="n">
        <x:v>73.76</x:v>
      </x:c>
      <x:c r="E1156" s="898" t="n">
        <x:v>75.8</x:v>
      </x:c>
      <x:c r="F1156" s="901" t="n">
        <x:v>2313650</x:v>
      </x:c>
      <x:c r="G1156" s="904" t="n">
        <x:v>1801.08</x:v>
      </x:c>
      <x:c r="H1156" s="904" t="n">
        <x:v>1807.31</x:v>
      </x:c>
      <x:c r="I1156" s="904" t="n">
        <x:v>1767.84</x:v>
      </x:c>
      <x:c r="J1156" s="904" t="n">
        <x:v>1767.84</x:v>
      </x:c>
      <x:c r="K1156" s="901" t="n">
        <x:v>1030298190</x:v>
      </x:c>
      <x:c r="L1156" s="907" t="str">
        <x:v>SRC-P404</x:v>
      </x:c>
      <x:c r="M1156" s="907" t="str">
        <x:v>VNStock API actual</x:v>
      </x:c>
      <x:c r="N1156" s="1032" t="n">
        <x:v>46229.241747685184</x:v>
      </x:c>
    </x:row>
    <x:row r="1157">
      <x:c r="A1157" s="895" t="n">
        <x:v>46090</x:v>
      </x:c>
      <x:c r="B1157" s="898" t="n">
        <x:v>70.94</x:v>
      </x:c>
      <x:c r="C1157" s="898" t="n">
        <x:v>71.91</x:v>
      </x:c>
      <x:c r="D1157" s="898" t="n">
        <x:v>70.55</x:v>
      </x:c>
      <x:c r="E1157" s="898" t="n">
        <x:v>70.55</x:v>
      </x:c>
      <x:c r="F1157" s="901" t="n">
        <x:v>1547726</x:v>
      </x:c>
      <x:c r="G1157" s="904" t="n">
        <x:v>1757.73</x:v>
      </x:c>
      <x:c r="H1157" s="904" t="n">
        <x:v>1757.73</x:v>
      </x:c>
      <x:c r="I1157" s="904" t="n">
        <x:v>1650.75</x:v>
      </x:c>
      <x:c r="J1157" s="904" t="n">
        <x:v>1652.79</x:v>
      </x:c>
      <x:c r="K1157" s="901" t="n">
        <x:v>1380753348</x:v>
      </x:c>
      <x:c r="L1157" s="907" t="str">
        <x:v>SRC-P404</x:v>
      </x:c>
      <x:c r="M1157" s="907" t="str">
        <x:v>VNStock API actual</x:v>
      </x:c>
      <x:c r="N1157" s="1032" t="n">
        <x:v>46229.241747685184</x:v>
      </x:c>
    </x:row>
    <x:row r="1158">
      <x:c r="A1158" s="895" t="n">
        <x:v>46091</x:v>
      </x:c>
      <x:c r="B1158" s="898" t="n">
        <x:v>71.43</x:v>
      </x:c>
      <x:c r="C1158" s="898" t="n">
        <x:v>71.72</x:v>
      </x:c>
      <x:c r="D1158" s="898" t="n">
        <x:v>68.22</x:v>
      </x:c>
      <x:c r="E1158" s="898" t="n">
        <x:v>69.48</x:v>
      </x:c>
      <x:c r="F1158" s="901" t="n">
        <x:v>3034904</x:v>
      </x:c>
      <x:c r="G1158" s="904" t="n">
        <x:v>1664.52</x:v>
      </x:c>
      <x:c r="H1158" s="904" t="n">
        <x:v>1716.62</x:v>
      </x:c>
      <x:c r="I1158" s="904" t="n">
        <x:v>1651.29</x:v>
      </x:c>
      <x:c r="J1158" s="904" t="n">
        <x:v>1676.73</x:v>
      </x:c>
      <x:c r="K1158" s="901" t="n">
        <x:v>1537511997</x:v>
      </x:c>
      <x:c r="L1158" s="907" t="str">
        <x:v>SRC-P404</x:v>
      </x:c>
      <x:c r="M1158" s="907" t="str">
        <x:v>VNStock API actual</x:v>
      </x:c>
      <x:c r="N1158" s="1032" t="n">
        <x:v>46229.241747685184</x:v>
      </x:c>
    </x:row>
    <x:row r="1159">
      <x:c r="A1159" s="895" t="n">
        <x:v>46092</x:v>
      </x:c>
      <x:c r="B1159" s="898" t="n">
        <x:v>68.71</x:v>
      </x:c>
      <x:c r="C1159" s="898" t="n">
        <x:v>74.34</x:v>
      </x:c>
      <x:c r="D1159" s="898" t="n">
        <x:v>68.71</x:v>
      </x:c>
      <x:c r="E1159" s="898" t="n">
        <x:v>74.34</x:v>
      </x:c>
      <x:c r="F1159" s="901" t="n">
        <x:v>4178803</x:v>
      </x:c>
      <x:c r="G1159" s="904" t="n">
        <x:v>1675.87</x:v>
      </x:c>
      <x:c r="H1159" s="904" t="n">
        <x:v>1729.67</x:v>
      </x:c>
      <x:c r="I1159" s="904" t="n">
        <x:v>1675.17</x:v>
      </x:c>
      <x:c r="J1159" s="904" t="n">
        <x:v>1728.34</x:v>
      </x:c>
      <x:c r="K1159" s="901" t="n">
        <x:v>997255862</x:v>
      </x:c>
      <x:c r="L1159" s="907" t="str">
        <x:v>SRC-P404</x:v>
      </x:c>
      <x:c r="M1159" s="907" t="str">
        <x:v>VNStock API actual</x:v>
      </x:c>
      <x:c r="N1159" s="1032" t="n">
        <x:v>46229.241747685184</x:v>
      </x:c>
    </x:row>
    <x:row r="1160">
      <x:c r="A1160" s="895" t="n">
        <x:v>46093</x:v>
      </x:c>
      <x:c r="B1160" s="898" t="n">
        <x:v>74.15</x:v>
      </x:c>
      <x:c r="C1160" s="898" t="n">
        <x:v>75.9</x:v>
      </x:c>
      <x:c r="D1160" s="898" t="n">
        <x:v>73.18</x:v>
      </x:c>
      <x:c r="E1160" s="898" t="n">
        <x:v>74.63</x:v>
      </x:c>
      <x:c r="F1160" s="901" t="n">
        <x:v>1766716</x:v>
      </x:c>
      <x:c r="G1160" s="904" t="n">
        <x:v>1716.62</x:v>
      </x:c>
      <x:c r="H1160" s="904" t="n">
        <x:v>1725.52</x:v>
      </x:c>
      <x:c r="I1160" s="904" t="n">
        <x:v>1701.59</x:v>
      </x:c>
      <x:c r="J1160" s="904" t="n">
        <x:v>1709.61</x:v>
      </x:c>
      <x:c r="K1160" s="901" t="n">
        <x:v>956735297</x:v>
      </x:c>
      <x:c r="L1160" s="907" t="str">
        <x:v>SRC-P404</x:v>
      </x:c>
      <x:c r="M1160" s="907" t="str">
        <x:v>VNStock API actual</x:v>
      </x:c>
      <x:c r="N1160" s="1032" t="n">
        <x:v>46229.241747685184</x:v>
      </x:c>
    </x:row>
    <x:row r="1161">
      <x:c r="A1161" s="895" t="n">
        <x:v>46094</x:v>
      </x:c>
      <x:c r="B1161" s="898" t="n">
        <x:v>74.15</x:v>
      </x:c>
      <x:c r="C1161" s="898" t="n">
        <x:v>75.41</x:v>
      </x:c>
      <x:c r="D1161" s="898" t="n">
        <x:v>72.98</x:v>
      </x:c>
      <x:c r="E1161" s="898" t="n">
        <x:v>73.76</x:v>
      </x:c>
      <x:c r="F1161" s="901" t="n">
        <x:v>1668984</x:v>
      </x:c>
      <x:c r="G1161" s="904" t="n">
        <x:v>1697.72</x:v>
      </x:c>
      <x:c r="H1161" s="904" t="n">
        <x:v>1716.75</x:v>
      </x:c>
      <x:c r="I1161" s="904" t="n">
        <x:v>1688.67</x:v>
      </x:c>
      <x:c r="J1161" s="904" t="n">
        <x:v>1696.24</x:v>
      </x:c>
      <x:c r="K1161" s="901" t="n">
        <x:v>1023068442</x:v>
      </x:c>
      <x:c r="L1161" s="907" t="str">
        <x:v>SRC-P404</x:v>
      </x:c>
      <x:c r="M1161" s="907" t="str">
        <x:v>VNStock API actual</x:v>
      </x:c>
      <x:c r="N1161" s="1032" t="n">
        <x:v>46229.241747685184</x:v>
      </x:c>
    </x:row>
    <x:row r="1162">
      <x:c r="A1162" s="895" t="n">
        <x:v>46097</x:v>
      </x:c>
      <x:c r="B1162" s="898" t="n">
        <x:v>73.86</x:v>
      </x:c>
      <x:c r="C1162" s="898" t="n">
        <x:v>74.05</x:v>
      </x:c>
      <x:c r="D1162" s="898" t="n">
        <x:v>70.65</x:v>
      </x:c>
      <x:c r="E1162" s="898" t="n">
        <x:v>71.91</x:v>
      </x:c>
      <x:c r="F1162" s="901" t="n">
        <x:v>1411306</x:v>
      </x:c>
      <x:c r="G1162" s="904" t="n">
        <x:v>1701.06</x:v>
      </x:c>
      <x:c r="H1162" s="904" t="n">
        <x:v>1707</x:v>
      </x:c>
      <x:c r="I1162" s="904" t="n">
        <x:v>1680.7</x:v>
      </x:c>
      <x:c r="J1162" s="904" t="n">
        <x:v>1693.21</x:v>
      </x:c>
      <x:c r="K1162" s="901" t="n">
        <x:v>873491825</x:v>
      </x:c>
      <x:c r="L1162" s="907" t="str">
        <x:v>SRC-P404</x:v>
      </x:c>
      <x:c r="M1162" s="907" t="str">
        <x:v>VNStock API actual</x:v>
      </x:c>
      <x:c r="N1162" s="1032" t="n">
        <x:v>46229.241747685184</x:v>
      </x:c>
    </x:row>
    <x:row r="1163">
      <x:c r="A1163" s="895" t="n">
        <x:v>46098</x:v>
      </x:c>
      <x:c r="B1163" s="898" t="n">
        <x:v>72.79</x:v>
      </x:c>
      <x:c r="C1163" s="898" t="n">
        <x:v>74.15</x:v>
      </x:c>
      <x:c r="D1163" s="898" t="n">
        <x:v>71.52</x:v>
      </x:c>
      <x:c r="E1163" s="898" t="n">
        <x:v>73.86</x:v>
      </x:c>
      <x:c r="F1163" s="901" t="n">
        <x:v>1644038</x:v>
      </x:c>
      <x:c r="G1163" s="904" t="n">
        <x:v>1709.38</x:v>
      </x:c>
      <x:c r="H1163" s="904" t="n">
        <x:v>1732.31</x:v>
      </x:c>
      <x:c r="I1163" s="904" t="n">
        <x:v>1708.83</x:v>
      </x:c>
      <x:c r="J1163" s="904" t="n">
        <x:v>1710.29</x:v>
      </x:c>
      <x:c r="K1163" s="901" t="n">
        <x:v>887474546</x:v>
      </x:c>
      <x:c r="L1163" s="907" t="str">
        <x:v>SRC-P404</x:v>
      </x:c>
      <x:c r="M1163" s="907" t="str">
        <x:v>VNStock API actual</x:v>
      </x:c>
      <x:c r="N1163" s="1032" t="n">
        <x:v>46229.241747685184</x:v>
      </x:c>
    </x:row>
    <x:row r="1164">
      <x:c r="A1164" s="895" t="n">
        <x:v>46099</x:v>
      </x:c>
      <x:c r="B1164" s="898" t="n">
        <x:v>75.51</x:v>
      </x:c>
      <x:c r="C1164" s="898" t="n">
        <x:v>77.65</x:v>
      </x:c>
      <x:c r="D1164" s="898" t="n">
        <x:v>74.15</x:v>
      </x:c>
      <x:c r="E1164" s="898" t="n">
        <x:v>77.16</x:v>
      </x:c>
      <x:c r="F1164" s="901" t="n">
        <x:v>2277386</x:v>
      </x:c>
      <x:c r="G1164" s="904" t="n">
        <x:v>1718.3</x:v>
      </x:c>
      <x:c r="H1164" s="904" t="n">
        <x:v>1742.87</x:v>
      </x:c>
      <x:c r="I1164" s="904" t="n">
        <x:v>1693.36</x:v>
      </x:c>
      <x:c r="J1164" s="904" t="n">
        <x:v>1713.83</x:v>
      </x:c>
      <x:c r="K1164" s="901" t="n">
        <x:v>840316740</x:v>
      </x:c>
      <x:c r="L1164" s="907" t="str">
        <x:v>SRC-P404</x:v>
      </x:c>
      <x:c r="M1164" s="907" t="str">
        <x:v>VNStock API actual</x:v>
      </x:c>
      <x:c r="N1164" s="1032" t="n">
        <x:v>46229.241747685184</x:v>
      </x:c>
    </x:row>
    <x:row r="1165">
      <x:c r="A1165" s="895" t="n">
        <x:v>46100</x:v>
      </x:c>
      <x:c r="B1165" s="898" t="n">
        <x:v>76.29</x:v>
      </x:c>
      <x:c r="C1165" s="898" t="n">
        <x:v>76.29</x:v>
      </x:c>
      <x:c r="D1165" s="898" t="n">
        <x:v>73.95</x:v>
      </x:c>
      <x:c r="E1165" s="898" t="n">
        <x:v>74.34</x:v>
      </x:c>
      <x:c r="F1165" s="901" t="n">
        <x:v>1476196</x:v>
      </x:c>
      <x:c r="G1165" s="904" t="n">
        <x:v>1700.77</x:v>
      </x:c>
      <x:c r="H1165" s="904" t="n">
        <x:v>1709.47</x:v>
      </x:c>
      <x:c r="I1165" s="904" t="n">
        <x:v>1677.09</x:v>
      </x:c>
      <x:c r="J1165" s="904" t="n">
        <x:v>1699.13</x:v>
      </x:c>
      <x:c r="K1165" s="901" t="n">
        <x:v>881126066</x:v>
      </x:c>
      <x:c r="L1165" s="907" t="str">
        <x:v>SRC-P404</x:v>
      </x:c>
      <x:c r="M1165" s="907" t="str">
        <x:v>VNStock API actual</x:v>
      </x:c>
      <x:c r="N1165" s="1032" t="n">
        <x:v>46229.241747685184</x:v>
      </x:c>
    </x:row>
    <x:row r="1166">
      <x:c r="A1166" s="895" t="n">
        <x:v>46101</x:v>
      </x:c>
      <x:c r="B1166" s="898" t="n">
        <x:v>74.34</x:v>
      </x:c>
      <x:c r="C1166" s="898" t="n">
        <x:v>75.8</x:v>
      </x:c>
      <x:c r="D1166" s="898" t="n">
        <x:v>72.98</x:v>
      </x:c>
      <x:c r="E1166" s="898" t="n">
        <x:v>75.02</x:v>
      </x:c>
      <x:c r="F1166" s="901" t="n">
        <x:v>1571267</x:v>
      </x:c>
      <x:c r="G1166" s="904" t="n">
        <x:v>1698.62</x:v>
      </x:c>
      <x:c r="H1166" s="904" t="n">
        <x:v>1698.62</x:v>
      </x:c>
      <x:c r="I1166" s="904" t="n">
        <x:v>1628.62</x:v>
      </x:c>
      <x:c r="J1166" s="904" t="n">
        <x:v>1647.81</x:v>
      </x:c>
      <x:c r="K1166" s="901" t="n">
        <x:v>961235269</x:v>
      </x:c>
      <x:c r="L1166" s="907" t="str">
        <x:v>SRC-P404</x:v>
      </x:c>
      <x:c r="M1166" s="907" t="str">
        <x:v>VNStock API actual</x:v>
      </x:c>
      <x:c r="N1166" s="1032" t="n">
        <x:v>46229.241747685184</x:v>
      </x:c>
    </x:row>
    <x:row r="1167">
      <x:c r="A1167" s="895" t="n">
        <x:v>46104</x:v>
      </x:c>
      <x:c r="B1167" s="898" t="n">
        <x:v>72.4</x:v>
      </x:c>
      <x:c r="C1167" s="898" t="n">
        <x:v>73.76</x:v>
      </x:c>
      <x:c r="D1167" s="898" t="n">
        <x:v>69.87</x:v>
      </x:c>
      <x:c r="E1167" s="898" t="n">
        <x:v>69.97</x:v>
      </x:c>
      <x:c r="F1167" s="901" t="n">
        <x:v>2397732</x:v>
      </x:c>
      <x:c r="G1167" s="904" t="n">
        <x:v>1630.11</x:v>
      </x:c>
      <x:c r="H1167" s="904" t="n">
        <x:v>1636.27</x:v>
      </x:c>
      <x:c r="I1167" s="904" t="n">
        <x:v>1586.44</x:v>
      </x:c>
      <x:c r="J1167" s="904" t="n">
        <x:v>1591.17</x:v>
      </x:c>
      <x:c r="K1167" s="901" t="n">
        <x:v>1103087120</x:v>
      </x:c>
      <x:c r="L1167" s="907" t="str">
        <x:v>SRC-P404</x:v>
      </x:c>
      <x:c r="M1167" s="907" t="str">
        <x:v>VNStock API actual</x:v>
      </x:c>
      <x:c r="N1167" s="1032" t="n">
        <x:v>46229.241747685184</x:v>
      </x:c>
    </x:row>
    <x:row r="1168">
      <x:c r="A1168" s="895" t="n">
        <x:v>46105</x:v>
      </x:c>
      <x:c r="B1168" s="898" t="n">
        <x:v>71.91</x:v>
      </x:c>
      <x:c r="C1168" s="898" t="n">
        <x:v>72.59</x:v>
      </x:c>
      <x:c r="D1168" s="898" t="n">
        <x:v>71.14</x:v>
      </x:c>
      <x:c r="E1168" s="898" t="n">
        <x:v>71.82</x:v>
      </x:c>
      <x:c r="F1168" s="901" t="n">
        <x:v>615542</x:v>
      </x:c>
      <x:c r="G1168" s="904" t="n">
        <x:v>1626.34</x:v>
      </x:c>
      <x:c r="H1168" s="904" t="n">
        <x:v>1630.63</x:v>
      </x:c>
      <x:c r="I1168" s="904" t="n">
        <x:v>1602.92</x:v>
      </x:c>
      <x:c r="J1168" s="904" t="n">
        <x:v>1614.77</x:v>
      </x:c>
      <x:c r="K1168" s="901" t="n">
        <x:v>771713376</x:v>
      </x:c>
      <x:c r="L1168" s="907" t="str">
        <x:v>SRC-P404</x:v>
      </x:c>
      <x:c r="M1168" s="907" t="str">
        <x:v>VNStock API actual</x:v>
      </x:c>
      <x:c r="N1168" s="1032" t="n">
        <x:v>46229.241747685184</x:v>
      </x:c>
    </x:row>
    <x:row r="1169">
      <x:c r="A1169" s="895" t="n">
        <x:v>46106</x:v>
      </x:c>
      <x:c r="B1169" s="898" t="n">
        <x:v>72.3</x:v>
      </x:c>
      <x:c r="C1169" s="898" t="n">
        <x:v>75.22</x:v>
      </x:c>
      <x:c r="D1169" s="898" t="n">
        <x:v>72.3</x:v>
      </x:c>
      <x:c r="E1169" s="898" t="n">
        <x:v>75.02</x:v>
      </x:c>
      <x:c r="F1169" s="901" t="n">
        <x:v>1419703</x:v>
      </x:c>
      <x:c r="G1169" s="904" t="n">
        <x:v>1634.15</x:v>
      </x:c>
      <x:c r="H1169" s="904" t="n">
        <x:v>1658.77</x:v>
      </x:c>
      <x:c r="I1169" s="904" t="n">
        <x:v>1629.73</x:v>
      </x:c>
      <x:c r="J1169" s="904" t="n">
        <x:v>1658.19</x:v>
      </x:c>
      <x:c r="K1169" s="901" t="n">
        <x:v>892224038</x:v>
      </x:c>
      <x:c r="L1169" s="907" t="str">
        <x:v>SRC-P404</x:v>
      </x:c>
      <x:c r="M1169" s="907" t="str">
        <x:v>VNStock API actual</x:v>
      </x:c>
      <x:c r="N1169" s="1032" t="n">
        <x:v>46229.241747685184</x:v>
      </x:c>
    </x:row>
    <x:row r="1170">
      <x:c r="A1170" s="895" t="n">
        <x:v>46107</x:v>
      </x:c>
      <x:c r="B1170" s="898" t="n">
        <x:v>75.12</x:v>
      </x:c>
      <x:c r="C1170" s="898" t="n">
        <x:v>75.61</x:v>
      </x:c>
      <x:c r="D1170" s="898" t="n">
        <x:v>71.91</x:v>
      </x:c>
      <x:c r="E1170" s="898" t="n">
        <x:v>75.61</x:v>
      </x:c>
      <x:c r="F1170" s="901" t="n">
        <x:v>2237524</x:v>
      </x:c>
      <x:c r="G1170" s="904" t="n">
        <x:v>1661.53</x:v>
      </x:c>
      <x:c r="H1170" s="904" t="n">
        <x:v>1661.6</x:v>
      </x:c>
      <x:c r="I1170" s="904" t="n">
        <x:v>1634.55</x:v>
      </x:c>
      <x:c r="J1170" s="904" t="n">
        <x:v>1644.63</x:v>
      </x:c>
      <x:c r="K1170" s="901" t="n">
        <x:v>806689659</x:v>
      </x:c>
      <x:c r="L1170" s="907" t="str">
        <x:v>SRC-P404</x:v>
      </x:c>
      <x:c r="M1170" s="907" t="str">
        <x:v>VNStock API actual</x:v>
      </x:c>
      <x:c r="N1170" s="1032" t="n">
        <x:v>46229.241747685184</x:v>
      </x:c>
    </x:row>
    <x:row r="1171">
      <x:c r="A1171" s="895" t="n">
        <x:v>46108</x:v>
      </x:c>
      <x:c r="B1171" s="898" t="n">
        <x:v>75.61</x:v>
      </x:c>
      <x:c r="C1171" s="898" t="n">
        <x:v>76.58</x:v>
      </x:c>
      <x:c r="D1171" s="898" t="n">
        <x:v>74.44</x:v>
      </x:c>
      <x:c r="E1171" s="898" t="n">
        <x:v>76.29</x:v>
      </x:c>
      <x:c r="F1171" s="901" t="n">
        <x:v>2125035</x:v>
      </x:c>
      <x:c r="G1171" s="904" t="n">
        <x:v>1643.89</x:v>
      </x:c>
      <x:c r="H1171" s="904" t="n">
        <x:v>1673.31</x:v>
      </x:c>
      <x:c r="I1171" s="904" t="n">
        <x:v>1640.31</x:v>
      </x:c>
      <x:c r="J1171" s="904" t="n">
        <x:v>1672.8</x:v>
      </x:c>
      <x:c r="K1171" s="901" t="n">
        <x:v>940097294</x:v>
      </x:c>
      <x:c r="L1171" s="907" t="str">
        <x:v>SRC-P404</x:v>
      </x:c>
      <x:c r="M1171" s="907" t="str">
        <x:v>VNStock API actual</x:v>
      </x:c>
      <x:c r="N1171" s="1032" t="n">
        <x:v>46229.241747685184</x:v>
      </x:c>
    </x:row>
    <x:row r="1172">
      <x:c r="A1172" s="895" t="n">
        <x:v>46111</x:v>
      </x:c>
      <x:c r="B1172" s="898" t="n">
        <x:v>75.12</x:v>
      </x:c>
      <x:c r="C1172" s="898" t="n">
        <x:v>77.55</x:v>
      </x:c>
      <x:c r="D1172" s="898" t="n">
        <x:v>74.54</x:v>
      </x:c>
      <x:c r="E1172" s="898" t="n">
        <x:v>76.29</x:v>
      </x:c>
      <x:c r="F1172" s="901" t="n">
        <x:v>1380589</x:v>
      </x:c>
      <x:c r="G1172" s="904" t="n">
        <x:v>1646.08</x:v>
      </x:c>
      <x:c r="H1172" s="904" t="n">
        <x:v>1671.6</x:v>
      </x:c>
      <x:c r="I1172" s="904" t="n">
        <x:v>1637.58</x:v>
      </x:c>
      <x:c r="J1172" s="904" t="n">
        <x:v>1662.54</x:v>
      </x:c>
      <x:c r="K1172" s="901" t="n">
        <x:v>824732178</x:v>
      </x:c>
      <x:c r="L1172" s="907" t="str">
        <x:v>SRC-P404</x:v>
      </x:c>
      <x:c r="M1172" s="907" t="str">
        <x:v>VNStock API actual</x:v>
      </x:c>
      <x:c r="N1172" s="1032" t="n">
        <x:v>46229.241747685184</x:v>
      </x:c>
    </x:row>
    <x:row r="1173">
      <x:c r="A1173" s="895" t="n">
        <x:v>46112</x:v>
      </x:c>
      <x:c r="B1173" s="898" t="n">
        <x:v>76.58</x:v>
      </x:c>
      <x:c r="C1173" s="898" t="n">
        <x:v>78.52</x:v>
      </x:c>
      <x:c r="D1173" s="898" t="n">
        <x:v>75.7</x:v>
      </x:c>
      <x:c r="E1173" s="898" t="n">
        <x:v>77.26</x:v>
      </x:c>
      <x:c r="F1173" s="901" t="n">
        <x:v>1968481</x:v>
      </x:c>
      <x:c r="G1173" s="904" t="n">
        <x:v>1669.57</x:v>
      </x:c>
      <x:c r="H1173" s="904" t="n">
        <x:v>1677.83</x:v>
      </x:c>
      <x:c r="I1173" s="904" t="n">
        <x:v>1663.05</x:v>
      </x:c>
      <x:c r="J1173" s="904" t="n">
        <x:v>1674.49</x:v>
      </x:c>
      <x:c r="K1173" s="901" t="n">
        <x:v>929691249</x:v>
      </x:c>
      <x:c r="L1173" s="907" t="str">
        <x:v>SRC-P404</x:v>
      </x:c>
      <x:c r="M1173" s="907" t="str">
        <x:v>VNStock API actual</x:v>
      </x:c>
      <x:c r="N1173" s="1032" t="n">
        <x:v>46229.241747685184</x:v>
      </x:c>
    </x:row>
    <x:row r="1174">
      <x:c r="A1174" s="895" t="n">
        <x:v>46113</x:v>
      </x:c>
      <x:c r="B1174" s="898" t="n">
        <x:v>78.62</x:v>
      </x:c>
      <x:c r="C1174" s="898" t="n">
        <x:v>78.62</x:v>
      </x:c>
      <x:c r="D1174" s="898" t="n">
        <x:v>74.54</x:v>
      </x:c>
      <x:c r="E1174" s="898" t="n">
        <x:v>75.22</x:v>
      </x:c>
      <x:c r="F1174" s="901" t="n">
        <x:v>2336944</x:v>
      </x:c>
      <x:c r="G1174" s="904" t="n">
        <x:v>1713.92</x:v>
      </x:c>
      <x:c r="H1174" s="904" t="n">
        <x:v>1715.21</x:v>
      </x:c>
      <x:c r="I1174" s="904" t="n">
        <x:v>1700.18</x:v>
      </x:c>
      <x:c r="J1174" s="904" t="n">
        <x:v>1702.93</x:v>
      </x:c>
      <x:c r="K1174" s="901" t="n">
        <x:v>943330209</x:v>
      </x:c>
      <x:c r="L1174" s="907" t="str">
        <x:v>SRC-P404</x:v>
      </x:c>
      <x:c r="M1174" s="907" t="str">
        <x:v>VNStock API actual</x:v>
      </x:c>
      <x:c r="N1174" s="1032" t="n">
        <x:v>46229.241747685184</x:v>
      </x:c>
    </x:row>
    <x:row r="1175">
      <x:c r="A1175" s="895" t="n">
        <x:v>46114</x:v>
      </x:c>
      <x:c r="B1175" s="898" t="n">
        <x:v>73.95</x:v>
      </x:c>
      <x:c r="C1175" s="898" t="n">
        <x:v>74.63</x:v>
      </x:c>
      <x:c r="D1175" s="898" t="n">
        <x:v>69.97</x:v>
      </x:c>
      <x:c r="E1175" s="898" t="n">
        <x:v>71.91</x:v>
      </x:c>
      <x:c r="F1175" s="901" t="n">
        <x:v>4956017</x:v>
      </x:c>
      <x:c r="G1175" s="904" t="n">
        <x:v>1706.15</x:v>
      </x:c>
      <x:c r="H1175" s="904" t="n">
        <x:v>1706.15</x:v>
      </x:c>
      <x:c r="I1175" s="904" t="n">
        <x:v>1684.47</x:v>
      </x:c>
      <x:c r="J1175" s="904" t="n">
        <x:v>1694.82</x:v>
      </x:c>
      <x:c r="K1175" s="901" t="n">
        <x:v>888151216</x:v>
      </x:c>
      <x:c r="L1175" s="907" t="str">
        <x:v>SRC-P404</x:v>
      </x:c>
      <x:c r="M1175" s="907" t="str">
        <x:v>VNStock API actual</x:v>
      </x:c>
      <x:c r="N1175" s="1032" t="n">
        <x:v>46229.241747685184</x:v>
      </x:c>
    </x:row>
    <x:row r="1176">
      <x:c r="A1176" s="895" t="n">
        <x:v>46115</x:v>
      </x:c>
      <x:c r="B1176" s="898" t="n">
        <x:v>71.91</x:v>
      </x:c>
      <x:c r="C1176" s="898" t="n">
        <x:v>71.91</x:v>
      </x:c>
      <x:c r="D1176" s="898" t="n">
        <x:v>67.93</x:v>
      </x:c>
      <x:c r="E1176" s="898" t="n">
        <x:v>68.71</x:v>
      </x:c>
      <x:c r="F1176" s="901" t="n">
        <x:v>3646073</x:v>
      </x:c>
      <x:c r="G1176" s="904" t="n">
        <x:v>1700.14</x:v>
      </x:c>
      <x:c r="H1176" s="904" t="n">
        <x:v>1713.95</x:v>
      </x:c>
      <x:c r="I1176" s="904" t="n">
        <x:v>1679.79</x:v>
      </x:c>
      <x:c r="J1176" s="904" t="n">
        <x:v>1684.04</x:v>
      </x:c>
      <x:c r="K1176" s="901" t="n">
        <x:v>772311754</x:v>
      </x:c>
      <x:c r="L1176" s="907" t="str">
        <x:v>SRC-P404</x:v>
      </x:c>
      <x:c r="M1176" s="907" t="str">
        <x:v>VNStock API actual</x:v>
      </x:c>
      <x:c r="N1176" s="1032" t="n">
        <x:v>46229.241747685184</x:v>
      </x:c>
    </x:row>
    <x:row r="1177">
      <x:c r="A1177" s="895" t="n">
        <x:v>46118</x:v>
      </x:c>
      <x:c r="B1177" s="898" t="n">
        <x:v>68.9</x:v>
      </x:c>
      <x:c r="C1177" s="898" t="n">
        <x:v>69.87</x:v>
      </x:c>
      <x:c r="D1177" s="898" t="n">
        <x:v>68.41</x:v>
      </x:c>
      <x:c r="E1177" s="898" t="n">
        <x:v>69.19</x:v>
      </x:c>
      <x:c r="F1177" s="901" t="n">
        <x:v>1232773</x:v>
      </x:c>
      <x:c r="G1177" s="904" t="n">
        <x:v>1682.09</x:v>
      </x:c>
      <x:c r="H1177" s="904" t="n">
        <x:v>1693.03</x:v>
      </x:c>
      <x:c r="I1177" s="904" t="n">
        <x:v>1669.31</x:v>
      </x:c>
      <x:c r="J1177" s="904" t="n">
        <x:v>1674.99</x:v>
      </x:c>
      <x:c r="K1177" s="901" t="n">
        <x:v>667956408</x:v>
      </x:c>
      <x:c r="L1177" s="907" t="str">
        <x:v>SRC-P404</x:v>
      </x:c>
      <x:c r="M1177" s="907" t="str">
        <x:v>VNStock API actual</x:v>
      </x:c>
      <x:c r="N1177" s="1032" t="n">
        <x:v>46229.241747685184</x:v>
      </x:c>
    </x:row>
    <x:row r="1178">
      <x:c r="A1178" s="895" t="n">
        <x:v>46119</x:v>
      </x:c>
      <x:c r="B1178" s="898" t="n">
        <x:v>69.48</x:v>
      </x:c>
      <x:c r="C1178" s="898" t="n">
        <x:v>70.46</x:v>
      </x:c>
      <x:c r="D1178" s="898" t="n">
        <x:v>68.22</x:v>
      </x:c>
      <x:c r="E1178" s="898" t="n">
        <x:v>69.87</x:v>
      </x:c>
      <x:c r="F1178" s="901" t="n">
        <x:v>1311361</x:v>
      </x:c>
      <x:c r="G1178" s="904" t="n">
        <x:v>1677.99</x:v>
      </x:c>
      <x:c r="H1178" s="904" t="n">
        <x:v>1690.31</x:v>
      </x:c>
      <x:c r="I1178" s="904" t="n">
        <x:v>1665.36</x:v>
      </x:c>
      <x:c r="J1178" s="904" t="n">
        <x:v>1677.54</x:v>
      </x:c>
      <x:c r="K1178" s="901" t="n">
        <x:v>612450752</x:v>
      </x:c>
      <x:c r="L1178" s="907" t="str">
        <x:v>SRC-P404</x:v>
      </x:c>
      <x:c r="M1178" s="907" t="str">
        <x:v>VNStock API actual</x:v>
      </x:c>
      <x:c r="N1178" s="1032" t="n">
        <x:v>46229.241747685184</x:v>
      </x:c>
    </x:row>
    <x:row r="1179">
      <x:c r="A1179" s="895" t="n">
        <x:v>46120</x:v>
      </x:c>
      <x:c r="B1179" s="898" t="n">
        <x:v>71.23</x:v>
      </x:c>
      <x:c r="C1179" s="898" t="n">
        <x:v>72.98</x:v>
      </x:c>
      <x:c r="D1179" s="898" t="n">
        <x:v>70.65</x:v>
      </x:c>
      <x:c r="E1179" s="898" t="n">
        <x:v>72.4</x:v>
      </x:c>
      <x:c r="F1179" s="901" t="n">
        <x:v>2960665</x:v>
      </x:c>
      <x:c r="G1179" s="904" t="n">
        <x:v>1706.59</x:v>
      </x:c>
      <x:c r="H1179" s="904" t="n">
        <x:v>1756.55</x:v>
      </x:c>
      <x:c r="I1179" s="904" t="n">
        <x:v>1706.59</x:v>
      </x:c>
      <x:c r="J1179" s="904" t="n">
        <x:v>1756.55</x:v>
      </x:c>
      <x:c r="K1179" s="901" t="n">
        <x:v>1256696748</x:v>
      </x:c>
      <x:c r="L1179" s="907" t="str">
        <x:v>SRC-P404</x:v>
      </x:c>
      <x:c r="M1179" s="907" t="str">
        <x:v>VNStock API actual</x:v>
      </x:c>
      <x:c r="N1179" s="1032" t="n">
        <x:v>46229.241747685184</x:v>
      </x:c>
    </x:row>
    <x:row r="1180">
      <x:c r="A1180" s="895" t="n">
        <x:v>46121</x:v>
      </x:c>
      <x:c r="B1180" s="898" t="n">
        <x:v>72.2</x:v>
      </x:c>
      <x:c r="C1180" s="898" t="n">
        <x:v>72.3</x:v>
      </x:c>
      <x:c r="D1180" s="898" t="n">
        <x:v>71.14</x:v>
      </x:c>
      <x:c r="E1180" s="898" t="n">
        <x:v>71.52</x:v>
      </x:c>
      <x:c r="F1180" s="901" t="n">
        <x:v>692621</x:v>
      </x:c>
      <x:c r="G1180" s="904" t="n">
        <x:v>1750.88</x:v>
      </x:c>
      <x:c r="H1180" s="904" t="n">
        <x:v>1754.77</x:v>
      </x:c>
      <x:c r="I1180" s="904" t="n">
        <x:v>1736.3</x:v>
      </x:c>
      <x:c r="J1180" s="904" t="n">
        <x:v>1736.68</x:v>
      </x:c>
      <x:c r="K1180" s="901" t="n">
        <x:v>1063878313</x:v>
      </x:c>
      <x:c r="L1180" s="907" t="str">
        <x:v>SRC-P404</x:v>
      </x:c>
      <x:c r="M1180" s="907" t="str">
        <x:v>VNStock API actual</x:v>
      </x:c>
      <x:c r="N1180" s="1032" t="n">
        <x:v>46229.241747685184</x:v>
      </x:c>
    </x:row>
    <x:row r="1181">
      <x:c r="A1181" s="895" t="n">
        <x:v>46122</x:v>
      </x:c>
      <x:c r="B1181" s="898" t="n">
        <x:v>71.62</x:v>
      </x:c>
      <x:c r="C1181" s="898" t="n">
        <x:v>72.2</x:v>
      </x:c>
      <x:c r="D1181" s="898" t="n">
        <x:v>70.55</x:v>
      </x:c>
      <x:c r="E1181" s="898" t="n">
        <x:v>70.55</x:v>
      </x:c>
      <x:c r="F1181" s="901" t="n">
        <x:v>855922</x:v>
      </x:c>
      <x:c r="G1181" s="904" t="n">
        <x:v>1750.86</x:v>
      </x:c>
      <x:c r="H1181" s="904" t="n">
        <x:v>1762.84</x:v>
      </x:c>
      <x:c r="I1181" s="904" t="n">
        <x:v>1747.08</x:v>
      </x:c>
      <x:c r="J1181" s="904" t="n">
        <x:v>1750</x:v>
      </x:c>
      <x:c r="K1181" s="901" t="n">
        <x:v>961774684</x:v>
      </x:c>
      <x:c r="L1181" s="907" t="str">
        <x:v>SRC-P404</x:v>
      </x:c>
      <x:c r="M1181" s="907" t="str">
        <x:v>VNStock API actual</x:v>
      </x:c>
      <x:c r="N1181" s="1032" t="n">
        <x:v>46229.241747685184</x:v>
      </x:c>
    </x:row>
    <x:row r="1182">
      <x:c r="A1182" s="895" t="n">
        <x:v>46125</x:v>
      </x:c>
      <x:c r="B1182" s="898" t="n">
        <x:v>69.48</x:v>
      </x:c>
      <x:c r="C1182" s="898" t="n">
        <x:v>71.72</x:v>
      </x:c>
      <x:c r="D1182" s="898" t="n">
        <x:v>69</x:v>
      </x:c>
      <x:c r="E1182" s="898" t="n">
        <x:v>71.23</x:v>
      </x:c>
      <x:c r="F1182" s="901" t="n">
        <x:v>1239402</x:v>
      </x:c>
      <x:c r="G1182" s="904" t="n">
        <x:v>1738.57</x:v>
      </x:c>
      <x:c r="H1182" s="904" t="n">
        <x:v>1765.67</x:v>
      </x:c>
      <x:c r="I1182" s="904" t="n">
        <x:v>1733.18</x:v>
      </x:c>
      <x:c r="J1182" s="904" t="n">
        <x:v>1758.96</x:v>
      </x:c>
      <x:c r="K1182" s="901" t="n">
        <x:v>880376868</x:v>
      </x:c>
      <x:c r="L1182" s="907" t="str">
        <x:v>SRC-P404</x:v>
      </x:c>
      <x:c r="M1182" s="907" t="str">
        <x:v>VNStock API actual</x:v>
      </x:c>
      <x:c r="N1182" s="1032" t="n">
        <x:v>46229.241747685184</x:v>
      </x:c>
    </x:row>
    <x:row r="1183">
      <x:c r="A1183" s="895" t="n">
        <x:v>46126</x:v>
      </x:c>
      <x:c r="B1183" s="898" t="n">
        <x:v>71.33</x:v>
      </x:c>
      <x:c r="C1183" s="898" t="n">
        <x:v>73.27</x:v>
      </x:c>
      <x:c r="D1183" s="898" t="n">
        <x:v>71.33</x:v>
      </x:c>
      <x:c r="E1183" s="898" t="n">
        <x:v>72.3</x:v>
      </x:c>
      <x:c r="F1183" s="901" t="n">
        <x:v>1979646</x:v>
      </x:c>
      <x:c r="G1183" s="904" t="n">
        <x:v>1775.41</x:v>
      </x:c>
      <x:c r="H1183" s="904" t="n">
        <x:v>1784.43</x:v>
      </x:c>
      <x:c r="I1183" s="904" t="n">
        <x:v>1765.52</x:v>
      </x:c>
      <x:c r="J1183" s="904" t="n">
        <x:v>1775.65</x:v>
      </x:c>
      <x:c r="K1183" s="901" t="n">
        <x:v>889353867</x:v>
      </x:c>
      <x:c r="L1183" s="907" t="str">
        <x:v>SRC-P404</x:v>
      </x:c>
      <x:c r="M1183" s="907" t="str">
        <x:v>VNStock API actual</x:v>
      </x:c>
      <x:c r="N1183" s="1032" t="n">
        <x:v>46229.241747685184</x:v>
      </x:c>
    </x:row>
    <x:row r="1184">
      <x:c r="A1184" s="895" t="n">
        <x:v>46127</x:v>
      </x:c>
      <x:c r="B1184" s="898" t="n">
        <x:v>72.89</x:v>
      </x:c>
      <x:c r="C1184" s="898" t="n">
        <x:v>73.08</x:v>
      </x:c>
      <x:c r="D1184" s="898" t="n">
        <x:v>71.72</x:v>
      </x:c>
      <x:c r="E1184" s="898" t="n">
        <x:v>72.2</x:v>
      </x:c>
      <x:c r="F1184" s="901" t="n">
        <x:v>1077061</x:v>
      </x:c>
      <x:c r="G1184" s="904" t="n">
        <x:v>1787.37</x:v>
      </x:c>
      <x:c r="H1184" s="904" t="n">
        <x:v>1801.89</x:v>
      </x:c>
      <x:c r="I1184" s="904" t="n">
        <x:v>1786.65</x:v>
      </x:c>
      <x:c r="J1184" s="904" t="n">
        <x:v>1800.65</x:v>
      </x:c>
      <x:c r="K1184" s="901" t="n">
        <x:v>948695415</x:v>
      </x:c>
      <x:c r="L1184" s="907" t="str">
        <x:v>SRC-P404</x:v>
      </x:c>
      <x:c r="M1184" s="907" t="str">
        <x:v>VNStock API actual</x:v>
      </x:c>
      <x:c r="N1184" s="1032" t="n">
        <x:v>46229.241747685184</x:v>
      </x:c>
    </x:row>
    <x:row r="1185">
      <x:c r="A1185" s="895" t="n">
        <x:v>46128</x:v>
      </x:c>
      <x:c r="B1185" s="898" t="n">
        <x:v>72.11</x:v>
      </x:c>
      <x:c r="C1185" s="898" t="n">
        <x:v>72.98</x:v>
      </x:c>
      <x:c r="D1185" s="898" t="n">
        <x:v>71.43</x:v>
      </x:c>
      <x:c r="E1185" s="898" t="n">
        <x:v>71.52</x:v>
      </x:c>
      <x:c r="F1185" s="901" t="n">
        <x:v>1376528</x:v>
      </x:c>
      <x:c r="G1185" s="904" t="n">
        <x:v>1806.2</x:v>
      </x:c>
      <x:c r="H1185" s="904" t="n">
        <x:v>1824.03</x:v>
      </x:c>
      <x:c r="I1185" s="904" t="n">
        <x:v>1799.18</x:v>
      </x:c>
      <x:c r="J1185" s="904" t="n">
        <x:v>1819.83</x:v>
      </x:c>
      <x:c r="K1185" s="901" t="n">
        <x:v>1000724970</x:v>
      </x:c>
      <x:c r="L1185" s="907" t="str">
        <x:v>SRC-P404</x:v>
      </x:c>
      <x:c r="M1185" s="907" t="str">
        <x:v>VNStock API actual</x:v>
      </x:c>
      <x:c r="N1185" s="1032" t="n">
        <x:v>46229.241747685184</x:v>
      </x:c>
    </x:row>
    <x:row r="1186">
      <x:c r="A1186" s="895" t="n">
        <x:v>46129</x:v>
      </x:c>
      <x:c r="B1186" s="898" t="n">
        <x:v>72.5</x:v>
      </x:c>
      <x:c r="C1186" s="898" t="n">
        <x:v>73.86</x:v>
      </x:c>
      <x:c r="D1186" s="898" t="n">
        <x:v>72.11</x:v>
      </x:c>
      <x:c r="E1186" s="898" t="n">
        <x:v>72.5</x:v>
      </x:c>
      <x:c r="F1186" s="901" t="n">
        <x:v>1523319</x:v>
      </x:c>
      <x:c r="G1186" s="904" t="n">
        <x:v>1832.33</x:v>
      </x:c>
      <x:c r="H1186" s="904" t="n">
        <x:v>1846.19</x:v>
      </x:c>
      <x:c r="I1186" s="904" t="n">
        <x:v>1814.47</x:v>
      </x:c>
      <x:c r="J1186" s="904" t="n">
        <x:v>1817.17</x:v>
      </x:c>
      <x:c r="K1186" s="901" t="n">
        <x:v>742281201</x:v>
      </x:c>
      <x:c r="L1186" s="907" t="str">
        <x:v>SRC-P404</x:v>
      </x:c>
      <x:c r="M1186" s="907" t="str">
        <x:v>VNStock API actual</x:v>
      </x:c>
      <x:c r="N1186" s="1032" t="n">
        <x:v>46229.241747685184</x:v>
      </x:c>
    </x:row>
    <x:row r="1187">
      <x:c r="A1187" s="895" t="n">
        <x:v>46132</x:v>
      </x:c>
      <x:c r="B1187" s="898" t="n">
        <x:v>72.89</x:v>
      </x:c>
      <x:c r="C1187" s="898" t="n">
        <x:v>73.57</x:v>
      </x:c>
      <x:c r="D1187" s="898" t="n">
        <x:v>71.91</x:v>
      </x:c>
      <x:c r="E1187" s="898" t="n">
        <x:v>72.11</x:v>
      </x:c>
      <x:c r="F1187" s="901" t="n">
        <x:v>694408</x:v>
      </x:c>
      <x:c r="G1187" s="904" t="n">
        <x:v>1819.03</x:v>
      </x:c>
      <x:c r="H1187" s="904" t="n">
        <x:v>1838.74</x:v>
      </x:c>
      <x:c r="I1187" s="904" t="n">
        <x:v>1802.42</x:v>
      </x:c>
      <x:c r="J1187" s="904" t="n">
        <x:v>1837.11</x:v>
      </x:c>
      <x:c r="K1187" s="901" t="n">
        <x:v>690090096</x:v>
      </x:c>
      <x:c r="L1187" s="907" t="str">
        <x:v>SRC-P404</x:v>
      </x:c>
      <x:c r="M1187" s="907" t="str">
        <x:v>VNStock API actual</x:v>
      </x:c>
      <x:c r="N1187" s="1032" t="n">
        <x:v>46229.241747685184</x:v>
      </x:c>
    </x:row>
    <x:row r="1188">
      <x:c r="A1188" s="895" t="n">
        <x:v>46133</x:v>
      </x:c>
      <x:c r="B1188" s="898" t="n">
        <x:v>72.69</x:v>
      </x:c>
      <x:c r="C1188" s="898" t="n">
        <x:v>73.18</x:v>
      </x:c>
      <x:c r="D1188" s="898" t="n">
        <x:v>71.82</x:v>
      </x:c>
      <x:c r="E1188" s="898" t="n">
        <x:v>71.91</x:v>
      </x:c>
      <x:c r="F1188" s="901" t="n">
        <x:v>771046</x:v>
      </x:c>
      <x:c r="G1188" s="904" t="n">
        <x:v>1851.84</x:v>
      </x:c>
      <x:c r="H1188" s="904" t="n">
        <x:v>1866.1</x:v>
      </x:c>
      <x:c r="I1188" s="904" t="n">
        <x:v>1833.48</x:v>
      </x:c>
      <x:c r="J1188" s="904" t="n">
        <x:v>1833.48</x:v>
      </x:c>
      <x:c r="K1188" s="901" t="n">
        <x:v>866640210</x:v>
      </x:c>
      <x:c r="L1188" s="907" t="str">
        <x:v>SRC-P404</x:v>
      </x:c>
      <x:c r="M1188" s="907" t="str">
        <x:v>VNStock API actual</x:v>
      </x:c>
      <x:c r="N1188" s="1032" t="n">
        <x:v>46229.241747685184</x:v>
      </x:c>
    </x:row>
    <x:row r="1189">
      <x:c r="A1189" s="895" t="n">
        <x:v>46134</x:v>
      </x:c>
      <x:c r="B1189" s="898" t="n">
        <x:v>72.01</x:v>
      </x:c>
      <x:c r="C1189" s="898" t="n">
        <x:v>72.2</x:v>
      </x:c>
      <x:c r="D1189" s="898" t="n">
        <x:v>71.14</x:v>
      </x:c>
      <x:c r="E1189" s="898" t="n">
        <x:v>71.43</x:v>
      </x:c>
      <x:c r="F1189" s="901" t="n">
        <x:v>891305</x:v>
      </x:c>
      <x:c r="G1189" s="904" t="n">
        <x:v>1834.53</x:v>
      </x:c>
      <x:c r="H1189" s="904" t="n">
        <x:v>1861.34</x:v>
      </x:c>
      <x:c r="I1189" s="904" t="n">
        <x:v>1819.21</x:v>
      </x:c>
      <x:c r="J1189" s="904" t="n">
        <x:v>1857.3</x:v>
      </x:c>
      <x:c r="K1189" s="901" t="n">
        <x:v>708137323</x:v>
      </x:c>
      <x:c r="L1189" s="907" t="str">
        <x:v>SRC-P404</x:v>
      </x:c>
      <x:c r="M1189" s="907" t="str">
        <x:v>VNStock API actual</x:v>
      </x:c>
      <x:c r="N1189" s="1032" t="n">
        <x:v>46229.241747685184</x:v>
      </x:c>
    </x:row>
    <x:row r="1190">
      <x:c r="A1190" s="895" t="n">
        <x:v>46135</x:v>
      </x:c>
      <x:c r="B1190" s="898" t="n">
        <x:v>71.62</x:v>
      </x:c>
      <x:c r="C1190" s="898" t="n">
        <x:v>73.37</x:v>
      </x:c>
      <x:c r="D1190" s="898" t="n">
        <x:v>71.43</x:v>
      </x:c>
      <x:c r="E1190" s="898" t="n">
        <x:v>72.11</x:v>
      </x:c>
      <x:c r="F1190" s="901" t="n">
        <x:v>1369288</x:v>
      </x:c>
      <x:c r="G1190" s="904" t="n">
        <x:v>1868.31</x:v>
      </x:c>
      <x:c r="H1190" s="904" t="n">
        <x:v>1888.99</x:v>
      </x:c>
      <x:c r="I1190" s="904" t="n">
        <x:v>1855.09</x:v>
      </x:c>
      <x:c r="J1190" s="904" t="n">
        <x:v>1870.36</x:v>
      </x:c>
      <x:c r="K1190" s="901" t="n">
        <x:v>1030969130</x:v>
      </x:c>
      <x:c r="L1190" s="907" t="str">
        <x:v>SRC-P404</x:v>
      </x:c>
      <x:c r="M1190" s="907" t="str">
        <x:v>VNStock API actual</x:v>
      </x:c>
      <x:c r="N1190" s="1032" t="n">
        <x:v>46229.241747685184</x:v>
      </x:c>
    </x:row>
    <x:row r="1191">
      <x:c r="A1191" s="895" t="n">
        <x:v>46136</x:v>
      </x:c>
      <x:c r="B1191" s="898" t="n">
        <x:v>72.11</x:v>
      </x:c>
      <x:c r="C1191" s="898" t="n">
        <x:v>73.47</x:v>
      </x:c>
      <x:c r="D1191" s="898" t="n">
        <x:v>72.11</x:v>
      </x:c>
      <x:c r="E1191" s="898" t="n">
        <x:v>72.89</x:v>
      </x:c>
      <x:c r="F1191" s="901" t="n">
        <x:v>2248129</x:v>
      </x:c>
      <x:c r="G1191" s="904" t="n">
        <x:v>1873.23</x:v>
      </x:c>
      <x:c r="H1191" s="904" t="n">
        <x:v>1881.93</x:v>
      </x:c>
      <x:c r="I1191" s="904" t="n">
        <x:v>1843.63</x:v>
      </x:c>
      <x:c r="J1191" s="904" t="n">
        <x:v>1853.29</x:v>
      </x:c>
      <x:c r="K1191" s="901" t="n">
        <x:v>673852010</x:v>
      </x:c>
      <x:c r="L1191" s="907" t="str">
        <x:v>SRC-P404</x:v>
      </x:c>
      <x:c r="M1191" s="907" t="str">
        <x:v>VNStock API actual</x:v>
      </x:c>
      <x:c r="N1191" s="1032" t="n">
        <x:v>46229.241747685184</x:v>
      </x:c>
    </x:row>
    <x:row r="1192">
      <x:c r="A1192" s="895" t="n">
        <x:v>46140</x:v>
      </x:c>
      <x:c r="B1192" s="898" t="n">
        <x:v>73.47</x:v>
      </x:c>
      <x:c r="C1192" s="898" t="n">
        <x:v>73.47</x:v>
      </x:c>
      <x:c r="D1192" s="898" t="n">
        <x:v>72.3</x:v>
      </x:c>
      <x:c r="E1192" s="898" t="n">
        <x:v>72.89</x:v>
      </x:c>
      <x:c r="F1192" s="901" t="n">
        <x:v>795383</x:v>
      </x:c>
      <x:c r="G1192" s="904" t="n">
        <x:v>1850.07</x:v>
      </x:c>
      <x:c r="H1192" s="904" t="n">
        <x:v>1887.69</x:v>
      </x:c>
      <x:c r="I1192" s="904" t="n">
        <x:v>1848.98</x:v>
      </x:c>
      <x:c r="J1192" s="904" t="n">
        <x:v>1875.84</x:v>
      </x:c>
      <x:c r="K1192" s="901" t="n">
        <x:v>629723569</x:v>
      </x:c>
      <x:c r="L1192" s="907" t="str">
        <x:v>SRC-P404</x:v>
      </x:c>
      <x:c r="M1192" s="907" t="str">
        <x:v>VNStock API actual</x:v>
      </x:c>
      <x:c r="N1192" s="1032" t="n">
        <x:v>46229.241747685184</x:v>
      </x:c>
    </x:row>
    <x:row r="1193">
      <x:c r="A1193" s="895" t="n">
        <x:v>46141</x:v>
      </x:c>
      <x:c r="B1193" s="898" t="n">
        <x:v>72.79</x:v>
      </x:c>
      <x:c r="C1193" s="898" t="n">
        <x:v>73.66</x:v>
      </x:c>
      <x:c r="D1193" s="898" t="n">
        <x:v>72.4</x:v>
      </x:c>
      <x:c r="E1193" s="898" t="n">
        <x:v>73.18</x:v>
      </x:c>
      <x:c r="F1193" s="901" t="n">
        <x:v>822610</x:v>
      </x:c>
      <x:c r="G1193" s="904" t="n">
        <x:v>1878.96</x:v>
      </x:c>
      <x:c r="H1193" s="904" t="n">
        <x:v>1881.18</x:v>
      </x:c>
      <x:c r="I1193" s="904" t="n">
        <x:v>1840.58</x:v>
      </x:c>
      <x:c r="J1193" s="904" t="n">
        <x:v>1854.1</x:v>
      </x:c>
      <x:c r="K1193" s="901" t="n">
        <x:v>722302348</x:v>
      </x:c>
      <x:c r="L1193" s="907" t="str">
        <x:v>SRC-P404</x:v>
      </x:c>
      <x:c r="M1193" s="907" t="str">
        <x:v>VNStock API actual</x:v>
      </x:c>
      <x:c r="N1193" s="1032" t="n">
        <x:v>46229.241747685184</x:v>
      </x:c>
    </x:row>
    <x:row r="1194">
      <x:c r="A1194" s="895" t="n">
        <x:v>46146</x:v>
      </x:c>
      <x:c r="B1194" s="898" t="n">
        <x:v>73.66</x:v>
      </x:c>
      <x:c r="C1194" s="898" t="n">
        <x:v>73.66</x:v>
      </x:c>
      <x:c r="D1194" s="898" t="n">
        <x:v>72.4</x:v>
      </x:c>
      <x:c r="E1194" s="898" t="n">
        <x:v>72.98</x:v>
      </x:c>
      <x:c r="F1194" s="901" t="n">
        <x:v>709312</x:v>
      </x:c>
      <x:c r="G1194" s="904" t="n">
        <x:v>1870.66</x:v>
      </x:c>
      <x:c r="H1194" s="904" t="n">
        <x:v>1876.8</x:v>
      </x:c>
      <x:c r="I1194" s="904" t="n">
        <x:v>1840.43</x:v>
      </x:c>
      <x:c r="J1194" s="904" t="n">
        <x:v>1854.06</x:v>
      </x:c>
      <x:c r="K1194" s="901" t="n">
        <x:v>692675996</x:v>
      </x:c>
      <x:c r="L1194" s="907" t="str">
        <x:v>SRC-P404</x:v>
      </x:c>
      <x:c r="M1194" s="907" t="str">
        <x:v>VNStock API actual</x:v>
      </x:c>
      <x:c r="N1194" s="1032" t="n">
        <x:v>46229.241747685184</x:v>
      </x:c>
    </x:row>
    <x:row r="1195">
      <x:c r="A1195" s="895" t="n">
        <x:v>46147</x:v>
      </x:c>
      <x:c r="B1195" s="898" t="n">
        <x:v>73.18</x:v>
      </x:c>
      <x:c r="C1195" s="898" t="n">
        <x:v>75.61</x:v>
      </x:c>
      <x:c r="D1195" s="898" t="n">
        <x:v>72.98</x:v>
      </x:c>
      <x:c r="E1195" s="898" t="n">
        <x:v>75.41</x:v>
      </x:c>
      <x:c r="F1195" s="901" t="n">
        <x:v>2693422</x:v>
      </x:c>
      <x:c r="G1195" s="904" t="n">
        <x:v>1853.08</x:v>
      </x:c>
      <x:c r="H1195" s="904" t="n">
        <x:v>1875.97</x:v>
      </x:c>
      <x:c r="I1195" s="904" t="n">
        <x:v>1849.32</x:v>
      </x:c>
      <x:c r="J1195" s="904" t="n">
        <x:v>1874.85</x:v>
      </x:c>
      <x:c r="K1195" s="901" t="n">
        <x:v>773453598</x:v>
      </x:c>
      <x:c r="L1195" s="907" t="str">
        <x:v>SRC-P404</x:v>
      </x:c>
      <x:c r="M1195" s="907" t="str">
        <x:v>VNStock API actual</x:v>
      </x:c>
      <x:c r="N1195" s="1032" t="n">
        <x:v>46229.241747685184</x:v>
      </x:c>
    </x:row>
    <x:row r="1196">
      <x:c r="A1196" s="895" t="n">
        <x:v>46148</x:v>
      </x:c>
      <x:c r="B1196" s="898" t="n">
        <x:v>75.51</x:v>
      </x:c>
      <x:c r="C1196" s="898" t="n">
        <x:v>76.29</x:v>
      </x:c>
      <x:c r="D1196" s="898" t="n">
        <x:v>75.22</x:v>
      </x:c>
      <x:c r="E1196" s="898" t="n">
        <x:v>76.19</x:v>
      </x:c>
      <x:c r="F1196" s="901" t="n">
        <x:v>1061487</x:v>
      </x:c>
      <x:c r="G1196" s="904" t="n">
        <x:v>1881.22</x:v>
      </x:c>
      <x:c r="H1196" s="904" t="n">
        <x:v>1892</x:v>
      </x:c>
      <x:c r="I1196" s="904" t="n">
        <x:v>1868.92</x:v>
      </x:c>
      <x:c r="J1196" s="904" t="n">
        <x:v>1891.2</x:v>
      </x:c>
      <x:c r="K1196" s="901" t="n">
        <x:v>875178670</x:v>
      </x:c>
      <x:c r="L1196" s="907" t="str">
        <x:v>SRC-P404</x:v>
      </x:c>
      <x:c r="M1196" s="907" t="str">
        <x:v>VNStock API actual</x:v>
      </x:c>
      <x:c r="N1196" s="1032" t="n">
        <x:v>46229.241747685184</x:v>
      </x:c>
    </x:row>
    <x:row r="1197">
      <x:c r="A1197" s="895" t="n">
        <x:v>46149</x:v>
      </x:c>
      <x:c r="B1197" s="898" t="n">
        <x:v>77.06</x:v>
      </x:c>
      <x:c r="C1197" s="898" t="n">
        <x:v>78.33</x:v>
      </x:c>
      <x:c r="D1197" s="898" t="n">
        <x:v>76.29</x:v>
      </x:c>
      <x:c r="E1197" s="898" t="n">
        <x:v>77.26</x:v>
      </x:c>
      <x:c r="F1197" s="901" t="n">
        <x:v>2652674</x:v>
      </x:c>
      <x:c r="G1197" s="904" t="n">
        <x:v>1897.44</x:v>
      </x:c>
      <x:c r="H1197" s="904" t="n">
        <x:v>1924.95</x:v>
      </x:c>
      <x:c r="I1197" s="904" t="n">
        <x:v>1896.45</x:v>
      </x:c>
      <x:c r="J1197" s="904" t="n">
        <x:v>1909.01</x:v>
      </x:c>
      <x:c r="K1197" s="901" t="n">
        <x:v>961003323</x:v>
      </x:c>
      <x:c r="L1197" s="907" t="str">
        <x:v>SRC-P404</x:v>
      </x:c>
      <x:c r="M1197" s="907" t="str">
        <x:v>VNStock API actual</x:v>
      </x:c>
      <x:c r="N1197" s="1032" t="n">
        <x:v>46229.241747685184</x:v>
      </x:c>
    </x:row>
    <x:row r="1198">
      <x:c r="A1198" s="895" t="n">
        <x:v>46150</x:v>
      </x:c>
      <x:c r="B1198" s="898" t="n">
        <x:v>77.45</x:v>
      </x:c>
      <x:c r="C1198" s="898" t="n">
        <x:v>78.72</x:v>
      </x:c>
      <x:c r="D1198" s="898" t="n">
        <x:v>76.38</x:v>
      </x:c>
      <x:c r="E1198" s="898" t="n">
        <x:v>78.42</x:v>
      </x:c>
      <x:c r="F1198" s="901" t="n">
        <x:v>1918359</x:v>
      </x:c>
      <x:c r="G1198" s="904" t="n">
        <x:v>1911.15</x:v>
      </x:c>
      <x:c r="H1198" s="904" t="n">
        <x:v>1921.81</x:v>
      </x:c>
      <x:c r="I1198" s="904" t="n">
        <x:v>1897.06</x:v>
      </x:c>
      <x:c r="J1198" s="904" t="n">
        <x:v>1915.37</x:v>
      </x:c>
      <x:c r="K1198" s="901" t="n">
        <x:v>944197112</x:v>
      </x:c>
      <x:c r="L1198" s="907" t="str">
        <x:v>SRC-P404</x:v>
      </x:c>
      <x:c r="M1198" s="907" t="str">
        <x:v>VNStock API actual</x:v>
      </x:c>
      <x:c r="N1198" s="1032" t="n">
        <x:v>46229.241747685184</x:v>
      </x:c>
    </x:row>
    <x:row r="1199">
      <x:c r="A1199" s="895" t="n">
        <x:v>46153</x:v>
      </x:c>
      <x:c r="B1199" s="898" t="n">
        <x:v>78.72</x:v>
      </x:c>
      <x:c r="C1199" s="898" t="n">
        <x:v>78.72</x:v>
      </x:c>
      <x:c r="D1199" s="898" t="n">
        <x:v>77.36</x:v>
      </x:c>
      <x:c r="E1199" s="898" t="n">
        <x:v>77.45</x:v>
      </x:c>
      <x:c r="F1199" s="901" t="n">
        <x:v>1716781</x:v>
      </x:c>
      <x:c r="G1199" s="904" t="n">
        <x:v>1918.93</x:v>
      </x:c>
      <x:c r="H1199" s="904" t="n">
        <x:v>1927.06</x:v>
      </x:c>
      <x:c r="I1199" s="904" t="n">
        <x:v>1892.1</x:v>
      </x:c>
      <x:c r="J1199" s="904" t="n">
        <x:v>1895.5</x:v>
      </x:c>
      <x:c r="K1199" s="901" t="n">
        <x:v>960671699</x:v>
      </x:c>
      <x:c r="L1199" s="907" t="str">
        <x:v>SRC-P404</x:v>
      </x:c>
      <x:c r="M1199" s="907" t="str">
        <x:v>VNStock API actual</x:v>
      </x:c>
      <x:c r="N1199" s="1032" t="n">
        <x:v>46229.241747685184</x:v>
      </x:c>
    </x:row>
    <x:row r="1200">
      <x:c r="A1200" s="895" t="n">
        <x:v>46154</x:v>
      </x:c>
      <x:c r="B1200" s="898" t="n">
        <x:v>77.36</x:v>
      </x:c>
      <x:c r="C1200" s="898" t="n">
        <x:v>79.69</x:v>
      </x:c>
      <x:c r="D1200" s="898" t="n">
        <x:v>76.97</x:v>
      </x:c>
      <x:c r="E1200" s="898" t="n">
        <x:v>79.3</x:v>
      </x:c>
      <x:c r="F1200" s="901" t="n">
        <x:v>1795331</x:v>
      </x:c>
      <x:c r="G1200" s="904" t="n">
        <x:v>1893.2</x:v>
      </x:c>
      <x:c r="H1200" s="904" t="n">
        <x:v>1906.64</x:v>
      </x:c>
      <x:c r="I1200" s="904" t="n">
        <x:v>1871.44</x:v>
      </x:c>
      <x:c r="J1200" s="904" t="n">
        <x:v>1901.1</x:v>
      </x:c>
      <x:c r="K1200" s="901" t="n">
        <x:v>733300648</x:v>
      </x:c>
      <x:c r="L1200" s="907" t="str">
        <x:v>SRC-P404</x:v>
      </x:c>
      <x:c r="M1200" s="907" t="str">
        <x:v>VNStock API actual</x:v>
      </x:c>
      <x:c r="N1200" s="1032" t="n">
        <x:v>46229.241747685184</x:v>
      </x:c>
    </x:row>
    <x:row r="1201">
      <x:c r="A1201" s="895" t="n">
        <x:v>46155</x:v>
      </x:c>
      <x:c r="B1201" s="898" t="n">
        <x:v>79.3</x:v>
      </x:c>
      <x:c r="C1201" s="898" t="n">
        <x:v>80.17</x:v>
      </x:c>
      <x:c r="D1201" s="898" t="n">
        <x:v>78.72</x:v>
      </x:c>
      <x:c r="E1201" s="898" t="n">
        <x:v>79.3</x:v>
      </x:c>
      <x:c r="F1201" s="901" t="n">
        <x:v>1527481</x:v>
      </x:c>
      <x:c r="G1201" s="904" t="n">
        <x:v>1908.77</x:v>
      </x:c>
      <x:c r="H1201" s="904" t="n">
        <x:v>1908.77</x:v>
      </x:c>
      <x:c r="I1201" s="904" t="n">
        <x:v>1865.12</x:v>
      </x:c>
      <x:c r="J1201" s="904" t="n">
        <x:v>1898.37</x:v>
      </x:c>
      <x:c r="K1201" s="901" t="n">
        <x:v>972787205</x:v>
      </x:c>
      <x:c r="L1201" s="907" t="str">
        <x:v>SRC-P404</x:v>
      </x:c>
      <x:c r="M1201" s="907" t="str">
        <x:v>VNStock API actual</x:v>
      </x:c>
      <x:c r="N1201" s="1032" t="n">
        <x:v>46229.241747685184</x:v>
      </x:c>
    </x:row>
    <x:row r="1202">
      <x:c r="A1202" s="895" t="n">
        <x:v>46156</x:v>
      </x:c>
      <x:c r="B1202" s="898" t="n">
        <x:v>79.2</x:v>
      </x:c>
      <x:c r="C1202" s="898" t="n">
        <x:v>79.49</x:v>
      </x:c>
      <x:c r="D1202" s="898" t="n">
        <x:v>78.62</x:v>
      </x:c>
      <x:c r="E1202" s="898" t="n">
        <x:v>79.01</x:v>
      </x:c>
      <x:c r="F1202" s="901" t="n">
        <x:v>1052854</x:v>
      </x:c>
      <x:c r="G1202" s="904" t="n">
        <x:v>1896.72</x:v>
      </x:c>
      <x:c r="H1202" s="904" t="n">
        <x:v>1927.7</x:v>
      </x:c>
      <x:c r="I1202" s="904" t="n">
        <x:v>1883.98</x:v>
      </x:c>
      <x:c r="J1202" s="904" t="n">
        <x:v>1925.46</x:v>
      </x:c>
      <x:c r="K1202" s="901" t="n">
        <x:v>675088585</x:v>
      </x:c>
      <x:c r="L1202" s="907" t="str">
        <x:v>SRC-P404</x:v>
      </x:c>
      <x:c r="M1202" s="907" t="str">
        <x:v>VNStock API actual</x:v>
      </x:c>
      <x:c r="N1202" s="1032" t="n">
        <x:v>46229.241747685184</x:v>
      </x:c>
    </x:row>
    <x:row r="1203">
      <x:c r="A1203" s="895" t="n">
        <x:v>46157</x:v>
      </x:c>
      <x:c r="B1203" s="898" t="n">
        <x:v>79.2</x:v>
      </x:c>
      <x:c r="C1203" s="898" t="n">
        <x:v>79.2</x:v>
      </x:c>
      <x:c r="D1203" s="898" t="n">
        <x:v>77.26</x:v>
      </x:c>
      <x:c r="E1203" s="898" t="n">
        <x:v>77.65</x:v>
      </x:c>
      <x:c r="F1203" s="901" t="n">
        <x:v>1162786</x:v>
      </x:c>
      <x:c r="G1203" s="904" t="n">
        <x:v>1928.61</x:v>
      </x:c>
      <x:c r="H1203" s="904" t="n">
        <x:v>1930.58</x:v>
      </x:c>
      <x:c r="I1203" s="904" t="n">
        <x:v>1909.69</x:v>
      </x:c>
      <x:c r="J1203" s="904" t="n">
        <x:v>1921.6</x:v>
      </x:c>
      <x:c r="K1203" s="901" t="n">
        <x:v>744584792</x:v>
      </x:c>
      <x:c r="L1203" s="907" t="str">
        <x:v>SRC-P404</x:v>
      </x:c>
      <x:c r="M1203" s="907" t="str">
        <x:v>VNStock API actual</x:v>
      </x:c>
      <x:c r="N1203" s="1032" t="n">
        <x:v>46229.241747685184</x:v>
      </x:c>
    </x:row>
    <x:row r="1204">
      <x:c r="A1204" s="895" t="n">
        <x:v>46160</x:v>
      </x:c>
      <x:c r="B1204" s="898" t="n">
        <x:v>77.65</x:v>
      </x:c>
      <x:c r="C1204" s="898" t="n">
        <x:v>78.52</x:v>
      </x:c>
      <x:c r="D1204" s="898" t="n">
        <x:v>77.36</x:v>
      </x:c>
      <x:c r="E1204" s="898" t="n">
        <x:v>77.45</x:v>
      </x:c>
      <x:c r="F1204" s="901" t="n">
        <x:v>894514</x:v>
      </x:c>
      <x:c r="G1204" s="904" t="n">
        <x:v>1916.56</x:v>
      </x:c>
      <x:c r="H1204" s="904" t="n">
        <x:v>1932.62</x:v>
      </x:c>
      <x:c r="I1204" s="904" t="n">
        <x:v>1908.78</x:v>
      </x:c>
      <x:c r="J1204" s="904" t="n">
        <x:v>1927.94</x:v>
      </x:c>
      <x:c r="K1204" s="901" t="n">
        <x:v>820722199</x:v>
      </x:c>
      <x:c r="L1204" s="907" t="str">
        <x:v>SRC-P404</x:v>
      </x:c>
      <x:c r="M1204" s="907" t="str">
        <x:v>VNStock API actual</x:v>
      </x:c>
      <x:c r="N1204" s="1032" t="n">
        <x:v>46229.241747685184</x:v>
      </x:c>
    </x:row>
    <x:row r="1205">
      <x:c r="A1205" s="895" t="n">
        <x:v>46161</x:v>
      </x:c>
      <x:c r="B1205" s="898" t="n">
        <x:v>77.36</x:v>
      </x:c>
      <x:c r="C1205" s="898" t="n">
        <x:v>77.94</x:v>
      </x:c>
      <x:c r="D1205" s="898" t="n">
        <x:v>76.29</x:v>
      </x:c>
      <x:c r="E1205" s="898" t="n">
        <x:v>76.68</x:v>
      </x:c>
      <x:c r="F1205" s="901" t="n">
        <x:v>1396534</x:v>
      </x:c>
      <x:c r="G1205" s="904" t="n">
        <x:v>1933.01</x:v>
      </x:c>
      <x:c r="H1205" s="904" t="n">
        <x:v>1933.11</x:v>
      </x:c>
      <x:c r="I1205" s="904" t="n">
        <x:v>1902.87</x:v>
      </x:c>
      <x:c r="J1205" s="904" t="n">
        <x:v>1912.93</x:v>
      </x:c>
      <x:c r="K1205" s="901" t="n">
        <x:v>1007594006</x:v>
      </x:c>
      <x:c r="L1205" s="907" t="str">
        <x:v>SRC-P404</x:v>
      </x:c>
      <x:c r="M1205" s="907" t="str">
        <x:v>VNStock API actual</x:v>
      </x:c>
      <x:c r="N1205" s="1032" t="n">
        <x:v>46229.241747685184</x:v>
      </x:c>
    </x:row>
    <x:row r="1206">
      <x:c r="A1206" s="895" t="n">
        <x:v>46162</x:v>
      </x:c>
      <x:c r="B1206" s="898" t="n">
        <x:v>77.36</x:v>
      </x:c>
      <x:c r="C1206" s="898" t="n">
        <x:v>77.36</x:v>
      </x:c>
      <x:c r="D1206" s="898" t="n">
        <x:v>72.98</x:v>
      </x:c>
      <x:c r="E1206" s="898" t="n">
        <x:v>75.7</x:v>
      </x:c>
      <x:c r="F1206" s="901" t="n">
        <x:v>1356440</x:v>
      </x:c>
      <x:c r="G1206" s="904" t="n">
        <x:v>1907.1</x:v>
      </x:c>
      <x:c r="H1206" s="904" t="n">
        <x:v>1919.39</x:v>
      </x:c>
      <x:c r="I1206" s="904" t="n">
        <x:v>1859.22</x:v>
      </x:c>
      <x:c r="J1206" s="904" t="n">
        <x:v>1913.23</x:v>
      </x:c>
      <x:c r="K1206" s="901" t="n">
        <x:v>1197618071</x:v>
      </x:c>
      <x:c r="L1206" s="907" t="str">
        <x:v>SRC-P404</x:v>
      </x:c>
      <x:c r="M1206" s="907" t="str">
        <x:v>VNStock API actual</x:v>
      </x:c>
      <x:c r="N1206" s="1032" t="n">
        <x:v>46229.241747685184</x:v>
      </x:c>
    </x:row>
    <x:row r="1207">
      <x:c r="A1207" s="895" t="n">
        <x:v>46163</x:v>
      </x:c>
      <x:c r="B1207" s="898" t="n">
        <x:v>76.1</x:v>
      </x:c>
      <x:c r="C1207" s="898" t="n">
        <x:v>76.3</x:v>
      </x:c>
      <x:c r="D1207" s="898" t="n">
        <x:v>73.7</x:v>
      </x:c>
      <x:c r="E1207" s="898" t="n">
        <x:v>74.5</x:v>
      </x:c>
      <x:c r="F1207" s="901" t="n">
        <x:v>662039</x:v>
      </x:c>
      <x:c r="G1207" s="904" t="n">
        <x:v>1920.44</x:v>
      </x:c>
      <x:c r="H1207" s="904" t="n">
        <x:v>1923.21</x:v>
      </x:c>
      <x:c r="I1207" s="904" t="n">
        <x:v>1886.62</x:v>
      </x:c>
      <x:c r="J1207" s="904" t="n">
        <x:v>1896.89</x:v>
      </x:c>
      <x:c r="K1207" s="901" t="n">
        <x:v>677251003</x:v>
      </x:c>
      <x:c r="L1207" s="907" t="str">
        <x:v>SRC-P404</x:v>
      </x:c>
      <x:c r="M1207" s="907" t="str">
        <x:v>VNStock API actual</x:v>
      </x:c>
      <x:c r="N1207" s="1032" t="n">
        <x:v>46229.241747685184</x:v>
      </x:c>
    </x:row>
    <x:row r="1208">
      <x:c r="A1208" s="895" t="n">
        <x:v>46164</x:v>
      </x:c>
      <x:c r="B1208" s="898" t="n">
        <x:v>74.4</x:v>
      </x:c>
      <x:c r="C1208" s="898" t="n">
        <x:v>74.6</x:v>
      </x:c>
      <x:c r="D1208" s="898" t="n">
        <x:v>72.9</x:v>
      </x:c>
      <x:c r="E1208" s="898" t="n">
        <x:v>73.6</x:v>
      </x:c>
      <x:c r="F1208" s="901" t="n">
        <x:v>850596</x:v>
      </x:c>
      <x:c r="G1208" s="904" t="n">
        <x:v>1896.74</x:v>
      </x:c>
      <x:c r="H1208" s="904" t="n">
        <x:v>1896.74</x:v>
      </x:c>
      <x:c r="I1208" s="904" t="n">
        <x:v>1856.08</x:v>
      </x:c>
      <x:c r="J1208" s="904" t="n">
        <x:v>1877.13</x:v>
      </x:c>
      <x:c r="K1208" s="901" t="n">
        <x:v>854173859</x:v>
      </x:c>
      <x:c r="L1208" s="907" t="str">
        <x:v>SRC-P404</x:v>
      </x:c>
      <x:c r="M1208" s="907" t="str">
        <x:v>VNStock API actual</x:v>
      </x:c>
      <x:c r="N1208" s="1032" t="n">
        <x:v>46229.241747685184</x:v>
      </x:c>
    </x:row>
    <x:row r="1209">
      <x:c r="A1209" s="895" t="n">
        <x:v>46167</x:v>
      </x:c>
      <x:c r="B1209" s="898" t="n">
        <x:v>73.5</x:v>
      </x:c>
      <x:c r="C1209" s="898" t="n">
        <x:v>75.3</x:v>
      </x:c>
      <x:c r="D1209" s="898" t="n">
        <x:v>73</x:v>
      </x:c>
      <x:c r="E1209" s="898" t="n">
        <x:v>74.6</x:v>
      </x:c>
      <x:c r="F1209" s="901" t="n">
        <x:v>538756</x:v>
      </x:c>
      <x:c r="G1209" s="904" t="n">
        <x:v>1876.37</x:v>
      </x:c>
      <x:c r="H1209" s="904" t="n">
        <x:v>1891.26</x:v>
      </x:c>
      <x:c r="I1209" s="904" t="n">
        <x:v>1876.37</x:v>
      </x:c>
      <x:c r="J1209" s="904" t="n">
        <x:v>1886.03</x:v>
      </x:c>
      <x:c r="K1209" s="901" t="n">
        <x:v>702575224</x:v>
      </x:c>
      <x:c r="L1209" s="907" t="str">
        <x:v>SRC-P404</x:v>
      </x:c>
      <x:c r="M1209" s="907" t="str">
        <x:v>VNStock API actual</x:v>
      </x:c>
      <x:c r="N1209" s="1032" t="n">
        <x:v>46229.241747685184</x:v>
      </x:c>
    </x:row>
    <x:row r="1210">
      <x:c r="A1210" s="895" t="n">
        <x:v>46168</x:v>
      </x:c>
      <x:c r="B1210" s="898" t="n">
        <x:v>75.1</x:v>
      </x:c>
      <x:c r="C1210" s="898" t="n">
        <x:v>76</x:v>
      </x:c>
      <x:c r="D1210" s="898" t="n">
        <x:v>74</x:v>
      </x:c>
      <x:c r="E1210" s="898" t="n">
        <x:v>75.5</x:v>
      </x:c>
      <x:c r="F1210" s="901" t="n">
        <x:v>835646</x:v>
      </x:c>
      <x:c r="G1210" s="904" t="n">
        <x:v>1889.15</x:v>
      </x:c>
      <x:c r="H1210" s="904" t="n">
        <x:v>1889.15</x:v>
      </x:c>
      <x:c r="I1210" s="904" t="n">
        <x:v>1876.32</x:v>
      </x:c>
      <x:c r="J1210" s="904" t="n">
        <x:v>1884.18</x:v>
      </x:c>
      <x:c r="K1210" s="901" t="n">
        <x:v>729758151</x:v>
      </x:c>
      <x:c r="L1210" s="907" t="str">
        <x:v>SRC-P404</x:v>
      </x:c>
      <x:c r="M1210" s="907" t="str">
        <x:v>VNStock API actual</x:v>
      </x:c>
      <x:c r="N1210" s="1032" t="n">
        <x:v>46229.241747685184</x:v>
      </x:c>
    </x:row>
    <x:row r="1211">
      <x:c r="A1211" s="895" t="n">
        <x:v>46169</x:v>
      </x:c>
      <x:c r="B1211" s="898" t="n">
        <x:v>76.5</x:v>
      </x:c>
      <x:c r="C1211" s="898" t="n">
        <x:v>76.5</x:v>
      </x:c>
      <x:c r="D1211" s="898" t="n">
        <x:v>73.6</x:v>
      </x:c>
      <x:c r="E1211" s="898" t="n">
        <x:v>74.9</x:v>
      </x:c>
      <x:c r="F1211" s="901" t="n">
        <x:v>1163135</x:v>
      </x:c>
      <x:c r="G1211" s="904" t="n">
        <x:v>1889.87</x:v>
      </x:c>
      <x:c r="H1211" s="904" t="n">
        <x:v>1889.87</x:v>
      </x:c>
      <x:c r="I1211" s="904" t="n">
        <x:v>1861.85</x:v>
      </x:c>
      <x:c r="J1211" s="904" t="n">
        <x:v>1874.43</x:v>
      </x:c>
      <x:c r="K1211" s="901" t="n">
        <x:v>830501943</x:v>
      </x:c>
      <x:c r="L1211" s="907" t="str">
        <x:v>SRC-P404</x:v>
      </x:c>
      <x:c r="M1211" s="907" t="str">
        <x:v>VNStock API actual</x:v>
      </x:c>
      <x:c r="N1211" s="1032" t="n">
        <x:v>46229.241747685184</x:v>
      </x:c>
    </x:row>
    <x:row r="1212">
      <x:c r="A1212" s="895" t="n">
        <x:v>46170</x:v>
      </x:c>
      <x:c r="B1212" s="898" t="n">
        <x:v>74.2</x:v>
      </x:c>
      <x:c r="C1212" s="898" t="n">
        <x:v>74.8</x:v>
      </x:c>
      <x:c r="D1212" s="898" t="n">
        <x:v>72.5</x:v>
      </x:c>
      <x:c r="E1212" s="898" t="n">
        <x:v>72.5</x:v>
      </x:c>
      <x:c r="F1212" s="901" t="n">
        <x:v>1056164</x:v>
      </x:c>
      <x:c r="G1212" s="904" t="n">
        <x:v>1869.7</x:v>
      </x:c>
      <x:c r="H1212" s="904" t="n">
        <x:v>1882.66</x:v>
      </x:c>
      <x:c r="I1212" s="904" t="n">
        <x:v>1857.25</x:v>
      </x:c>
      <x:c r="J1212" s="904" t="n">
        <x:v>1863.67</x:v>
      </x:c>
      <x:c r="K1212" s="901" t="n">
        <x:v>686200721</x:v>
      </x:c>
      <x:c r="L1212" s="907" t="str">
        <x:v>SRC-P404</x:v>
      </x:c>
      <x:c r="M1212" s="907" t="str">
        <x:v>VNStock API actual</x:v>
      </x:c>
      <x:c r="N1212" s="1032" t="n">
        <x:v>46229.241747685184</x:v>
      </x:c>
    </x:row>
    <x:row r="1213">
      <x:c r="A1213" s="895" t="n">
        <x:v>46171</x:v>
      </x:c>
      <x:c r="B1213" s="898" t="n">
        <x:v>72.5</x:v>
      </x:c>
      <x:c r="C1213" s="898" t="n">
        <x:v>73</x:v>
      </x:c>
      <x:c r="D1213" s="898" t="n">
        <x:v>72</x:v>
      </x:c>
      <x:c r="E1213" s="898" t="n">
        <x:v>72.3</x:v>
      </x:c>
      <x:c r="F1213" s="901" t="n">
        <x:v>321097</x:v>
      </x:c>
      <x:c r="G1213" s="904" t="n">
        <x:v>1864.42</x:v>
      </x:c>
      <x:c r="H1213" s="904" t="n">
        <x:v>1873.17</x:v>
      </x:c>
      <x:c r="I1213" s="904" t="n">
        <x:v>1854.34</x:v>
      </x:c>
      <x:c r="J1213" s="904" t="n">
        <x:v>1863.49</x:v>
      </x:c>
      <x:c r="K1213" s="901" t="n">
        <x:v>688077025</x:v>
      </x:c>
      <x:c r="L1213" s="907" t="str">
        <x:v>SRC-P404</x:v>
      </x:c>
      <x:c r="M1213" s="907" t="str">
        <x:v>VNStock API actual</x:v>
      </x:c>
      <x:c r="N1213" s="1032" t="n">
        <x:v>46229.241747685184</x:v>
      </x:c>
    </x:row>
    <x:row r="1214">
      <x:c r="A1214" s="895" t="n">
        <x:v>46174</x:v>
      </x:c>
      <x:c r="B1214" s="898" t="n">
        <x:v>72.3</x:v>
      </x:c>
      <x:c r="C1214" s="898" t="n">
        <x:v>73.3</x:v>
      </x:c>
      <x:c r="D1214" s="898" t="n">
        <x:v>71.9</x:v>
      </x:c>
      <x:c r="E1214" s="898" t="n">
        <x:v>73.3</x:v>
      </x:c>
      <x:c r="F1214" s="901" t="n">
        <x:v>361239</x:v>
      </x:c>
      <x:c r="G1214" s="904" t="n">
        <x:v>1867.44</x:v>
      </x:c>
      <x:c r="H1214" s="904" t="n">
        <x:v>1871.09</x:v>
      </x:c>
      <x:c r="I1214" s="904" t="n">
        <x:v>1840.4</x:v>
      </x:c>
      <x:c r="J1214" s="904" t="n">
        <x:v>1844.54</x:v>
      </x:c>
      <x:c r="K1214" s="901" t="n">
        <x:v>506972140</x:v>
      </x:c>
      <x:c r="L1214" s="907" t="str">
        <x:v>SRC-P404</x:v>
      </x:c>
      <x:c r="M1214" s="907" t="str">
        <x:v>VNStock API actual</x:v>
      </x:c>
      <x:c r="N1214" s="1032" t="n">
        <x:v>46229.241747685184</x:v>
      </x:c>
    </x:row>
    <x:row r="1215">
      <x:c r="A1215" s="895" t="n">
        <x:v>46175</x:v>
      </x:c>
      <x:c r="B1215" s="898" t="n">
        <x:v>73.3</x:v>
      </x:c>
      <x:c r="C1215" s="898" t="n">
        <x:v>73.3</x:v>
      </x:c>
      <x:c r="D1215" s="898" t="n">
        <x:v>72.2</x:v>
      </x:c>
      <x:c r="E1215" s="898" t="n">
        <x:v>73.3</x:v>
      </x:c>
      <x:c r="F1215" s="901" t="n">
        <x:v>658493</x:v>
      </x:c>
      <x:c r="G1215" s="904" t="n">
        <x:v>1845.32</x:v>
      </x:c>
      <x:c r="H1215" s="904" t="n">
        <x:v>1858.76</x:v>
      </x:c>
      <x:c r="I1215" s="904" t="n">
        <x:v>1822.32</x:v>
      </x:c>
      <x:c r="J1215" s="904" t="n">
        <x:v>1826.47</x:v>
      </x:c>
      <x:c r="K1215" s="901" t="n">
        <x:v>727018675</x:v>
      </x:c>
      <x:c r="L1215" s="907" t="str">
        <x:v>SRC-P404</x:v>
      </x:c>
      <x:c r="M1215" s="907" t="str">
        <x:v>VNStock API actual</x:v>
      </x:c>
      <x:c r="N1215" s="1032" t="n">
        <x:v>46229.241747685184</x:v>
      </x:c>
    </x:row>
    <x:row r="1216">
      <x:c r="A1216" s="895" t="n">
        <x:v>46176</x:v>
      </x:c>
      <x:c r="B1216" s="898" t="n">
        <x:v>73</x:v>
      </x:c>
      <x:c r="C1216" s="898" t="n">
        <x:v>73.8</x:v>
      </x:c>
      <x:c r="D1216" s="898" t="n">
        <x:v>72.2</x:v>
      </x:c>
      <x:c r="E1216" s="898" t="n">
        <x:v>73.3</x:v>
      </x:c>
      <x:c r="F1216" s="901" t="n">
        <x:v>933600</x:v>
      </x:c>
      <x:c r="G1216" s="904" t="n">
        <x:v>1824.18</x:v>
      </x:c>
      <x:c r="H1216" s="904" t="n">
        <x:v>1831.65</x:v>
      </x:c>
      <x:c r="I1216" s="904" t="n">
        <x:v>1798.05</x:v>
      </x:c>
      <x:c r="J1216" s="904" t="n">
        <x:v>1819.01</x:v>
      </x:c>
      <x:c r="K1216" s="901" t="n">
        <x:v>722920164</x:v>
      </x:c>
      <x:c r="L1216" s="907" t="str">
        <x:v>SRC-P404</x:v>
      </x:c>
      <x:c r="M1216" s="907" t="str">
        <x:v>VNStock API actual</x:v>
      </x:c>
      <x:c r="N1216" s="1032" t="n">
        <x:v>46229.241747685184</x:v>
      </x:c>
    </x:row>
    <x:row r="1217">
      <x:c r="A1217" s="895" t="n">
        <x:v>46177</x:v>
      </x:c>
      <x:c r="B1217" s="898" t="n">
        <x:v>72.5</x:v>
      </x:c>
      <x:c r="C1217" s="898" t="n">
        <x:v>77.1</x:v>
      </x:c>
      <x:c r="D1217" s="898" t="n">
        <x:v>72.5</x:v>
      </x:c>
      <x:c r="E1217" s="898" t="n">
        <x:v>76.1</x:v>
      </x:c>
      <x:c r="F1217" s="901" t="n">
        <x:v>1816600</x:v>
      </x:c>
      <x:c r="G1217" s="904" t="n">
        <x:v>1822.08</x:v>
      </x:c>
      <x:c r="H1217" s="904" t="n">
        <x:v>1831.55</x:v>
      </x:c>
      <x:c r="I1217" s="904" t="n">
        <x:v>1812.65</x:v>
      </x:c>
      <x:c r="J1217" s="904" t="n">
        <x:v>1831.55</x:v>
      </x:c>
      <x:c r="K1217" s="901" t="n">
        <x:v>601316050</x:v>
      </x:c>
      <x:c r="L1217" s="907" t="str">
        <x:v>SRC-P404</x:v>
      </x:c>
      <x:c r="M1217" s="907" t="str">
        <x:v>VNStock API actual</x:v>
      </x:c>
      <x:c r="N1217" s="1032" t="n">
        <x:v>46229.241747685184</x:v>
      </x:c>
    </x:row>
    <x:row r="1218">
      <x:c r="A1218" s="895" t="n">
        <x:v>46178</x:v>
      </x:c>
      <x:c r="B1218" s="898" t="n">
        <x:v>76.1</x:v>
      </x:c>
      <x:c r="C1218" s="898" t="n">
        <x:v>77.2</x:v>
      </x:c>
      <x:c r="D1218" s="898" t="n">
        <x:v>76</x:v>
      </x:c>
      <x:c r="E1218" s="898" t="n">
        <x:v>76.2</x:v>
      </x:c>
      <x:c r="F1218" s="901" t="n">
        <x:v>509700</x:v>
      </x:c>
      <x:c r="G1218" s="904" t="n">
        <x:v>1833.07</x:v>
      </x:c>
      <x:c r="H1218" s="904" t="n">
        <x:v>1846.71</x:v>
      </x:c>
      <x:c r="I1218" s="904" t="n">
        <x:v>1830.37</x:v>
      </x:c>
      <x:c r="J1218" s="904" t="n">
        <x:v>1838.9</x:v>
      </x:c>
      <x:c r="K1218" s="901" t="n">
        <x:v>502964274</x:v>
      </x:c>
      <x:c r="L1218" s="907" t="str">
        <x:v>SRC-P404</x:v>
      </x:c>
      <x:c r="M1218" s="907" t="str">
        <x:v>VNStock API actual</x:v>
      </x:c>
      <x:c r="N1218" s="1032" t="n">
        <x:v>46229.241747685184</x:v>
      </x:c>
    </x:row>
    <x:row r="1219">
      <x:c r="A1219" s="895" t="n">
        <x:v>46181</x:v>
      </x:c>
      <x:c r="B1219" s="898" t="n">
        <x:v>76.3</x:v>
      </x:c>
      <x:c r="C1219" s="898" t="n">
        <x:v>77.1</x:v>
      </x:c>
      <x:c r="D1219" s="898" t="n">
        <x:v>75</x:v>
      </x:c>
      <x:c r="E1219" s="898" t="n">
        <x:v>76</x:v>
      </x:c>
      <x:c r="F1219" s="901" t="n">
        <x:v>996500</x:v>
      </x:c>
      <x:c r="G1219" s="904" t="n">
        <x:v>1822.1</x:v>
      </x:c>
      <x:c r="H1219" s="904" t="n">
        <x:v>1822.95</x:v>
      </x:c>
      <x:c r="I1219" s="904" t="n">
        <x:v>1789.31</x:v>
      </x:c>
      <x:c r="J1219" s="904" t="n">
        <x:v>1790.53</x:v>
      </x:c>
      <x:c r="K1219" s="901" t="n">
        <x:v>714568751</x:v>
      </x:c>
      <x:c r="L1219" s="907" t="str">
        <x:v>SRC-P404</x:v>
      </x:c>
      <x:c r="M1219" s="907" t="str">
        <x:v>VNStock API actual</x:v>
      </x:c>
      <x:c r="N1219" s="1032" t="n">
        <x:v>46229.241747685184</x:v>
      </x:c>
    </x:row>
    <x:row r="1220">
      <x:c r="A1220" s="895" t="n">
        <x:v>46182</x:v>
      </x:c>
      <x:c r="B1220" s="898" t="n">
        <x:v>76</x:v>
      </x:c>
      <x:c r="C1220" s="898" t="n">
        <x:v>77</x:v>
      </x:c>
      <x:c r="D1220" s="898" t="n">
        <x:v>75.7</x:v>
      </x:c>
      <x:c r="E1220" s="898" t="n">
        <x:v>76</x:v>
      </x:c>
      <x:c r="F1220" s="901" t="n">
        <x:v>836500</x:v>
      </x:c>
      <x:c r="G1220" s="904" t="n">
        <x:v>1799.21</x:v>
      </x:c>
      <x:c r="H1220" s="904" t="n">
        <x:v>1800.8</x:v>
      </x:c>
      <x:c r="I1220" s="904" t="n">
        <x:v>1780.71</x:v>
      </x:c>
      <x:c r="J1220" s="904" t="n">
        <x:v>1793.05</x:v>
      </x:c>
      <x:c r="K1220" s="901" t="n">
        <x:v>527110166</x:v>
      </x:c>
      <x:c r="L1220" s="907" t="str">
        <x:v>SRC-P404</x:v>
      </x:c>
      <x:c r="M1220" s="907" t="str">
        <x:v>VNStock API actual</x:v>
      </x:c>
      <x:c r="N1220" s="1032" t="n">
        <x:v>46229.241747685184</x:v>
      </x:c>
    </x:row>
    <x:row r="1221">
      <x:c r="A1221" s="895" t="n">
        <x:v>46183</x:v>
      </x:c>
      <x:c r="B1221" s="898" t="n">
        <x:v>75.7</x:v>
      </x:c>
      <x:c r="C1221" s="898" t="n">
        <x:v>76.5</x:v>
      </x:c>
      <x:c r="D1221" s="898" t="n">
        <x:v>74.6</x:v>
      </x:c>
      <x:c r="E1221" s="898" t="n">
        <x:v>75.6</x:v>
      </x:c>
      <x:c r="F1221" s="901" t="n">
        <x:v>919600</x:v>
      </x:c>
      <x:c r="G1221" s="904" t="n">
        <x:v>1793.45</x:v>
      </x:c>
      <x:c r="H1221" s="904" t="n">
        <x:v>1805.03</x:v>
      </x:c>
      <x:c r="I1221" s="904" t="n">
        <x:v>1789.48</x:v>
      </x:c>
      <x:c r="J1221" s="904" t="n">
        <x:v>1803.71</x:v>
      </x:c>
      <x:c r="K1221" s="901" t="n">
        <x:v>625012446</x:v>
      </x:c>
      <x:c r="L1221" s="907" t="str">
        <x:v>SRC-P404</x:v>
      </x:c>
      <x:c r="M1221" s="907" t="str">
        <x:v>VNStock API actual</x:v>
      </x:c>
      <x:c r="N1221" s="1032" t="n">
        <x:v>46229.241747685184</x:v>
      </x:c>
    </x:row>
    <x:row r="1222">
      <x:c r="A1222" s="895" t="n">
        <x:v>46184</x:v>
      </x:c>
      <x:c r="B1222" s="898" t="n">
        <x:v>75.1</x:v>
      </x:c>
      <x:c r="C1222" s="898" t="n">
        <x:v>75.8</x:v>
      </x:c>
      <x:c r="D1222" s="898" t="n">
        <x:v>75.1</x:v>
      </x:c>
      <x:c r="E1222" s="898" t="n">
        <x:v>75.6</x:v>
      </x:c>
      <x:c r="F1222" s="901" t="n">
        <x:v>167200</x:v>
      </x:c>
      <x:c r="G1222" s="904" t="n">
        <x:v>1793.15</x:v>
      </x:c>
      <x:c r="H1222" s="904" t="n">
        <x:v>1801.99</x:v>
      </x:c>
      <x:c r="I1222" s="904" t="n">
        <x:v>1788.64</x:v>
      </x:c>
      <x:c r="J1222" s="904" t="n">
        <x:v>1798.61</x:v>
      </x:c>
      <x:c r="K1222" s="901" t="n">
        <x:v>410733903</x:v>
      </x:c>
      <x:c r="L1222" s="907" t="str">
        <x:v>SRC-P404</x:v>
      </x:c>
      <x:c r="M1222" s="907" t="str">
        <x:v>VNStock API actual</x:v>
      </x:c>
      <x:c r="N1222" s="1032" t="n">
        <x:v>46229.241747685184</x:v>
      </x:c>
    </x:row>
    <x:row r="1223">
      <x:c r="A1223" s="895" t="n">
        <x:v>46185</x:v>
      </x:c>
      <x:c r="B1223" s="898" t="n">
        <x:v>76.3</x:v>
      </x:c>
      <x:c r="C1223" s="898" t="n">
        <x:v>76.4</x:v>
      </x:c>
      <x:c r="D1223" s="898" t="n">
        <x:v>75.3</x:v>
      </x:c>
      <x:c r="E1223" s="898" t="n">
        <x:v>76</x:v>
      </x:c>
      <x:c r="F1223" s="901" t="n">
        <x:v>490300</x:v>
      </x:c>
      <x:c r="G1223" s="904" t="n">
        <x:v>1813.07</x:v>
      </x:c>
      <x:c r="H1223" s="904" t="n">
        <x:v>1813.57</x:v>
      </x:c>
      <x:c r="I1223" s="904" t="n">
        <x:v>1788.56</x:v>
      </x:c>
      <x:c r="J1223" s="904" t="n">
        <x:v>1791.65</x:v>
      </x:c>
      <x:c r="K1223" s="901" t="n">
        <x:v>640199320</x:v>
      </x:c>
      <x:c r="L1223" s="907" t="str">
        <x:v>SRC-P404</x:v>
      </x:c>
      <x:c r="M1223" s="907" t="str">
        <x:v>VNStock API actual</x:v>
      </x:c>
      <x:c r="N1223" s="1032" t="n">
        <x:v>46229.241747685184</x:v>
      </x:c>
    </x:row>
    <x:row r="1224">
      <x:c r="A1224" s="895" t="n">
        <x:v>46188</x:v>
      </x:c>
      <x:c r="B1224" s="898" t="n">
        <x:v>76.6</x:v>
      </x:c>
      <x:c r="C1224" s="898" t="n">
        <x:v>79.9</x:v>
      </x:c>
      <x:c r="D1224" s="898" t="n">
        <x:v>76.2</x:v>
      </x:c>
      <x:c r="E1224" s="898" t="n">
        <x:v>79.6</x:v>
      </x:c>
      <x:c r="F1224" s="901" t="n">
        <x:v>4151300</x:v>
      </x:c>
      <x:c r="G1224" s="904" t="n">
        <x:v>1804.24</x:v>
      </x:c>
      <x:c r="H1224" s="904" t="n">
        <x:v>1810.41</x:v>
      </x:c>
      <x:c r="I1224" s="904" t="n">
        <x:v>1775.72</x:v>
      </x:c>
      <x:c r="J1224" s="904" t="n">
        <x:v>1799.31</x:v>
      </x:c>
      <x:c r="K1224" s="901" t="n">
        <x:v>792064448</x:v>
      </x:c>
      <x:c r="L1224" s="907" t="str">
        <x:v>SRC-P404</x:v>
      </x:c>
      <x:c r="M1224" s="907" t="str">
        <x:v>VNStock API actual</x:v>
      </x:c>
      <x:c r="N1224" s="1032" t="n">
        <x:v>46229.241747685184</x:v>
      </x:c>
    </x:row>
    <x:row r="1225">
      <x:c r="A1225" s="895" t="n">
        <x:v>46189</x:v>
      </x:c>
      <x:c r="B1225" s="898" t="n">
        <x:v>79.9</x:v>
      </x:c>
      <x:c r="C1225" s="898" t="n">
        <x:v>80</x:v>
      </x:c>
      <x:c r="D1225" s="898" t="n">
        <x:v>78.8</x:v>
      </x:c>
      <x:c r="E1225" s="898" t="n">
        <x:v>79.6</x:v>
      </x:c>
      <x:c r="F1225" s="901" t="n">
        <x:v>611300</x:v>
      </x:c>
      <x:c r="G1225" s="904" t="n">
        <x:v>1808.56</x:v>
      </x:c>
      <x:c r="H1225" s="904" t="n">
        <x:v>1811.59</x:v>
      </x:c>
      <x:c r="I1225" s="904" t="n">
        <x:v>1799.86</x:v>
      </x:c>
      <x:c r="J1225" s="904" t="n">
        <x:v>1807.94</x:v>
      </x:c>
      <x:c r="K1225" s="901" t="n">
        <x:v>672837809</x:v>
      </x:c>
      <x:c r="L1225" s="907" t="str">
        <x:v>SRC-P404</x:v>
      </x:c>
      <x:c r="M1225" s="907" t="str">
        <x:v>VNStock API actual</x:v>
      </x:c>
      <x:c r="N1225" s="1032" t="n">
        <x:v>46229.241747685184</x:v>
      </x:c>
    </x:row>
    <x:row r="1226">
      <x:c r="A1226" s="895" t="n">
        <x:v>46190</x:v>
      </x:c>
      <x:c r="B1226" s="898" t="n">
        <x:v>79.9</x:v>
      </x:c>
      <x:c r="C1226" s="898" t="n">
        <x:v>79.9</x:v>
      </x:c>
      <x:c r="D1226" s="898" t="n">
        <x:v>78.4</x:v>
      </x:c>
      <x:c r="E1226" s="898" t="n">
        <x:v>78.8</x:v>
      </x:c>
      <x:c r="F1226" s="901" t="n">
        <x:v>761200</x:v>
      </x:c>
      <x:c r="G1226" s="904" t="n">
        <x:v>1797.41</x:v>
      </x:c>
      <x:c r="H1226" s="904" t="n">
        <x:v>1808.57</x:v>
      </x:c>
      <x:c r="I1226" s="904" t="n">
        <x:v>1787.89</x:v>
      </x:c>
      <x:c r="J1226" s="904" t="n">
        <x:v>1806.2</x:v>
      </x:c>
      <x:c r="K1226" s="901" t="n">
        <x:v>821620763</x:v>
      </x:c>
      <x:c r="L1226" s="907" t="str">
        <x:v>SRC-P404</x:v>
      </x:c>
      <x:c r="M1226" s="907" t="str">
        <x:v>VNStock API actual</x:v>
      </x:c>
      <x:c r="N1226" s="1032" t="n">
        <x:v>46229.241747685184</x:v>
      </x:c>
    </x:row>
    <x:row r="1227">
      <x:c r="A1227" s="895" t="n">
        <x:v>46191</x:v>
      </x:c>
      <x:c r="B1227" s="898" t="n">
        <x:v>78.9</x:v>
      </x:c>
      <x:c r="C1227" s="898" t="n">
        <x:v>79</x:v>
      </x:c>
      <x:c r="D1227" s="898" t="n">
        <x:v>77.3</x:v>
      </x:c>
      <x:c r="E1227" s="898" t="n">
        <x:v>77.6</x:v>
      </x:c>
      <x:c r="F1227" s="901" t="n">
        <x:v>930700</x:v>
      </x:c>
      <x:c r="G1227" s="904" t="n">
        <x:v>1822.37</x:v>
      </x:c>
      <x:c r="H1227" s="904" t="n">
        <x:v>1836.4</x:v>
      </x:c>
      <x:c r="I1227" s="904" t="n">
        <x:v>1819.62</x:v>
      </x:c>
      <x:c r="J1227" s="904" t="n">
        <x:v>1830.47</x:v>
      </x:c>
      <x:c r="K1227" s="901" t="n">
        <x:v>633590659</x:v>
      </x:c>
      <x:c r="L1227" s="907" t="str">
        <x:v>SRC-P404</x:v>
      </x:c>
      <x:c r="M1227" s="907" t="str">
        <x:v>VNStock API actual</x:v>
      </x:c>
      <x:c r="N1227" s="1032" t="n">
        <x:v>46229.241747685184</x:v>
      </x:c>
    </x:row>
    <x:row r="1228">
      <x:c r="A1228" s="895" t="n">
        <x:v>46192</x:v>
      </x:c>
      <x:c r="B1228" s="898" t="n">
        <x:v>78.5</x:v>
      </x:c>
      <x:c r="C1228" s="898" t="n">
        <x:v>78.5</x:v>
      </x:c>
      <x:c r="D1228" s="898" t="n">
        <x:v>75.8</x:v>
      </x:c>
      <x:c r="E1228" s="898" t="n">
        <x:v>77</x:v>
      </x:c>
      <x:c r="F1228" s="901" t="n">
        <x:v>1128600</x:v>
      </x:c>
      <x:c r="G1228" s="904" t="n">
        <x:v>1837.38</x:v>
      </x:c>
      <x:c r="H1228" s="904" t="n">
        <x:v>1838.52</x:v>
      </x:c>
      <x:c r="I1228" s="904" t="n">
        <x:v>1798.56</x:v>
      </x:c>
      <x:c r="J1228" s="904" t="n">
        <x:v>1824.53</x:v>
      </x:c>
      <x:c r="K1228" s="901" t="n">
        <x:v>608253674</x:v>
      </x:c>
      <x:c r="L1228" s="907" t="str">
        <x:v>SRC-P404</x:v>
      </x:c>
      <x:c r="M1228" s="907" t="str">
        <x:v>VNStock API actual</x:v>
      </x:c>
      <x:c r="N1228" s="1032" t="n">
        <x:v>46229.241747685184</x:v>
      </x:c>
    </x:row>
    <x:row r="1229">
      <x:c r="A1229" s="895" t="n">
        <x:v>46195</x:v>
      </x:c>
      <x:c r="B1229" s="898" t="n">
        <x:v>76.1</x:v>
      </x:c>
      <x:c r="C1229" s="898" t="n">
        <x:v>77.2</x:v>
      </x:c>
      <x:c r="D1229" s="898" t="n">
        <x:v>75.2</x:v>
      </x:c>
      <x:c r="E1229" s="898" t="n">
        <x:v>75.6</x:v>
      </x:c>
      <x:c r="F1229" s="901" t="n">
        <x:v>1123700</x:v>
      </x:c>
      <x:c r="G1229" s="904" t="n">
        <x:v>1827.53</x:v>
      </x:c>
      <x:c r="H1229" s="904" t="n">
        <x:v>1859.78</x:v>
      </x:c>
      <x:c r="I1229" s="904" t="n">
        <x:v>1822.58</x:v>
      </x:c>
      <x:c r="J1229" s="904" t="n">
        <x:v>1857.91</x:v>
      </x:c>
      <x:c r="K1229" s="901" t="n">
        <x:v>517581557</x:v>
      </x:c>
      <x:c r="L1229" s="907" t="str">
        <x:v>SRC-P404</x:v>
      </x:c>
      <x:c r="M1229" s="907" t="str">
        <x:v>VNStock API actual</x:v>
      </x:c>
      <x:c r="N1229" s="1032" t="n">
        <x:v>46229.241747685184</x:v>
      </x:c>
    </x:row>
    <x:row r="1230">
      <x:c r="A1230" s="895" t="n">
        <x:v>46196</x:v>
      </x:c>
      <x:c r="B1230" s="898" t="n">
        <x:v>75.9</x:v>
      </x:c>
      <x:c r="C1230" s="898" t="n">
        <x:v>76.9</x:v>
      </x:c>
      <x:c r="D1230" s="898" t="n">
        <x:v>75.2</x:v>
      </x:c>
      <x:c r="E1230" s="898" t="n">
        <x:v>76.4</x:v>
      </x:c>
      <x:c r="F1230" s="901" t="n">
        <x:v>826800</x:v>
      </x:c>
      <x:c r="G1230" s="904" t="n">
        <x:v>1871.92</x:v>
      </x:c>
      <x:c r="H1230" s="904" t="n">
        <x:v>1886.6</x:v>
      </x:c>
      <x:c r="I1230" s="904" t="n">
        <x:v>1863.4</x:v>
      </x:c>
      <x:c r="J1230" s="904" t="n">
        <x:v>1869.04</x:v>
      </x:c>
      <x:c r="K1230" s="901" t="n">
        <x:v>945417301</x:v>
      </x:c>
      <x:c r="L1230" s="907" t="str">
        <x:v>SRC-P404</x:v>
      </x:c>
      <x:c r="M1230" s="907" t="str">
        <x:v>VNStock API actual</x:v>
      </x:c>
      <x:c r="N1230" s="1032" t="n">
        <x:v>46229.241747685184</x:v>
      </x:c>
    </x:row>
    <x:row r="1231">
      <x:c r="A1231" s="895" t="n">
        <x:v>46197</x:v>
      </x:c>
      <x:c r="B1231" s="898" t="n">
        <x:v>76</x:v>
      </x:c>
      <x:c r="C1231" s="898" t="n">
        <x:v>76.3</x:v>
      </x:c>
      <x:c r="D1231" s="898" t="n">
        <x:v>74.5</x:v>
      </x:c>
      <x:c r="E1231" s="898" t="n">
        <x:v>75</x:v>
      </x:c>
      <x:c r="F1231" s="901" t="n">
        <x:v>715200</x:v>
      </x:c>
      <x:c r="G1231" s="904" t="n">
        <x:v>1873.19</x:v>
      </x:c>
      <x:c r="H1231" s="904" t="n">
        <x:v>1894.75</x:v>
      </x:c>
      <x:c r="I1231" s="904" t="n">
        <x:v>1861.72</x:v>
      </x:c>
      <x:c r="J1231" s="904" t="n">
        <x:v>1878.02</x:v>
      </x:c>
      <x:c r="K1231" s="901" t="n">
        <x:v>633056398</x:v>
      </x:c>
      <x:c r="L1231" s="907" t="str">
        <x:v>SRC-P404</x:v>
      </x:c>
      <x:c r="M1231" s="907" t="str">
        <x:v>VNStock API actual</x:v>
      </x:c>
      <x:c r="N1231" s="1032" t="n">
        <x:v>46229.241747685184</x:v>
      </x:c>
    </x:row>
    <x:row r="1232">
      <x:c r="A1232" s="895" t="n">
        <x:v>46198</x:v>
      </x:c>
      <x:c r="B1232" s="898" t="n">
        <x:v>74.8</x:v>
      </x:c>
      <x:c r="C1232" s="898" t="n">
        <x:v>75.2</x:v>
      </x:c>
      <x:c r="D1232" s="898" t="n">
        <x:v>72.8</x:v>
      </x:c>
      <x:c r="E1232" s="898" t="n">
        <x:v>73</x:v>
      </x:c>
      <x:c r="F1232" s="901" t="n">
        <x:v>1438200</x:v>
      </x:c>
      <x:c r="G1232" s="904" t="n">
        <x:v>1878.71</x:v>
      </x:c>
      <x:c r="H1232" s="904" t="n">
        <x:v>1880.16</x:v>
      </x:c>
      <x:c r="I1232" s="904" t="n">
        <x:v>1854.08</x:v>
      </x:c>
      <x:c r="J1232" s="904" t="n">
        <x:v>1863.07</x:v>
      </x:c>
      <x:c r="K1232" s="901" t="n">
        <x:v>490618259</x:v>
      </x:c>
      <x:c r="L1232" s="907" t="str">
        <x:v>SRC-P404</x:v>
      </x:c>
      <x:c r="M1232" s="907" t="str">
        <x:v>VNStock API actual</x:v>
      </x:c>
      <x:c r="N1232" s="1032" t="n">
        <x:v>46229.241747685184</x:v>
      </x:c>
    </x:row>
    <x:row r="1233">
      <x:c r="A1233" s="895" t="n">
        <x:v>46199</x:v>
      </x:c>
      <x:c r="B1233" s="898" t="n">
        <x:v>73</x:v>
      </x:c>
      <x:c r="C1233" s="898" t="n">
        <x:v>73.3</x:v>
      </x:c>
      <x:c r="D1233" s="898" t="n">
        <x:v>72.6</x:v>
      </x:c>
      <x:c r="E1233" s="898" t="n">
        <x:v>73</x:v>
      </x:c>
      <x:c r="F1233" s="901" t="n">
        <x:v>640300</x:v>
      </x:c>
      <x:c r="G1233" s="904" t="n">
        <x:v>1857.24</x:v>
      </x:c>
      <x:c r="H1233" s="904" t="n">
        <x:v>1873.91</x:v>
      </x:c>
      <x:c r="I1233" s="904" t="n">
        <x:v>1854.94</x:v>
      </x:c>
      <x:c r="J1233" s="904" t="n">
        <x:v>1871.91</x:v>
      </x:c>
      <x:c r="K1233" s="901" t="n">
        <x:v>533612987</x:v>
      </x:c>
      <x:c r="L1233" s="907" t="str">
        <x:v>SRC-P404</x:v>
      </x:c>
      <x:c r="M1233" s="907" t="str">
        <x:v>VNStock API actual</x:v>
      </x:c>
      <x:c r="N1233" s="1032" t="n">
        <x:v>46229.241747685184</x:v>
      </x:c>
    </x:row>
    <x:row r="1234">
      <x:c r="A1234" s="895" t="n">
        <x:v>46202</x:v>
      </x:c>
      <x:c r="B1234" s="898" t="n">
        <x:v>73</x:v>
      </x:c>
      <x:c r="C1234" s="898" t="n">
        <x:v>73.8</x:v>
      </x:c>
      <x:c r="D1234" s="898" t="n">
        <x:v>72.4</x:v>
      </x:c>
      <x:c r="E1234" s="898" t="n">
        <x:v>73.6</x:v>
      </x:c>
      <x:c r="F1234" s="901" t="n">
        <x:v>759300</x:v>
      </x:c>
      <x:c r="G1234" s="904" t="n">
        <x:v>1868.64</x:v>
      </x:c>
      <x:c r="H1234" s="904" t="n">
        <x:v>1869.52</x:v>
      </x:c>
      <x:c r="I1234" s="904" t="n">
        <x:v>1852.2</x:v>
      </x:c>
      <x:c r="J1234" s="904" t="n">
        <x:v>1854.97</x:v>
      </x:c>
      <x:c r="K1234" s="901" t="n">
        <x:v>599912666</x:v>
      </x:c>
      <x:c r="L1234" s="907" t="str">
        <x:v>SRC-P404</x:v>
      </x:c>
      <x:c r="M1234" s="907" t="str">
        <x:v>VNStock API actual</x:v>
      </x:c>
      <x:c r="N1234" s="1032" t="n">
        <x:v>46229.241747685184</x:v>
      </x:c>
    </x:row>
    <x:row r="1235">
      <x:c r="A1235" s="895" t="n">
        <x:v>46203</x:v>
      </x:c>
      <x:c r="B1235" s="898" t="n">
        <x:v>74</x:v>
      </x:c>
      <x:c r="C1235" s="898" t="n">
        <x:v>74.7</x:v>
      </x:c>
      <x:c r="D1235" s="898" t="n">
        <x:v>73.2</x:v>
      </x:c>
      <x:c r="E1235" s="898" t="n">
        <x:v>73.6</x:v>
      </x:c>
      <x:c r="F1235" s="901" t="n">
        <x:v>773500</x:v>
      </x:c>
      <x:c r="G1235" s="904" t="n">
        <x:v>1855.67</x:v>
      </x:c>
      <x:c r="H1235" s="904" t="n">
        <x:v>1863.14</x:v>
      </x:c>
      <x:c r="I1235" s="904" t="n">
        <x:v>1844.66</x:v>
      </x:c>
      <x:c r="J1235" s="904" t="n">
        <x:v>1860.01</x:v>
      </x:c>
      <x:c r="K1235" s="901" t="n">
        <x:v>692765051</x:v>
      </x:c>
      <x:c r="L1235" s="907" t="str">
        <x:v>SRC-P404</x:v>
      </x:c>
      <x:c r="M1235" s="907" t="str">
        <x:v>VNStock API actual</x:v>
      </x:c>
      <x:c r="N1235" s="1032" t="n">
        <x:v>46229.241747685184</x:v>
      </x:c>
    </x:row>
    <x:row r="1236">
      <x:c r="A1236" s="895" t="n">
        <x:v>46204</x:v>
      </x:c>
      <x:c r="B1236" s="898" t="n">
        <x:v>73.6</x:v>
      </x:c>
      <x:c r="C1236" s="898" t="n">
        <x:v>74.3</x:v>
      </x:c>
      <x:c r="D1236" s="898" t="n">
        <x:v>73.3</x:v>
      </x:c>
      <x:c r="E1236" s="898" t="n">
        <x:v>74.3</x:v>
      </x:c>
      <x:c r="F1236" s="901" t="n">
        <x:v>685700</x:v>
      </x:c>
      <x:c r="G1236" s="904" t="n">
        <x:v>1859.96</x:v>
      </x:c>
      <x:c r="H1236" s="904" t="n">
        <x:v>1871.68</x:v>
      </x:c>
      <x:c r="I1236" s="904" t="n">
        <x:v>1859.68</x:v>
      </x:c>
      <x:c r="J1236" s="904" t="n">
        <x:v>1867.21</x:v>
      </x:c>
      <x:c r="K1236" s="901" t="n">
        <x:v>615059624</x:v>
      </x:c>
      <x:c r="L1236" s="907" t="str">
        <x:v>SRC-P404</x:v>
      </x:c>
      <x:c r="M1236" s="907" t="str">
        <x:v>VNStock API actual</x:v>
      </x:c>
      <x:c r="N1236" s="1032" t="n">
        <x:v>46229.241747685184</x:v>
      </x:c>
    </x:row>
    <x:row r="1237">
      <x:c r="A1237" s="895" t="n">
        <x:v>46205</x:v>
      </x:c>
      <x:c r="B1237" s="898" t="n">
        <x:v>74.6</x:v>
      </x:c>
      <x:c r="C1237" s="898" t="n">
        <x:v>76</x:v>
      </x:c>
      <x:c r="D1237" s="898" t="n">
        <x:v>74.2</x:v>
      </x:c>
      <x:c r="E1237" s="898" t="n">
        <x:v>75.3</x:v>
      </x:c>
      <x:c r="F1237" s="901" t="n">
        <x:v>1585600</x:v>
      </x:c>
      <x:c r="G1237" s="904" t="n">
        <x:v>1869.87</x:v>
      </x:c>
      <x:c r="H1237" s="904" t="n">
        <x:v>1873.87</x:v>
      </x:c>
      <x:c r="I1237" s="904" t="n">
        <x:v>1863.75</x:v>
      </x:c>
      <x:c r="J1237" s="904" t="n">
        <x:v>1866.35</x:v>
      </x:c>
      <x:c r="K1237" s="901" t="n">
        <x:v>565120875</x:v>
      </x:c>
      <x:c r="L1237" s="907" t="str">
        <x:v>SRC-P404</x:v>
      </x:c>
      <x:c r="M1237" s="907" t="str">
        <x:v>VNStock API actual</x:v>
      </x:c>
      <x:c r="N1237" s="1032" t="n">
        <x:v>46229.241747685184</x:v>
      </x:c>
    </x:row>
    <x:row r="1238">
      <x:c r="A1238" s="895" t="n">
        <x:v>46206</x:v>
      </x:c>
      <x:c r="B1238" s="898" t="n">
        <x:v>75</x:v>
      </x:c>
      <x:c r="C1238" s="898" t="n">
        <x:v>76.5</x:v>
      </x:c>
      <x:c r="D1238" s="898" t="n">
        <x:v>73.9</x:v>
      </x:c>
      <x:c r="E1238" s="898" t="n">
        <x:v>76.4</x:v>
      </x:c>
      <x:c r="F1238" s="901" t="n">
        <x:v>1759700</x:v>
      </x:c>
      <x:c r="G1238" s="904" t="n">
        <x:v>1867.17</x:v>
      </x:c>
      <x:c r="H1238" s="904" t="n">
        <x:v>1872.98</x:v>
      </x:c>
      <x:c r="I1238" s="904" t="n">
        <x:v>1857.28</x:v>
      </x:c>
      <x:c r="J1238" s="904" t="n">
        <x:v>1862.08</x:v>
      </x:c>
      <x:c r="K1238" s="901" t="n">
        <x:v>610754645</x:v>
      </x:c>
      <x:c r="L1238" s="907" t="str">
        <x:v>SRC-P404</x:v>
      </x:c>
      <x:c r="M1238" s="907" t="str">
        <x:v>VNStock API actual</x:v>
      </x:c>
      <x:c r="N1238" s="1032" t="n">
        <x:v>46229.241747685184</x:v>
      </x:c>
    </x:row>
    <x:row r="1239">
      <x:c r="A1239" s="895" t="n">
        <x:v>46209</x:v>
      </x:c>
      <x:c r="B1239" s="898" t="n">
        <x:v>76.3</x:v>
      </x:c>
      <x:c r="C1239" s="898" t="n">
        <x:v>78.2</x:v>
      </x:c>
      <x:c r="D1239" s="898" t="n">
        <x:v>75.3</x:v>
      </x:c>
      <x:c r="E1239" s="898" t="n">
        <x:v>77.2</x:v>
      </x:c>
      <x:c r="F1239" s="901" t="n">
        <x:v>2115500</x:v>
      </x:c>
      <x:c r="G1239" s="904" t="n">
        <x:v>1873.24</x:v>
      </x:c>
      <x:c r="H1239" s="904" t="n">
        <x:v>1873.58</x:v>
      </x:c>
      <x:c r="I1239" s="904" t="n">
        <x:v>1829.05</x:v>
      </x:c>
      <x:c r="J1239" s="904" t="n">
        <x:v>1843.5</x:v>
      </x:c>
      <x:c r="K1239" s="901" t="n">
        <x:v>798795216</x:v>
      </x:c>
      <x:c r="L1239" s="907" t="str">
        <x:v>SRC-P404</x:v>
      </x:c>
      <x:c r="M1239" s="907" t="str">
        <x:v>VNStock API actual</x:v>
      </x:c>
      <x:c r="N1239" s="1032" t="n">
        <x:v>46229.241747685184</x:v>
      </x:c>
    </x:row>
    <x:row r="1240">
      <x:c r="A1240" s="895" t="n">
        <x:v>46210</x:v>
      </x:c>
      <x:c r="B1240" s="898" t="n">
        <x:v>77.2</x:v>
      </x:c>
      <x:c r="C1240" s="898" t="n">
        <x:v>77.3</x:v>
      </x:c>
      <x:c r="D1240" s="898" t="n">
        <x:v>75.8</x:v>
      </x:c>
      <x:c r="E1240" s="898" t="n">
        <x:v>76</x:v>
      </x:c>
      <x:c r="F1240" s="901" t="n">
        <x:v>1718400</x:v>
      </x:c>
      <x:c r="G1240" s="904" t="n">
        <x:v>1840.69</x:v>
      </x:c>
      <x:c r="H1240" s="904" t="n">
        <x:v>1848.25</x:v>
      </x:c>
      <x:c r="I1240" s="904" t="n">
        <x:v>1825.79</x:v>
      </x:c>
      <x:c r="J1240" s="904" t="n">
        <x:v>1848.25</x:v>
      </x:c>
      <x:c r="K1240" s="901" t="n">
        <x:v>555740727</x:v>
      </x:c>
      <x:c r="L1240" s="907" t="str">
        <x:v>SRC-P404</x:v>
      </x:c>
      <x:c r="M1240" s="907" t="str">
        <x:v>VNStock API actual</x:v>
      </x:c>
      <x:c r="N1240" s="1032" t="n">
        <x:v>46229.241747685184</x:v>
      </x:c>
    </x:row>
    <x:row r="1241">
      <x:c r="A1241" s="895" t="n">
        <x:v>46211</x:v>
      </x:c>
      <x:c r="B1241" s="898" t="n">
        <x:v>76.2</x:v>
      </x:c>
      <x:c r="C1241" s="898" t="n">
        <x:v>77.4</x:v>
      </x:c>
      <x:c r="D1241" s="898" t="n">
        <x:v>75.8</x:v>
      </x:c>
      <x:c r="E1241" s="898" t="n">
        <x:v>77.4</x:v>
      </x:c>
      <x:c r="F1241" s="901" t="n">
        <x:v>1249600</x:v>
      </x:c>
      <x:c r="G1241" s="904" t="n">
        <x:v>1847.42</x:v>
      </x:c>
      <x:c r="H1241" s="904" t="n">
        <x:v>1855.74</x:v>
      </x:c>
      <x:c r="I1241" s="904" t="n">
        <x:v>1842.19</x:v>
      </x:c>
      <x:c r="J1241" s="904" t="n">
        <x:v>1853.7</x:v>
      </x:c>
      <x:c r="K1241" s="901" t="n">
        <x:v>665008700</x:v>
      </x:c>
      <x:c r="L1241" s="907" t="str">
        <x:v>SRC-P404</x:v>
      </x:c>
      <x:c r="M1241" s="907" t="str">
        <x:v>VNStock API actual</x:v>
      </x:c>
      <x:c r="N1241" s="1032" t="n">
        <x:v>46229.241747685184</x:v>
      </x:c>
    </x:row>
    <x:row r="1242">
      <x:c r="A1242" s="895" t="n">
        <x:v>46212</x:v>
      </x:c>
      <x:c r="B1242" s="898" t="n">
        <x:v>77</x:v>
      </x:c>
      <x:c r="C1242" s="898" t="n">
        <x:v>77.1</x:v>
      </x:c>
      <x:c r="D1242" s="898" t="n">
        <x:v>76.1</x:v>
      </x:c>
      <x:c r="E1242" s="898" t="n">
        <x:v>76.1</x:v>
      </x:c>
      <x:c r="F1242" s="901" t="n">
        <x:v>810100</x:v>
      </x:c>
      <x:c r="G1242" s="904" t="n">
        <x:v>1843.01</x:v>
      </x:c>
      <x:c r="H1242" s="904" t="n">
        <x:v>1850.56</x:v>
      </x:c>
      <x:c r="I1242" s="904" t="n">
        <x:v>1838.26</x:v>
      </x:c>
      <x:c r="J1242" s="904" t="n">
        <x:v>1840.7</x:v>
      </x:c>
      <x:c r="K1242" s="901" t="n">
        <x:v>587308279</x:v>
      </x:c>
      <x:c r="L1242" s="907" t="str">
        <x:v>SRC-P404</x:v>
      </x:c>
      <x:c r="M1242" s="907" t="str">
        <x:v>VNStock API actual</x:v>
      </x:c>
      <x:c r="N1242" s="1032" t="n">
        <x:v>46229.241747685184</x:v>
      </x:c>
    </x:row>
    <x:row r="1243">
      <x:c r="A1243" s="895" t="n">
        <x:v>46213</x:v>
      </x:c>
      <x:c r="B1243" s="898" t="n">
        <x:v>74.4</x:v>
      </x:c>
      <x:c r="C1243" s="898" t="n">
        <x:v>76.5</x:v>
      </x:c>
      <x:c r="D1243" s="898" t="n">
        <x:v>73.4</x:v>
      </x:c>
      <x:c r="E1243" s="898" t="n">
        <x:v>75.3</x:v>
      </x:c>
      <x:c r="F1243" s="901" t="n">
        <x:v>2176400</x:v>
      </x:c>
      <x:c r="G1243" s="904" t="n">
        <x:v>1840.33</x:v>
      </x:c>
      <x:c r="H1243" s="904" t="n">
        <x:v>1845.86</x:v>
      </x:c>
      <x:c r="I1243" s="904" t="n">
        <x:v>1827.5</x:v>
      </x:c>
      <x:c r="J1243" s="904" t="n">
        <x:v>1828.34</x:v>
      </x:c>
      <x:c r="K1243" s="901" t="n">
        <x:v>592728766</x:v>
      </x:c>
      <x:c r="L1243" s="907" t="str">
        <x:v>SRC-P404</x:v>
      </x:c>
      <x:c r="M1243" s="907" t="str">
        <x:v>VNStock API actual</x:v>
      </x:c>
      <x:c r="N1243" s="1032" t="n">
        <x:v>46229.241747685184</x:v>
      </x:c>
    </x:row>
    <x:row r="1244">
      <x:c r="A1244" s="895" t="n">
        <x:v>46216</x:v>
      </x:c>
      <x:c r="B1244" s="898" t="n">
        <x:v>75.4</x:v>
      </x:c>
      <x:c r="C1244" s="898" t="n">
        <x:v>77.1</x:v>
      </x:c>
      <x:c r="D1244" s="898" t="n">
        <x:v>74.2</x:v>
      </x:c>
      <x:c r="E1244" s="898" t="n">
        <x:v>75.3</x:v>
      </x:c>
      <x:c r="F1244" s="901" t="n">
        <x:v>1519700</x:v>
      </x:c>
      <x:c r="G1244" s="904" t="n">
        <x:v>1829.5</x:v>
      </x:c>
      <x:c r="H1244" s="904" t="n">
        <x:v>1829.5</x:v>
      </x:c>
      <x:c r="I1244" s="904" t="n">
        <x:v>1781.45</x:v>
      </x:c>
      <x:c r="J1244" s="904" t="n">
        <x:v>1800.54</x:v>
      </x:c>
      <x:c r="K1244" s="901" t="n">
        <x:v>849625055</x:v>
      </x:c>
      <x:c r="L1244" s="907" t="str">
        <x:v>SRC-P404</x:v>
      </x:c>
      <x:c r="M1244" s="907" t="str">
        <x:v>VNStock API actual</x:v>
      </x:c>
      <x:c r="N1244" s="1032" t="n">
        <x:v>46229.241747685184</x:v>
      </x:c>
    </x:row>
    <x:row r="1245">
      <x:c r="A1245" s="895" t="n">
        <x:v>46217</x:v>
      </x:c>
      <x:c r="B1245" s="898" t="n">
        <x:v>75.3</x:v>
      </x:c>
      <x:c r="C1245" s="898" t="n">
        <x:v>77.8</x:v>
      </x:c>
      <x:c r="D1245" s="898" t="n">
        <x:v>75</x:v>
      </x:c>
      <x:c r="E1245" s="898" t="n">
        <x:v>77.5</x:v>
      </x:c>
      <x:c r="F1245" s="901" t="n">
        <x:v>2417600</x:v>
      </x:c>
      <x:c r="G1245" s="904" t="n">
        <x:v>1793.23</x:v>
      </x:c>
      <x:c r="H1245" s="904" t="n">
        <x:v>1806.63</x:v>
      </x:c>
      <x:c r="I1245" s="904" t="n">
        <x:v>1774.22</x:v>
      </x:c>
      <x:c r="J1245" s="904" t="n">
        <x:v>1806.63</x:v>
      </x:c>
      <x:c r="K1245" s="901" t="n">
        <x:v>564797508</x:v>
      </x:c>
      <x:c r="L1245" s="907" t="str">
        <x:v>SRC-P404</x:v>
      </x:c>
      <x:c r="M1245" s="907" t="str">
        <x:v>VNStock API actual</x:v>
      </x:c>
      <x:c r="N1245" s="1032" t="n">
        <x:v>46229.241747685184</x:v>
      </x:c>
    </x:row>
    <x:row r="1246">
      <x:c r="A1246" s="895" t="n">
        <x:v>46218</x:v>
      </x:c>
      <x:c r="B1246" s="898" t="n">
        <x:v>77.1</x:v>
      </x:c>
      <x:c r="C1246" s="898" t="n">
        <x:v>77.4</x:v>
      </x:c>
      <x:c r="D1246" s="898" t="n">
        <x:v>76.5</x:v>
      </x:c>
      <x:c r="E1246" s="898" t="n">
        <x:v>77</x:v>
      </x:c>
      <x:c r="F1246" s="901" t="n">
        <x:v>726100</x:v>
      </x:c>
      <x:c r="G1246" s="904" t="n">
        <x:v>1805.93</x:v>
      </x:c>
      <x:c r="H1246" s="904" t="n">
        <x:v>1805.93</x:v>
      </x:c>
      <x:c r="I1246" s="904" t="n">
        <x:v>1776.83</x:v>
      </x:c>
      <x:c r="J1246" s="904" t="n">
        <x:v>1782.12</x:v>
      </x:c>
      <x:c r="K1246" s="901" t="n">
        <x:v>607367371</x:v>
      </x:c>
      <x:c r="L1246" s="907" t="str">
        <x:v>SRC-P404</x:v>
      </x:c>
      <x:c r="M1246" s="907" t="str">
        <x:v>VNStock API actual</x:v>
      </x:c>
      <x:c r="N1246" s="1032" t="n">
        <x:v>46229.241747685184</x:v>
      </x:c>
    </x:row>
    <x:row r="1247">
      <x:c r="A1247" s="895" t="n">
        <x:v>46219</x:v>
      </x:c>
      <x:c r="B1247" s="898" t="n">
        <x:v>77</x:v>
      </x:c>
      <x:c r="C1247" s="898" t="n">
        <x:v>79.3</x:v>
      </x:c>
      <x:c r="D1247" s="898" t="n">
        <x:v>75.8</x:v>
      </x:c>
      <x:c r="E1247" s="898" t="n">
        <x:v>79</x:v>
      </x:c>
      <x:c r="F1247" s="901" t="n">
        <x:v>2607300</x:v>
      </x:c>
      <x:c r="G1247" s="904" t="n">
        <x:v>1772.52</x:v>
      </x:c>
      <x:c r="H1247" s="904" t="n">
        <x:v>1804.3</x:v>
      </x:c>
      <x:c r="I1247" s="904" t="n">
        <x:v>1757.42</x:v>
      </x:c>
      <x:c r="J1247" s="904" t="n">
        <x:v>1804.24</x:v>
      </x:c>
      <x:c r="K1247" s="901" t="n">
        <x:v>788701791</x:v>
      </x:c>
      <x:c r="L1247" s="907" t="str">
        <x:v>SRC-P404</x:v>
      </x:c>
      <x:c r="M1247" s="907" t="str">
        <x:v>VNStock API actual</x:v>
      </x:c>
      <x:c r="N1247" s="1032" t="n">
        <x:v>46229.241747685184</x:v>
      </x:c>
    </x:row>
    <x:row r="1248">
      <x:c r="A1248" s="895" t="n">
        <x:v>46220</x:v>
      </x:c>
      <x:c r="B1248" s="898" t="n">
        <x:v>79</x:v>
      </x:c>
      <x:c r="C1248" s="898" t="n">
        <x:v>79</x:v>
      </x:c>
      <x:c r="D1248" s="898" t="n">
        <x:v>76.4</x:v>
      </x:c>
      <x:c r="E1248" s="898" t="n">
        <x:v>77.5</x:v>
      </x:c>
      <x:c r="F1248" s="901" t="n">
        <x:v>990500</x:v>
      </x:c>
      <x:c r="G1248" s="904" t="n">
        <x:v>1801.89</x:v>
      </x:c>
      <x:c r="H1248" s="904" t="n">
        <x:v>1803.14</x:v>
      </x:c>
      <x:c r="I1248" s="904" t="n">
        <x:v>1780.3</x:v>
      </x:c>
      <x:c r="J1248" s="904" t="n">
        <x:v>1787.45</x:v>
      </x:c>
      <x:c r="K1248" s="901" t="n">
        <x:v>436669396</x:v>
      </x:c>
      <x:c r="L1248" s="907" t="str">
        <x:v>SRC-P404</x:v>
      </x:c>
      <x:c r="M1248" s="907" t="str">
        <x:v>VNStock API actual</x:v>
      </x:c>
      <x:c r="N1248" s="1032" t="n">
        <x:v>46229.241747685184</x:v>
      </x:c>
    </x:row>
    <x:row r="1249">
      <x:c r="A1249" s="895" t="n">
        <x:v>46223</x:v>
      </x:c>
      <x:c r="B1249" s="898" t="n">
        <x:v>76.7</x:v>
      </x:c>
      <x:c r="C1249" s="898" t="n">
        <x:v>77.1</x:v>
      </x:c>
      <x:c r="D1249" s="898" t="n">
        <x:v>75.3</x:v>
      </x:c>
      <x:c r="E1249" s="898" t="n">
        <x:v>76</x:v>
      </x:c>
      <x:c r="F1249" s="901" t="n">
        <x:v>923100</x:v>
      </x:c>
      <x:c r="G1249" s="904" t="n">
        <x:v>1782.93</x:v>
      </x:c>
      <x:c r="H1249" s="904" t="n">
        <x:v>1783.83</x:v>
      </x:c>
      <x:c r="I1249" s="904" t="n">
        <x:v>1736.43</x:v>
      </x:c>
      <x:c r="J1249" s="904" t="n">
        <x:v>1743.51</x:v>
      </x:c>
      <x:c r="K1249" s="901" t="n">
        <x:v>862568937</x:v>
      </x:c>
      <x:c r="L1249" s="907" t="str">
        <x:v>SRC-P404</x:v>
      </x:c>
      <x:c r="M1249" s="907" t="str">
        <x:v>VNStock API actual</x:v>
      </x:c>
      <x:c r="N1249" s="1032" t="n">
        <x:v>46229.241747685184</x:v>
      </x:c>
    </x:row>
    <x:row r="1250">
      <x:c r="A1250" s="895" t="n">
        <x:v>46224</x:v>
      </x:c>
      <x:c r="B1250" s="898" t="n">
        <x:v>76</x:v>
      </x:c>
      <x:c r="C1250" s="898" t="n">
        <x:v>77.4</x:v>
      </x:c>
      <x:c r="D1250" s="898" t="n">
        <x:v>75.7</x:v>
      </x:c>
      <x:c r="E1250" s="898" t="n">
        <x:v>76</x:v>
      </x:c>
      <x:c r="F1250" s="901" t="n">
        <x:v>874700</x:v>
      </x:c>
      <x:c r="G1250" s="904" t="n">
        <x:v>1733.44</x:v>
      </x:c>
      <x:c r="H1250" s="904" t="n">
        <x:v>1750.3</x:v>
      </x:c>
      <x:c r="I1250" s="904" t="n">
        <x:v>1722.55</x:v>
      </x:c>
      <x:c r="J1250" s="904" t="n">
        <x:v>1730.56</x:v>
      </x:c>
      <x:c r="K1250" s="901" t="n">
        <x:v>789069211</x:v>
      </x:c>
      <x:c r="L1250" s="907" t="str">
        <x:v>SRC-P404</x:v>
      </x:c>
      <x:c r="M1250" s="907" t="str">
        <x:v>VNStock API actual</x:v>
      </x:c>
      <x:c r="N1250" s="1032" t="n">
        <x:v>46229.241747685184</x:v>
      </x:c>
    </x:row>
    <x:row r="1251">
      <x:c r="A1251" s="895" t="n">
        <x:v>46225</x:v>
      </x:c>
      <x:c r="B1251" s="898" t="n">
        <x:v>75.7</x:v>
      </x:c>
      <x:c r="C1251" s="898" t="n">
        <x:v>76.3</x:v>
      </x:c>
      <x:c r="D1251" s="898" t="n">
        <x:v>72</x:v>
      </x:c>
      <x:c r="E1251" s="898" t="n">
        <x:v>72</x:v>
      </x:c>
      <x:c r="F1251" s="901" t="n">
        <x:v>2233100</x:v>
      </x:c>
      <x:c r="G1251" s="904" t="n">
        <x:v>1729.33</x:v>
      </x:c>
      <x:c r="H1251" s="904" t="n">
        <x:v>1736.91</x:v>
      </x:c>
      <x:c r="I1251" s="904" t="n">
        <x:v>1666.43</x:v>
      </x:c>
      <x:c r="J1251" s="904" t="n">
        <x:v>1668.53</x:v>
      </x:c>
      <x:c r="K1251" s="901" t="n">
        <x:v>915046404</x:v>
      </x:c>
      <x:c r="L1251" s="907" t="str">
        <x:v>SRC-P404</x:v>
      </x:c>
      <x:c r="M1251" s="907" t="str">
        <x:v>VNStock API actual</x:v>
      </x:c>
      <x:c r="N1251" s="1032" t="n">
        <x:v>46229.241747685184</x:v>
      </x:c>
    </x:row>
    <x:row r="1252">
      <x:c r="A1252" s="895" t="n">
        <x:v>46226</x:v>
      </x:c>
      <x:c r="B1252" s="898" t="n">
        <x:v>71.9</x:v>
      </x:c>
      <x:c r="C1252" s="898" t="n">
        <x:v>72.2</x:v>
      </x:c>
      <x:c r="D1252" s="898" t="n">
        <x:v>67</x:v>
      </x:c>
      <x:c r="E1252" s="898" t="n">
        <x:v>72</x:v>
      </x:c>
      <x:c r="F1252" s="901" t="n">
        <x:v>3404000</x:v>
      </x:c>
      <x:c r="G1252" s="904" t="n">
        <x:v>1664.5</x:v>
      </x:c>
      <x:c r="H1252" s="904" t="n">
        <x:v>1703.48</x:v>
      </x:c>
      <x:c r="I1252" s="904" t="n">
        <x:v>1658.35</x:v>
      </x:c>
      <x:c r="J1252" s="904" t="n">
        <x:v>1699.38</x:v>
      </x:c>
      <x:c r="K1252" s="901" t="n">
        <x:v>864451379</x:v>
      </x:c>
      <x:c r="L1252" s="907" t="str">
        <x:v>SRC-P404</x:v>
      </x:c>
      <x:c r="M1252" s="907" t="str">
        <x:v>VNStock API actual</x:v>
      </x:c>
      <x:c r="N1252" s="1032" t="n">
        <x:v>46229.241747685184</x:v>
      </x:c>
    </x:row>
    <x:row r="1253">
      <x:c r="A1253" s="896" t="n">
        <x:v>46227</x:v>
      </x:c>
      <x:c r="B1253" s="899" t="n">
        <x:v>72</x:v>
      </x:c>
      <x:c r="C1253" s="899" t="n">
        <x:v>73.2</x:v>
      </x:c>
      <x:c r="D1253" s="899" t="n">
        <x:v>70.6</x:v>
      </x:c>
      <x:c r="E1253" s="899" t="n">
        <x:v>73.2</x:v>
      </x:c>
      <x:c r="F1253" s="902" t="n">
        <x:v>1829400</x:v>
      </x:c>
      <x:c r="G1253" s="905" t="n">
        <x:v>1683.23</x:v>
      </x:c>
      <x:c r="H1253" s="905" t="n">
        <x:v>1696.78</x:v>
      </x:c>
      <x:c r="I1253" s="905" t="n">
        <x:v>1674.64</x:v>
      </x:c>
      <x:c r="J1253" s="905" t="n">
        <x:v>1686.11</x:v>
      </x:c>
      <x:c r="K1253" s="902" t="n">
        <x:v>589610571</x:v>
      </x:c>
      <x:c r="L1253" s="908" t="str">
        <x:v>SRC-P404</x:v>
      </x:c>
      <x:c r="M1253" s="908" t="str">
        <x:v>VNStock API actual</x:v>
      </x:c>
      <x:c r="N1253" s="1033" t="n">
        <x:v>46229.241747685184</x:v>
      </x:c>
    </x:row>
  </x:sheetData>
  <x:mergeCells>
    <x:mergeCell ref="A1:N1"/>
    <x:mergeCell ref="A2:N2"/>
    <x:mergeCell ref="A3:N3"/>
  </x:mergeCells>
  <x:pageMargins left="0.7" right="0.7" top="0.75" bottom="0.75" header="0.3" footer="0.3"/>
</x:worksheet>
</file>

<file path=xl/worksheets/sheet37.xml><?xml version="1.0" encoding="utf-8"?>
<x:worksheet xmlns:x="http://schemas.openxmlformats.org/spreadsheetml/2006/main">
  <x:sheetViews>
    <x:sheetView showGridLines="0" workbookViewId="0"/>
  </x:sheetViews>
  <x:sheetFormatPr defaultRowHeight="15"/>
  <x:cols>
    <x:col min="1" max="1" width="15" hidden="0" customWidth="1"/>
    <x:col min="2" max="2" width="12" hidden="0" customWidth="1"/>
    <x:col min="3" max="3" width="14" hidden="0" customWidth="1"/>
    <x:col min="4" max="4" width="38" hidden="0" customWidth="1"/>
    <x:col min="5" max="5" width="15" hidden="0" customWidth="1"/>
    <x:col min="6" max="6" width="15" hidden="0" customWidth="1"/>
    <x:col min="7" max="7" width="15" hidden="0" customWidth="1"/>
    <x:col min="8" max="8" width="10" hidden="0" customWidth="1"/>
    <x:col min="9" max="9" width="12" hidden="0" customWidth="1"/>
    <x:col min="10" max="10" width="12" hidden="0" customWidth="1"/>
    <x:col min="11" max="11" width="12" hidden="0" customWidth="1"/>
    <x:col min="12" max="12" width="12" hidden="0" customWidth="1"/>
    <x:col min="13" max="13" width="12" hidden="0" customWidth="1"/>
    <x:col min="14" max="14" width="12" hidden="0" customWidth="1"/>
    <x:col min="15" max="15" width="12" hidden="0" customWidth="1"/>
    <x:col min="16" max="16" width="12" hidden="0" customWidth="1"/>
    <x:col min="17" max="17" width="12" hidden="0" customWidth="1"/>
  </x:cols>
  <x:sheetData>
    <x:row r="1" ht="28" customHeight="1">
      <x:c r="A1" s="1022" t="str">
        <x:v>P4 Beta — GMD vs VN-Index Weekly Regression</x:v>
      </x:c>
      <x:c r="B1" s="1022"/>
      <x:c r="C1" s="1022"/>
      <x:c r="D1" s="1022"/>
      <x:c r="E1" s="1022"/>
      <x:c r="F1" s="1022"/>
      <x:c r="G1" s="1022"/>
      <x:c r="H1" s="1022"/>
      <x:c r="I1" s="1022"/>
      <x:c r="J1" s="1022"/>
      <x:c r="K1" s="1022"/>
      <x:c r="L1" s="1022"/>
      <x:c r="M1" s="1022"/>
      <x:c r="N1" s="1022"/>
      <x:c r="O1" s="1022"/>
      <x:c r="P1" s="1022"/>
      <x:c r="Q1" s="1022"/>
    </x:row>
    <x:row r="2" ht="30" customHeight="1">
      <x:c r="A2" s="1025" t="str">
        <x:v>Five-year weekly close-to-close beta. Raw prices remain in Raw Beta Prices; weekly observations below link back to the exact source rows.</x:v>
      </x:c>
      <x:c r="B2" s="1025"/>
      <x:c r="C2" s="1025"/>
      <x:c r="D2" s="1025"/>
      <x:c r="E2" s="1025"/>
      <x:c r="F2" s="1025"/>
      <x:c r="G2" s="1025"/>
      <x:c r="H2" s="1025"/>
      <x:c r="I2" s="1025"/>
      <x:c r="J2" s="1025"/>
      <x:c r="K2" s="1025"/>
      <x:c r="L2" s="1025"/>
      <x:c r="M2" s="1025"/>
      <x:c r="N2" s="1025"/>
      <x:c r="O2" s="1025"/>
      <x:c r="P2" s="1025"/>
      <x:c r="Q2" s="1025"/>
    </x:row>
    <x:row r="4">
      <x:c r="A4" s="1035" t="str">
        <x:v>Regression diagnostics</x:v>
      </x:c>
      <x:c r="B4" s="1035"/>
      <x:c r="C4" s="1035"/>
      <x:c r="D4" s="1035"/>
      <x:c r="E4" s="1035" t="str">
        <x:v>Valuation beta selection</x:v>
      </x:c>
      <x:c r="F4" s="1035"/>
      <x:c r="G4" s="1035"/>
      <x:c r="I4" s="1035" t="str">
        <x:v>Interpretation</x:v>
      </x:c>
      <x:c r="J4" s="1035"/>
      <x:c r="K4" s="1035"/>
      <x:c r="L4" s="1035"/>
      <x:c r="M4" s="1035"/>
      <x:c r="N4" s="1035"/>
      <x:c r="O4" s="1035"/>
      <x:c r="P4" s="1035"/>
      <x:c r="Q4" s="1035"/>
    </x:row>
    <x:row r="5">
      <x:c r="A5" s="1039" t="str">
        <x:v>Metric</x:v>
      </x:c>
      <x:c r="B5" s="1039" t="str">
        <x:v>Unit</x:v>
      </x:c>
      <x:c r="C5" s="1039" t="str">
        <x:v>Value</x:v>
      </x:c>
      <x:c r="D5" s="1039" t="str">
        <x:v>Definition / formula</x:v>
      </x:c>
      <x:c r="E5" s="1039" t="str">
        <x:v>Base</x:v>
      </x:c>
      <x:c r="F5" s="1039" t="str">
        <x:v>Bull</x:v>
      </x:c>
      <x:c r="G5" s="1039" t="str">
        <x:v>Bear</x:v>
      </x:c>
      <x:c r="I5" s="1067" t="str">
        <x:v>How to read this sheet
• Raw beta is calculated from 258 aligned weekly returns.
• Blume adjustment pulls the regression estimate toward 1.0.
• The selected Base beta remains 0.95 to preserve the published valuation and add a conservative overlay because the API supplied close, not a separate adjusted-close series, and R² is limited.
• Bull/Bear beta values are explicitly labelled valuation stress, not operating assumptions.
• P4 Assumptions now links to the selected beta cells; WACC and DCF remain formula-driven.</x:v>
      </x:c>
      <x:c r="J5" s="1068"/>
      <x:c r="K5" s="1068"/>
      <x:c r="L5" s="1068"/>
      <x:c r="M5" s="1068"/>
      <x:c r="N5" s="1068"/>
      <x:c r="O5" s="1068"/>
      <x:c r="P5" s="1068"/>
      <x:c r="Q5" s="1069"/>
    </x:row>
    <x:row r="6">
      <x:c r="A6" s="917" t="str">
        <x:v>Regression start</x:v>
      </x:c>
      <x:c r="B6" s="917" t="str">
        <x:v>Date</x:v>
      </x:c>
      <x:c r="C6" s="918" t="n">
        <x:v>44400</x:v>
      </x:c>
      <x:c r="D6" s="917" t="str">
        <x:v>Five-year observation window.</x:v>
      </x:c>
      <x:c r="E6" s="1042" t="n">
        <x:v>0.95</x:v>
      </x:c>
      <x:c r="F6" s="1045" t="n">
        <x:f>E6-0.10</x:f>
        <x:v>0.85</x:v>
      </x:c>
      <x:c r="G6" s="1045" t="n">
        <x:f>E6+0.10</x:f>
        <x:v>1.05</x:v>
      </x:c>
      <x:c r="I6" s="1070"/>
      <x:c r="J6" s="1071"/>
      <x:c r="K6" s="1071"/>
      <x:c r="L6" s="1071"/>
      <x:c r="M6" s="1071"/>
      <x:c r="N6" s="1071"/>
      <x:c r="O6" s="1071"/>
      <x:c r="P6" s="1071"/>
      <x:c r="Q6" s="1072"/>
    </x:row>
    <x:row r="7">
      <x:c r="A7" s="917" t="str">
        <x:v>Regression end</x:v>
      </x:c>
      <x:c r="B7" s="917" t="str">
        <x:v>Date</x:v>
      </x:c>
      <x:c r="C7" s="918" t="n">
        <x:v>46227</x:v>
      </x:c>
      <x:c r="D7" s="917" t="str">
        <x:v>Valuation market-data cut-off.</x:v>
      </x:c>
      <x:c r="E7" s="923" t="str">
        <x:v>Selected</x:v>
      </x:c>
      <x:c r="F7" s="923" t="str">
        <x:v>Valuation stress</x:v>
      </x:c>
      <x:c r="G7" s="923" t="str">
        <x:v>Valuation stress</x:v>
      </x:c>
      <x:c r="I7" s="1070"/>
      <x:c r="J7" s="1071"/>
      <x:c r="K7" s="1071"/>
      <x:c r="L7" s="1071"/>
      <x:c r="M7" s="1071"/>
      <x:c r="N7" s="1071"/>
      <x:c r="O7" s="1071"/>
      <x:c r="P7" s="1071"/>
      <x:c r="Q7" s="1072"/>
    </x:row>
    <x:row r="8">
      <x:c r="A8" s="917" t="str">
        <x:v>Raw regression beta</x:v>
      </x:c>
      <x:c r="B8" s="917" t="str">
        <x:v>x</x:v>
      </x:c>
      <x:c r="C8" s="919" t="n">
        <x:f>SLOPE(D18:D275,E18:E275)</x:f>
        <x:v>0.7499023204398405</x:v>
      </x:c>
      <x:c r="D8" s="917" t="str">
        <x:v>SLOPE(GMD weekly returns, VN-Index weekly returns).</x:v>
      </x:c>
      <x:c r="E8" s="930" t="n">
        <x:f>E6-$C$9</x:f>
        <x:v>0.11756544530530677</x:v>
      </x:c>
      <x:c r="F8" s="930" t="n">
        <x:f>F6-$C$9</x:f>
        <x:v>0.017565445305306793</x:v>
      </x:c>
      <x:c r="G8" s="930" t="n">
        <x:f>G6-$C$9</x:f>
        <x:v>0.21756544530530686</x:v>
      </x:c>
      <x:c r="I8" s="1070"/>
      <x:c r="J8" s="1071"/>
      <x:c r="K8" s="1071"/>
      <x:c r="L8" s="1071"/>
      <x:c r="M8" s="1071"/>
      <x:c r="N8" s="1071"/>
      <x:c r="O8" s="1071"/>
      <x:c r="P8" s="1071"/>
      <x:c r="Q8" s="1072"/>
    </x:row>
    <x:row r="9">
      <x:c r="A9" s="917" t="str">
        <x:v>Blume-adjusted beta</x:v>
      </x:c>
      <x:c r="B9" s="917" t="str">
        <x:v>x</x:v>
      </x:c>
      <x:c r="C9" s="919" t="n">
        <x:f>0.67*C8+0.33*1</x:f>
        <x:v>0.8324345546946932</x:v>
      </x:c>
      <x:c r="D9" s="917" t="str">
        <x:v>0.67 × raw beta + 0.33 × 1.0.</x:v>
      </x:c>
      <x:c r="E9" s="923" t="str">
        <x:v>Base overlay</x:v>
      </x:c>
      <x:c r="F9" s="923" t="str">
        <x:v>Lower-risk case</x:v>
      </x:c>
      <x:c r="G9" s="923" t="str">
        <x:v>Higher-risk case</x:v>
      </x:c>
      <x:c r="I9" s="1070"/>
      <x:c r="J9" s="1071"/>
      <x:c r="K9" s="1071"/>
      <x:c r="L9" s="1071"/>
      <x:c r="M9" s="1071"/>
      <x:c r="N9" s="1071"/>
      <x:c r="O9" s="1071"/>
      <x:c r="P9" s="1071"/>
      <x:c r="Q9" s="1072"/>
    </x:row>
    <x:row r="10">
      <x:c r="A10" s="917" t="str">
        <x:v>Correlation</x:v>
      </x:c>
      <x:c r="B10" s="917" t="str">
        <x:v>x</x:v>
      </x:c>
      <x:c r="C10" s="919" t="n">
        <x:f>CORREL(D18:D275,E18:E275)</x:f>
        <x:v>0.4482304862655865</x:v>
      </x:c>
      <x:c r="D10" s="917" t="str">
        <x:v>CORREL(GMD returns, VN-Index returns).</x:v>
      </x:c>
      <x:c r="E10" s="931" t="n">
        <x:f>'P4 Assumptions'!C106-E6</x:f>
        <x:v>0</x:v>
      </x:c>
      <x:c r="F10" s="931" t="n">
        <x:f>'P4 Assumptions'!D106-F6</x:f>
        <x:v>0</x:v>
      </x:c>
      <x:c r="G10" s="931" t="n">
        <x:f>'P4 Assumptions'!E106-G6</x:f>
        <x:v>0</x:v>
      </x:c>
      <x:c r="I10" s="1070"/>
      <x:c r="J10" s="1071"/>
      <x:c r="K10" s="1071"/>
      <x:c r="L10" s="1071"/>
      <x:c r="M10" s="1071"/>
      <x:c r="N10" s="1071"/>
      <x:c r="O10" s="1071"/>
      <x:c r="P10" s="1071"/>
      <x:c r="Q10" s="1072"/>
    </x:row>
    <x:row r="11">
      <x:c r="A11" s="917" t="str">
        <x:v>R-squared</x:v>
      </x:c>
      <x:c r="B11" s="917" t="str">
        <x:v>%</x:v>
      </x:c>
      <x:c r="C11" s="920" t="n">
        <x:f>C10^2</x:f>
        <x:v>0.2009105688178841</x:v>
      </x:c>
      <x:c r="D11" s="917" t="str">
        <x:v>Correlation squared; explanatory power of market returns.</x:v>
      </x:c>
      <x:c r="E11" s="1046" t="str">
        <x:f>IF(ABS(E10)&lt;0.0001,"OK","REVIEW")</x:f>
        <x:v>OK</x:v>
      </x:c>
      <x:c r="F11" s="1046" t="str">
        <x:f>IF(ABS(F10)&lt;0.0001,"OK","REVIEW")</x:f>
        <x:v>OK</x:v>
      </x:c>
      <x:c r="G11" s="1046" t="str">
        <x:f>IF(ABS(G10)&lt;0.0001,"OK","REVIEW")</x:f>
        <x:v>OK</x:v>
      </x:c>
      <x:c r="I11" s="1070"/>
      <x:c r="J11" s="1071"/>
      <x:c r="K11" s="1071"/>
      <x:c r="L11" s="1071"/>
      <x:c r="M11" s="1071"/>
      <x:c r="N11" s="1071"/>
      <x:c r="O11" s="1071"/>
      <x:c r="P11" s="1071"/>
      <x:c r="Q11" s="1072"/>
    </x:row>
    <x:row r="12" ht="45" customHeight="1">
      <x:c r="A12" s="917" t="str">
        <x:v>Regression observations</x:v>
      </x:c>
      <x:c r="B12" s="917" t="str">
        <x:v>weeks</x:v>
      </x:c>
      <x:c r="C12" s="921" t="n">
        <x:f>COUNT(D18:D275)</x:f>
        <x:v>258</x:v>
      </x:c>
      <x:c r="D12" s="917" t="str">
        <x:v>Aligned weekly return observations.</x:v>
      </x:c>
      <x:c r="E12" s="1047" t="str">
        <x:v>Selected Base beta is intentionally conservative versus the five-year Blume-adjusted estimate.</x:v>
      </x:c>
      <x:c r="F12" s="1047" t="str">
        <x:v>Scenario discount-rate stress.</x:v>
      </x:c>
      <x:c r="G12" s="1047" t="str">
        <x:v>Scenario discount-rate stress.</x:v>
      </x:c>
      <x:c r="I12" s="1073"/>
      <x:c r="J12" s="1074"/>
      <x:c r="K12" s="1074"/>
      <x:c r="L12" s="1074"/>
      <x:c r="M12" s="1074"/>
      <x:c r="N12" s="1074"/>
      <x:c r="O12" s="1074"/>
      <x:c r="P12" s="1074"/>
      <x:c r="Q12" s="1075"/>
    </x:row>
    <x:row r="13">
      <x:c r="A13" s="917" t="str">
        <x:v>Max absolute GMD weekly return</x:v>
      </x:c>
      <x:c r="B13" s="917" t="str">
        <x:v>%</x:v>
      </x:c>
      <x:c r="C13" s="920" t="n">
        <x:f>MAX(MAX(D18:D275),-MIN(D18:D275))</x:f>
        <x:v>0.15948670944087984</x:v>
      </x:c>
      <x:c r="D13" s="917" t="str">
        <x:v>Outlier diagnostic; no winsorization applied.</x:v>
      </x:c>
    </x:row>
    <x:row r="15">
      <x:c r="A15" s="1034" t="str">
        <x:v>Weekly close and regression data</x:v>
      </x:c>
      <x:c r="B15" s="1034"/>
      <x:c r="C15" s="1034"/>
      <x:c r="D15" s="1034"/>
      <x:c r="E15" s="1034"/>
      <x:c r="F15" s="1034"/>
      <x:c r="G15" s="1034"/>
    </x:row>
    <x:row r="16" ht="30" customHeight="1">
      <x:c r="A16" s="1079" t="str">
        <x:v>Week ending</x:v>
      </x:c>
      <x:c r="B16" s="1079" t="str">
        <x:v>GMD close</x:v>
      </x:c>
      <x:c r="C16" s="1079" t="str">
        <x:v>VN-Index close</x:v>
      </x:c>
      <x:c r="D16" s="1079" t="str">
        <x:v>GMD return</x:v>
      </x:c>
      <x:c r="E16" s="1079" t="str">
        <x:v>VN-Index return</x:v>
      </x:c>
      <x:c r="F16" s="1079" t="str">
        <x:v>GMD rebased</x:v>
      </x:c>
      <x:c r="G16" s="1079" t="str">
        <x:v>VN-Index rebased</x:v>
      </x:c>
      <x:c r="H16" s="1079" t="str">
        <x:v>Raw row</x:v>
      </x:c>
    </x:row>
    <x:row r="17">
      <x:c r="A17" s="970" t="n">
        <x:f>'Raw Beta Prices'!A6</x:f>
        <x:v>44400</x:v>
      </x:c>
      <x:c r="B17" s="973" t="n">
        <x:f>'Raw Beta Prices'!E6</x:f>
        <x:v>30.58</x:v>
      </x:c>
      <x:c r="C17" s="976" t="n">
        <x:f>'Raw Beta Prices'!J6</x:f>
        <x:v>1268.83</x:v>
      </x:c>
      <x:c r="D17" s="979" t="str">
        <x:f>""</x:f>
      </x:c>
      <x:c r="E17" s="979" t="str">
        <x:f>""</x:f>
      </x:c>
      <x:c r="F17" s="982" t="n">
        <x:f>B17/$B$17*100</x:f>
        <x:v>100</x:v>
      </x:c>
      <x:c r="G17" s="982" t="n">
        <x:f>C17/$C$17*100</x:f>
        <x:v>100</x:v>
      </x:c>
      <x:c r="H17" s="985" t="n">
        <x:f>6</x:f>
        <x:v>6</x:v>
      </x:c>
    </x:row>
    <x:row r="18">
      <x:c r="A18" s="971" t="n">
        <x:f>'Raw Beta Prices'!A11</x:f>
        <x:v>44407</x:v>
      </x:c>
      <x:c r="B18" s="974" t="n">
        <x:f>'Raw Beta Prices'!E11</x:f>
        <x:v>33.17</x:v>
      </x:c>
      <x:c r="C18" s="977" t="n">
        <x:f>'Raw Beta Prices'!J11</x:f>
        <x:v>1310.05</x:v>
      </x:c>
      <x:c r="D18" s="980" t="n">
        <x:f>B18/B17-1</x:f>
        <x:v>0.08469587965990866</x:v>
      </x:c>
      <x:c r="E18" s="980" t="n">
        <x:f>C18/C17-1</x:f>
        <x:v>0.03248662153322357</x:v>
      </x:c>
      <x:c r="F18" s="983" t="n">
        <x:f>B18/$B$17*100</x:f>
        <x:v>108.46958796599087</x:v>
      </x:c>
      <x:c r="G18" s="983" t="n">
        <x:f>C18/$C$17*100</x:f>
        <x:v>103.24866215332236</x:v>
      </x:c>
      <x:c r="H18" s="986" t="n">
        <x:f>11</x:f>
        <x:v>11</x:v>
      </x:c>
    </x:row>
    <x:row r="19">
      <x:c r="A19" s="971" t="n">
        <x:f>'Raw Beta Prices'!A16</x:f>
        <x:v>44414</x:v>
      </x:c>
      <x:c r="B19" s="974" t="n">
        <x:f>'Raw Beta Prices'!E16</x:f>
        <x:v>34.76</x:v>
      </x:c>
      <x:c r="C19" s="977" t="n">
        <x:f>'Raw Beta Prices'!J16</x:f>
        <x:v>1341.45</x:v>
      </x:c>
      <x:c r="D19" s="980" t="n">
        <x:f>B19/B18-1</x:f>
        <x:v>0.047934880916490785</x:v>
      </x:c>
      <x:c r="E19" s="980" t="n">
        <x:f>C19/C18-1</x:f>
        <x:v>0.023968550818671108</x:v>
      </x:c>
      <x:c r="F19" s="983" t="n">
        <x:f>B19/$B$17*100</x:f>
        <x:v>113.66906474820144</x:v>
      </x:c>
      <x:c r="G19" s="983" t="n">
        <x:f>C19/$C$17*100</x:f>
        <x:v>105.72338295910406</x:v>
      </x:c>
      <x:c r="H19" s="986" t="n">
        <x:f>16</x:f>
        <x:v>16</x:v>
      </x:c>
    </x:row>
    <x:row r="20">
      <x:c r="A20" s="971" t="n">
        <x:f>'Raw Beta Prices'!A21</x:f>
        <x:v>44421</x:v>
      </x:c>
      <x:c r="B20" s="974" t="n">
        <x:f>'Raw Beta Prices'!E21</x:f>
        <x:v>36.16</x:v>
      </x:c>
      <x:c r="C20" s="977" t="n">
        <x:f>'Raw Beta Prices'!J21</x:f>
        <x:v>1357.05</x:v>
      </x:c>
      <x:c r="D20" s="980" t="n">
        <x:f>B20/B19-1</x:f>
        <x:v>0.04027617951668572</x:v>
      </x:c>
      <x:c r="E20" s="980" t="n">
        <x:f>C20/C19-1</x:f>
        <x:v>0.011629207201162783</x:v>
      </x:c>
      <x:c r="F20" s="983" t="n">
        <x:f>B20/$B$17*100</x:f>
        <x:v>118.24722040549378</x:v>
      </x:c>
      <x:c r="G20" s="983" t="n">
        <x:f>C20/$C$17*100</x:f>
        <x:v>106.95286208554337</x:v>
      </x:c>
      <x:c r="H20" s="986" t="n">
        <x:f>21</x:f>
        <x:v>21</x:v>
      </x:c>
    </x:row>
    <x:row r="21">
      <x:c r="A21" s="971" t="n">
        <x:f>'Raw Beta Prices'!A26</x:f>
        <x:v>44428</x:v>
      </x:c>
      <x:c r="B21" s="974" t="n">
        <x:f>'Raw Beta Prices'!E26</x:f>
        <x:v>34.94</x:v>
      </x:c>
      <x:c r="C21" s="977" t="n">
        <x:f>'Raw Beta Prices'!J26</x:f>
        <x:v>1329.43</x:v>
      </x:c>
      <x:c r="D21" s="980" t="n">
        <x:f>B21/B20-1</x:f>
        <x:v>-0.033738938053097356</x:v>
      </x:c>
      <x:c r="E21" s="980" t="n">
        <x:f>C21/C20-1</x:f>
        <x:v>-0.02035297151910387</x:v>
      </x:c>
      <x:c r="F21" s="983" t="n">
        <x:f>B21/$B$17*100</x:f>
        <x:v>114.25768476128188</x:v>
      </x:c>
      <x:c r="G21" s="983" t="n">
        <x:f>C21/$C$17*100</x:f>
        <x:v>104.77605352962966</x:v>
      </x:c>
      <x:c r="H21" s="986" t="n">
        <x:f>26</x:f>
        <x:v>26</x:v>
      </x:c>
    </x:row>
    <x:row r="22">
      <x:c r="A22" s="971" t="n">
        <x:f>'Raw Beta Prices'!A31</x:f>
        <x:v>44435</x:v>
      </x:c>
      <x:c r="B22" s="974" t="n">
        <x:f>'Raw Beta Prices'!E31</x:f>
        <x:v>37.71</x:v>
      </x:c>
      <x:c r="C22" s="977" t="n">
        <x:f>'Raw Beta Prices'!J31</x:f>
        <x:v>1313.2</x:v>
      </x:c>
      <x:c r="D22" s="980" t="n">
        <x:f>B22/B21-1</x:f>
        <x:v>0.07927876359473385</x:v>
      </x:c>
      <x:c r="E22" s="980" t="n">
        <x:f>C22/C21-1</x:f>
        <x:v>-0.012208239621491979</x:v>
      </x:c>
      <x:c r="F22" s="983" t="n">
        <x:f>B22/$B$17*100</x:f>
        <x:v>123.31589274035318</x:v>
      </x:c>
      <x:c r="G22" s="983" t="n">
        <x:f>C22/$C$17*100</x:f>
        <x:v>103.49692236154569</x:v>
      </x:c>
      <x:c r="H22" s="986" t="n">
        <x:f>31</x:f>
        <x:v>31</x:v>
      </x:c>
    </x:row>
    <x:row r="23">
      <x:c r="A23" s="971" t="n">
        <x:f>'Raw Beta Prices'!A34</x:f>
        <x:v>44440</x:v>
      </x:c>
      <x:c r="B23" s="974" t="n">
        <x:f>'Raw Beta Prices'!E34</x:f>
        <x:v>39.11</x:v>
      </x:c>
      <x:c r="C23" s="977" t="n">
        <x:f>'Raw Beta Prices'!J34</x:f>
        <x:v>1334.65</x:v>
      </x:c>
      <x:c r="D23" s="980" t="n">
        <x:f>B23/B22-1</x:f>
        <x:v>0.03712543092018028</x:v>
      </x:c>
      <x:c r="E23" s="980" t="n">
        <x:f>C23/C22-1</x:f>
        <x:v>0.016334145598537964</x:v>
      </x:c>
      <x:c r="F23" s="983" t="n">
        <x:f>B23/$B$17*100</x:f>
        <x:v>127.89404839764553</x:v>
      </x:c>
      <x:c r="G23" s="983" t="n">
        <x:f>C23/$C$17*100</x:f>
        <x:v>105.18745616039975</x:v>
      </x:c>
      <x:c r="H23" s="986" t="n">
        <x:f>34</x:f>
        <x:v>34</x:v>
      </x:c>
    </x:row>
    <x:row r="24">
      <x:c r="A24" s="971" t="n">
        <x:f>'Raw Beta Prices'!A39</x:f>
        <x:v>44449</x:v>
      </x:c>
      <x:c r="B24" s="974" t="n">
        <x:f>'Raw Beta Prices'!E39</x:f>
        <x:v>37.63</x:v>
      </x:c>
      <x:c r="C24" s="977" t="n">
        <x:f>'Raw Beta Prices'!J39</x:f>
        <x:v>1345.31</x:v>
      </x:c>
      <x:c r="D24" s="980" t="n">
        <x:f>B24/B23-1</x:f>
        <x:v>-0.0378419841472768</x:v>
      </x:c>
      <x:c r="E24" s="980" t="n">
        <x:f>C24/C23-1</x:f>
        <x:v>0.007987112726182799</x:v>
      </x:c>
      <x:c r="F24" s="983" t="n">
        <x:f>B24/$B$17*100</x:f>
        <x:v>123.05428384565076</x:v>
      </x:c>
      <x:c r="G24" s="983" t="n">
        <x:f>C24/$C$17*100</x:f>
        <x:v>106.02760023013327</x:v>
      </x:c>
      <x:c r="H24" s="986" t="n">
        <x:f>39</x:f>
        <x:v>39</x:v>
      </x:c>
    </x:row>
    <x:row r="25">
      <x:c r="A25" s="971" t="n">
        <x:f>'Raw Beta Prices'!A44</x:f>
        <x:v>44456</x:v>
      </x:c>
      <x:c r="B25" s="974" t="n">
        <x:f>'Raw Beta Prices'!E44</x:f>
        <x:v>38.81</x:v>
      </x:c>
      <x:c r="C25" s="977" t="n">
        <x:f>'Raw Beta Prices'!J44</x:f>
        <x:v>1352.64</x:v>
      </x:c>
      <x:c r="D25" s="980" t="n">
        <x:f>B25/B24-1</x:f>
        <x:v>0.031357959075206</x:v>
      </x:c>
      <x:c r="E25" s="980" t="n">
        <x:f>C25/C24-1</x:f>
        <x:v>0.005448558324847141</x:v>
      </x:c>
      <x:c r="F25" s="983" t="n">
        <x:f>B25/$B$17*100</x:f>
        <x:v>126.91301504251146</x:v>
      </x:c>
      <x:c r="G25" s="983" t="n">
        <x:f>C25/$C$17*100</x:f>
        <x:v>106.60529779403075</x:v>
      </x:c>
      <x:c r="H25" s="986" t="n">
        <x:f>44</x:f>
        <x:v>44</x:v>
      </x:c>
    </x:row>
    <x:row r="26">
      <x:c r="A26" s="971" t="n">
        <x:f>'Raw Beta Prices'!A49</x:f>
        <x:v>44463</x:v>
      </x:c>
      <x:c r="B26" s="974" t="n">
        <x:f>'Raw Beta Prices'!E49</x:f>
        <x:v>36.16</x:v>
      </x:c>
      <x:c r="C26" s="977" t="n">
        <x:f>'Raw Beta Prices'!J49</x:f>
        <x:v>1351.17</x:v>
      </x:c>
      <x:c r="D26" s="980" t="n">
        <x:f>B26/B25-1</x:f>
        <x:v>-0.06828137078072671</x:v>
      </x:c>
      <x:c r="E26" s="980" t="n">
        <x:f>C26/C25-1</x:f>
        <x:v>-0.0010867636621717525</x:v>
      </x:c>
      <x:c r="F26" s="983" t="n">
        <x:f>B26/$B$17*100</x:f>
        <x:v>118.24722040549378</x:v>
      </x:c>
      <x:c r="G26" s="983" t="n">
        <x:f>C26/$C$17*100</x:f>
        <x:v>106.48944303019319</x:v>
      </x:c>
      <x:c r="H26" s="986" t="n">
        <x:f>49</x:f>
        <x:v>49</x:v>
      </x:c>
    </x:row>
    <x:row r="27">
      <x:c r="A27" s="971" t="n">
        <x:f>'Raw Beta Prices'!A54</x:f>
        <x:v>44470</x:v>
      </x:c>
      <x:c r="B27" s="974" t="n">
        <x:f>'Raw Beta Prices'!E54</x:f>
        <x:v>35.93</x:v>
      </x:c>
      <x:c r="C27" s="977" t="n">
        <x:f>'Raw Beta Prices'!J54</x:f>
        <x:v>1334.89</x:v>
      </x:c>
      <x:c r="D27" s="980" t="n">
        <x:f>B27/B26-1</x:f>
        <x:v>-0.006360619469026441</x:v>
      </x:c>
      <x:c r="E27" s="980" t="n">
        <x:f>C27/C26-1</x:f>
        <x:v>-0.012048816951234831</x:v>
      </x:c>
      <x:c r="F27" s="983" t="n">
        <x:f>B27/$B$17*100</x:f>
        <x:v>117.49509483322433</x:v>
      </x:c>
      <x:c r="G27" s="983" t="n">
        <x:f>C27/$C$17*100</x:f>
        <x:v>105.20637122388344</x:v>
      </x:c>
      <x:c r="H27" s="986" t="n">
        <x:f>54</x:f>
        <x:v>54</x:v>
      </x:c>
    </x:row>
    <x:row r="28">
      <x:c r="A28" s="971" t="n">
        <x:f>'Raw Beta Prices'!A59</x:f>
        <x:v>44477</x:v>
      </x:c>
      <x:c r="B28" s="974" t="n">
        <x:f>'Raw Beta Prices'!E59</x:f>
        <x:v>37.78</x:v>
      </x:c>
      <x:c r="C28" s="977" t="n">
        <x:f>'Raw Beta Prices'!J59</x:f>
        <x:v>1372.73</x:v>
      </x:c>
      <x:c r="D28" s="980" t="n">
        <x:f>B28/B27-1</x:f>
        <x:v>0.051489006401336024</x:v>
      </x:c>
      <x:c r="E28" s="980" t="n">
        <x:f>C28/C27-1</x:f>
        <x:v>0.02834690498842596</x:v>
      </x:c>
      <x:c r="F28" s="983" t="n">
        <x:f>B28/$B$17*100</x:f>
        <x:v>123.54480052321779</x:v>
      </x:c>
      <x:c r="G28" s="983" t="n">
        <x:f>C28/$C$17*100</x:f>
        <x:v>108.18864623314393</x:v>
      </x:c>
      <x:c r="H28" s="986" t="n">
        <x:f>59</x:f>
        <x:v>59</x:v>
      </x:c>
    </x:row>
    <x:row r="29">
      <x:c r="A29" s="971" t="n">
        <x:f>'Raw Beta Prices'!A64</x:f>
        <x:v>44484</x:v>
      </x:c>
      <x:c r="B29" s="974" t="n">
        <x:f>'Raw Beta Prices'!E64</x:f>
        <x:v>37.56</x:v>
      </x:c>
      <x:c r="C29" s="977" t="n">
        <x:f>'Raw Beta Prices'!J64</x:f>
        <x:v>1392.7</x:v>
      </x:c>
      <x:c r="D29" s="980" t="n">
        <x:f>B29/B28-1</x:f>
        <x:v>-0.0058231868713605195</x:v>
      </x:c>
      <x:c r="E29" s="980" t="n">
        <x:f>C29/C28-1</x:f>
        <x:v>0.014547653216583134</x:v>
      </x:c>
      <x:c r="F29" s="983" t="n">
        <x:f>B29/$B$17*100</x:f>
        <x:v>122.82537606278613</x:v>
      </x:c>
      <x:c r="G29" s="983" t="n">
        <x:f>C29/$C$17*100</x:f>
        <x:v>109.76253714051529</x:v>
      </x:c>
      <x:c r="H29" s="986" t="n">
        <x:f>64</x:f>
        <x:v>64</x:v>
      </x:c>
    </x:row>
    <x:row r="30">
      <x:c r="A30" s="971" t="n">
        <x:f>'Raw Beta Prices'!A69</x:f>
        <x:v>44491</x:v>
      </x:c>
      <x:c r="B30" s="974" t="n">
        <x:f>'Raw Beta Prices'!E69</x:f>
        <x:v>36.67</x:v>
      </x:c>
      <x:c r="C30" s="977" t="n">
        <x:f>'Raw Beta Prices'!J69</x:f>
        <x:v>1389.24</x:v>
      </x:c>
      <x:c r="D30" s="980" t="n">
        <x:f>B30/B29-1</x:f>
        <x:v>-0.023695420660276856</x:v>
      </x:c>
      <x:c r="E30" s="980" t="n">
        <x:f>C30/C29-1</x:f>
        <x:v>-0.0024843828534502066</x:v>
      </x:c>
      <x:c r="F30" s="983" t="n">
        <x:f>B30/$B$17*100</x:f>
        <x:v>119.91497710922172</x:v>
      </x:c>
      <x:c r="G30" s="983" t="n">
        <x:f>C30/$C$17*100</x:f>
        <x:v>109.4898449752922</x:v>
      </x:c>
      <x:c r="H30" s="986" t="n">
        <x:f>69</x:f>
        <x:v>69</x:v>
      </x:c>
    </x:row>
    <x:row r="31">
      <x:c r="A31" s="971" t="n">
        <x:f>'Raw Beta Prices'!A74</x:f>
        <x:v>44498</x:v>
      </x:c>
      <x:c r="B31" s="974" t="n">
        <x:f>'Raw Beta Prices'!E74</x:f>
        <x:v>38.59</x:v>
      </x:c>
      <x:c r="C31" s="977" t="n">
        <x:f>'Raw Beta Prices'!J74</x:f>
        <x:v>1444.27</x:v>
      </x:c>
      <x:c r="D31" s="980" t="n">
        <x:f>B31/B30-1</x:f>
        <x:v>0.05235887646577586</x:v>
      </x:c>
      <x:c r="E31" s="980" t="n">
        <x:f>C31/C30-1</x:f>
        <x:v>0.039611586191010906</x:v>
      </x:c>
      <x:c r="F31" s="983" t="n">
        <x:f>B31/$B$17*100</x:f>
        <x:v>126.19359058207982</x:v>
      </x:c>
      <x:c r="G31" s="983" t="n">
        <x:f>C31/$C$17*100</x:f>
        <x:v>113.82691140657141</x:v>
      </x:c>
      <x:c r="H31" s="986" t="n">
        <x:f>74</x:f>
        <x:v>74</x:v>
      </x:c>
    </x:row>
    <x:row r="32">
      <x:c r="A32" s="971" t="n">
        <x:f>'Raw Beta Prices'!A79</x:f>
        <x:v>44505</x:v>
      </x:c>
      <x:c r="B32" s="974" t="n">
        <x:f>'Raw Beta Prices'!E79</x:f>
        <x:v>37.63</x:v>
      </x:c>
      <x:c r="C32" s="977" t="n">
        <x:f>'Raw Beta Prices'!J79</x:f>
        <x:v>1456.51</x:v>
      </x:c>
      <x:c r="D32" s="980" t="n">
        <x:f>B32/B31-1</x:f>
        <x:v>-0.024876911116869627</x:v>
      </x:c>
      <x:c r="E32" s="980" t="n">
        <x:f>C32/C31-1</x:f>
        <x:v>0.00847486965733557</x:v>
      </x:c>
      <x:c r="F32" s="983" t="n">
        <x:f>B32/$B$17*100</x:f>
        <x:v>123.05428384565076</x:v>
      </x:c>
      <x:c r="G32" s="983" t="n">
        <x:f>C32/$C$17*100</x:f>
        <x:v>114.79157964423918</x:v>
      </x:c>
      <x:c r="H32" s="986" t="n">
        <x:f>79</x:f>
        <x:v>79</x:v>
      </x:c>
    </x:row>
    <x:row r="33">
      <x:c r="A33" s="971" t="n">
        <x:f>'Raw Beta Prices'!A84</x:f>
        <x:v>44512</x:v>
      </x:c>
      <x:c r="B33" s="974" t="n">
        <x:f>'Raw Beta Prices'!E84</x:f>
        <x:v>38.89</x:v>
      </x:c>
      <x:c r="C33" s="977" t="n">
        <x:f>'Raw Beta Prices'!J84</x:f>
        <x:v>1473.37</x:v>
      </x:c>
      <x:c r="D33" s="980" t="n">
        <x:f>B33/B32-1</x:f>
        <x:v>0.03348392240233844</x:v>
      </x:c>
      <x:c r="E33" s="980" t="n">
        <x:f>C33/C32-1</x:f>
        <x:v>0.011575615684066731</x:v>
      </x:c>
      <x:c r="F33" s="983" t="n">
        <x:f>B33/$B$17*100</x:f>
        <x:v>127.17462393721388</x:v>
      </x:c>
      <x:c r="G33" s="983" t="n">
        <x:f>C33/$C$17*100</x:f>
        <x:v>116.12036285396783</x:v>
      </x:c>
      <x:c r="H33" s="986" t="n">
        <x:f>84</x:f>
        <x:v>84</x:v>
      </x:c>
    </x:row>
    <x:row r="34">
      <x:c r="A34" s="971" t="n">
        <x:f>'Raw Beta Prices'!A89</x:f>
        <x:v>44519</x:v>
      </x:c>
      <x:c r="B34" s="974" t="n">
        <x:f>'Raw Beta Prices'!E89</x:f>
        <x:v>36.67</x:v>
      </x:c>
      <x:c r="C34" s="977" t="n">
        <x:f>'Raw Beta Prices'!J89</x:f>
        <x:v>1452.35</x:v>
      </x:c>
      <x:c r="D34" s="980" t="n">
        <x:f>B34/B33-1</x:f>
        <x:v>-0.0570840833119054</x:v>
      </x:c>
      <x:c r="E34" s="980" t="n">
        <x:f>C34/C33-1</x:f>
        <x:v>-0.01426661327433032</x:v>
      </x:c>
      <x:c r="F34" s="983" t="n">
        <x:f>B34/$B$17*100</x:f>
        <x:v>119.91497710922172</x:v>
      </x:c>
      <x:c r="G34" s="983" t="n">
        <x:f>C34/$C$17*100</x:f>
        <x:v>114.46371854385535</x:v>
      </x:c>
      <x:c r="H34" s="986" t="n">
        <x:f>89</x:f>
        <x:v>89</x:v>
      </x:c>
    </x:row>
    <x:row r="35">
      <x:c r="A35" s="971" t="n">
        <x:f>'Raw Beta Prices'!A94</x:f>
        <x:v>44526</x:v>
      </x:c>
      <x:c r="B35" s="974" t="n">
        <x:f>'Raw Beta Prices'!E94</x:f>
        <x:v>36.49</x:v>
      </x:c>
      <x:c r="C35" s="977" t="n">
        <x:f>'Raw Beta Prices'!J94</x:f>
        <x:v>1493.03</x:v>
      </x:c>
      <x:c r="D35" s="980" t="n">
        <x:f>B35/B34-1</x:f>
        <x:v>-0.004908644668666473</x:v>
      </x:c>
      <x:c r="E35" s="980" t="n">
        <x:f>C35/C34-1</x:f>
        <x:v>0.028009777257548052</x:v>
      </x:c>
      <x:c r="F35" s="983" t="n">
        <x:f>B35/$B$17*100</x:f>
        <x:v>119.32635709614128</x:v>
      </x:c>
      <x:c r="G35" s="983" t="n">
        <x:f>C35/$C$17*100</x:f>
        <x:v>117.66982180433942</x:v>
      </x:c>
      <x:c r="H35" s="986" t="n">
        <x:f>94</x:f>
        <x:v>94</x:v>
      </x:c>
      <x:c r="I35" s="1100" t="str">
        <x:v>Source: VNStock 4.0.5, Quote/VCI, fetched 2026-07-26T12:48:07+07:00. Raw beta from API data: 0.750x; Blume-adjusted: 0.832x; R²: 20.1%.</x:v>
      </x:c>
      <x:c r="J35" s="1101"/>
      <x:c r="K35" s="1101"/>
      <x:c r="L35" s="1101"/>
      <x:c r="M35" s="1101"/>
      <x:c r="N35" s="1101"/>
      <x:c r="O35" s="1101"/>
      <x:c r="P35" s="1101"/>
      <x:c r="Q35" s="1102"/>
    </x:row>
    <x:row r="36">
      <x:c r="A36" s="971" t="n">
        <x:f>'Raw Beta Prices'!A99</x:f>
        <x:v>44533</x:v>
      </x:c>
      <x:c r="B36" s="974" t="n">
        <x:f>'Raw Beta Prices'!E99</x:f>
        <x:v>36.16</x:v>
      </x:c>
      <x:c r="C36" s="977" t="n">
        <x:f>'Raw Beta Prices'!J99</x:f>
        <x:v>1443.32</x:v>
      </x:c>
      <x:c r="D36" s="980" t="n">
        <x:f>B36/B35-1</x:f>
        <x:v>-0.00904357358180341</x:v>
      </x:c>
      <x:c r="E36" s="980" t="n">
        <x:f>C36/C35-1</x:f>
        <x:v>-0.03329470941642165</x:v>
      </x:c>
      <x:c r="F36" s="983" t="n">
        <x:f>B36/$B$17*100</x:f>
        <x:v>118.24722040549378</x:v>
      </x:c>
      <x:c r="G36" s="983" t="n">
        <x:f>C36/$C$17*100</x:f>
        <x:v>113.75203928028183</x:v>
      </x:c>
      <x:c r="H36" s="986" t="n">
        <x:f>99</x:f>
        <x:v>99</x:v>
      </x:c>
      <x:c r="I36" s="1103"/>
      <x:c r="J36" s="1104"/>
      <x:c r="K36" s="1104"/>
      <x:c r="L36" s="1104"/>
      <x:c r="M36" s="1104"/>
      <x:c r="N36" s="1104"/>
      <x:c r="O36" s="1104"/>
      <x:c r="P36" s="1104"/>
      <x:c r="Q36" s="1105"/>
    </x:row>
    <x:row r="37">
      <x:c r="A37" s="971" t="n">
        <x:f>'Raw Beta Prices'!A104</x:f>
        <x:v>44540</x:v>
      </x:c>
      <x:c r="B37" s="974" t="n">
        <x:f>'Raw Beta Prices'!E104</x:f>
        <x:v>35.93</x:v>
      </x:c>
      <x:c r="C37" s="977" t="n">
        <x:f>'Raw Beta Prices'!J104</x:f>
        <x:v>1463.54</x:v>
      </x:c>
      <x:c r="D37" s="980" t="n">
        <x:f>B37/B36-1</x:f>
        <x:v>-0.006360619469026441</x:v>
      </x:c>
      <x:c r="E37" s="980" t="n">
        <x:f>C37/C36-1</x:f>
        <x:v>0.014009367292076691</x:v>
      </x:c>
      <x:c r="F37" s="983" t="n">
        <x:f>B37/$B$17*100</x:f>
        <x:v>117.49509483322433</x:v>
      </x:c>
      <x:c r="G37" s="983" t="n">
        <x:f>C37/$C$17*100</x:f>
        <x:v>115.34563337878203</x:v>
      </x:c>
      <x:c r="H37" s="986" t="n">
        <x:f>104</x:f>
        <x:v>104</x:v>
      </x:c>
      <x:c r="I37" s="1103"/>
      <x:c r="J37" s="1104"/>
      <x:c r="K37" s="1104"/>
      <x:c r="L37" s="1104"/>
      <x:c r="M37" s="1104"/>
      <x:c r="N37" s="1104"/>
      <x:c r="O37" s="1104"/>
      <x:c r="P37" s="1104"/>
      <x:c r="Q37" s="1105"/>
    </x:row>
    <x:row r="38">
      <x:c r="A38" s="971" t="n">
        <x:f>'Raw Beta Prices'!A109</x:f>
        <x:v>44547</x:v>
      </x:c>
      <x:c r="B38" s="974" t="n">
        <x:f>'Raw Beta Prices'!E109</x:f>
        <x:v>36.38</x:v>
      </x:c>
      <x:c r="C38" s="977" t="n">
        <x:f>'Raw Beta Prices'!J109</x:f>
        <x:v>1479.79</x:v>
      </x:c>
      <x:c r="D38" s="980" t="n">
        <x:f>B38/B37-1</x:f>
        <x:v>0.012524352908433123</x:v>
      </x:c>
      <x:c r="E38" s="980" t="n">
        <x:f>C38/C37-1</x:f>
        <x:v>0.011103215491206297</x:v>
      </x:c>
      <x:c r="F38" s="983" t="n">
        <x:f>B38/$B$17*100</x:f>
        <x:v>118.96664486592545</x:v>
      </x:c>
      <x:c r="G38" s="983" t="n">
        <x:f>C38/$C$17*100</x:f>
        <x:v>116.62634080215632</x:v>
      </x:c>
      <x:c r="H38" s="986" t="n">
        <x:f>109</x:f>
        <x:v>109</x:v>
      </x:c>
      <x:c r="I38" s="1106"/>
      <x:c r="J38" s="1107"/>
      <x:c r="K38" s="1107"/>
      <x:c r="L38" s="1107"/>
      <x:c r="M38" s="1107"/>
      <x:c r="N38" s="1107"/>
      <x:c r="O38" s="1107"/>
      <x:c r="P38" s="1107"/>
      <x:c r="Q38" s="1108"/>
    </x:row>
    <x:row r="39">
      <x:c r="A39" s="971" t="n">
        <x:f>'Raw Beta Prices'!A114</x:f>
        <x:v>44554</x:v>
      </x:c>
      <x:c r="B39" s="974" t="n">
        <x:f>'Raw Beta Prices'!E114</x:f>
        <x:v>33.76</x:v>
      </x:c>
      <x:c r="C39" s="977" t="n">
        <x:f>'Raw Beta Prices'!J114</x:f>
        <x:v>1477.03</x:v>
      </x:c>
      <x:c r="D39" s="980" t="n">
        <x:f>B39/B38-1</x:f>
        <x:v>-0.07201759208356251</x:v>
      </x:c>
      <x:c r="E39" s="980" t="n">
        <x:f>C39/C38-1</x:f>
        <x:v>-0.0018651295116198785</x:v>
      </x:c>
      <x:c r="F39" s="983" t="n">
        <x:f>B39/$B$17*100</x:f>
        <x:v>110.39895356442119</x:v>
      </x:c>
      <x:c r="G39" s="983" t="n">
        <x:f>C39/$C$17*100</x:f>
        <x:v>116.40881757209398</x:v>
      </x:c>
      <x:c r="H39" s="986" t="n">
        <x:f>114</x:f>
        <x:v>114</x:v>
      </x:c>
    </x:row>
    <x:row r="40">
      <x:c r="A40" s="971" t="n">
        <x:f>'Raw Beta Prices'!A119</x:f>
        <x:v>44561</x:v>
      </x:c>
      <x:c r="B40" s="974" t="n">
        <x:f>'Raw Beta Prices'!E119</x:f>
        <x:v>34.9</x:v>
      </x:c>
      <x:c r="C40" s="977" t="n">
        <x:f>'Raw Beta Prices'!J119</x:f>
        <x:v>1498.28</x:v>
      </x:c>
      <x:c r="D40" s="980" t="n">
        <x:f>B40/B39-1</x:f>
        <x:v>0.03376777251184837</x:v>
      </x:c>
      <x:c r="E40" s="980" t="n">
        <x:f>C40/C39-1</x:f>
        <x:v>0.014386979275979428</x:v>
      </x:c>
      <x:c r="F40" s="983" t="n">
        <x:f>B40/$B$17*100</x:f>
        <x:v>114.12688031393068</x:v>
      </x:c>
      <x:c r="G40" s="983" t="n">
        <x:f>C40/$C$17*100</x:f>
        <x:v>118.08358881804497</x:v>
      </x:c>
      <x:c r="H40" s="986" t="n">
        <x:f>119</x:f>
        <x:v>119</x:v>
      </x:c>
    </x:row>
    <x:row r="41">
      <x:c r="A41" s="971" t="n">
        <x:f>'Raw Beta Prices'!A123</x:f>
        <x:v>44568</x:v>
      </x:c>
      <x:c r="B41" s="974" t="n">
        <x:f>'Raw Beta Prices'!E123</x:f>
        <x:v>35.53</x:v>
      </x:c>
      <x:c r="C41" s="977" t="n">
        <x:f>'Raw Beta Prices'!J123</x:f>
        <x:v>1528.48</x:v>
      </x:c>
      <x:c r="D41" s="980" t="n">
        <x:f>B41/B40-1</x:f>
        <x:v>0.018051575931232078</x:v>
      </x:c>
      <x:c r="E41" s="980" t="n">
        <x:f>C41/C40-1</x:f>
        <x:v>0.020156446058146704</x:v>
      </x:c>
      <x:c r="F41" s="983" t="n">
        <x:f>B41/$B$17*100</x:f>
        <x:v>116.18705035971225</x:v>
      </x:c>
      <x:c r="G41" s="983" t="n">
        <x:f>C41/$C$17*100</x:f>
        <x:v>120.46373430640827</x:v>
      </x:c>
      <x:c r="H41" s="986" t="n">
        <x:f>123</x:f>
        <x:v>123</x:v>
      </x:c>
    </x:row>
    <x:row r="42">
      <x:c r="A42" s="971" t="n">
        <x:f>'Raw Beta Prices'!A128</x:f>
        <x:v>44575</x:v>
      </x:c>
      <x:c r="B42" s="974" t="n">
        <x:f>'Raw Beta Prices'!E128</x:f>
        <x:v>31.58</x:v>
      </x:c>
      <x:c r="C42" s="977" t="n">
        <x:f>'Raw Beta Prices'!J128</x:f>
        <x:v>1496.02</x:v>
      </x:c>
      <x:c r="D42" s="980" t="n">
        <x:f>B42/B41-1</x:f>
        <x:v>-0.11117365606529706</x:v>
      </x:c>
      <x:c r="E42" s="980" t="n">
        <x:f>C42/C41-1</x:f>
        <x:v>-0.021236784256254637</x:v>
      </x:c>
      <x:c r="F42" s="983" t="n">
        <x:f>B42/$B$17*100</x:f>
        <x:v>103.27011118378024</x:v>
      </x:c>
      <x:c r="G42" s="983" t="n">
        <x:f>C42/$C$17*100</x:f>
        <x:v>117.9054719702403</x:v>
      </x:c>
      <x:c r="H42" s="986" t="n">
        <x:f>128</x:f>
        <x:v>128</x:v>
      </x:c>
    </x:row>
    <x:row r="43">
      <x:c r="A43" s="971" t="n">
        <x:f>'Raw Beta Prices'!A133</x:f>
        <x:v>44582</x:v>
      </x:c>
      <x:c r="B43" s="974" t="n">
        <x:f>'Raw Beta Prices'!E133</x:f>
        <x:v>30.99</x:v>
      </x:c>
      <x:c r="C43" s="977" t="n">
        <x:f>'Raw Beta Prices'!J133</x:f>
        <x:v>1472.89</x:v>
      </x:c>
      <x:c r="D43" s="980" t="n">
        <x:f>B43/B42-1</x:f>
        <x:v>-0.0186827105763141</x:v>
      </x:c>
      <x:c r="E43" s="980" t="n">
        <x:f>C43/C42-1</x:f>
        <x:v>-0.01546102324835219</x:v>
      </x:c>
      <x:c r="F43" s="983" t="n">
        <x:f>B43/$B$17*100</x:f>
        <x:v>101.34074558534991</x:v>
      </x:c>
      <x:c r="G43" s="983" t="n">
        <x:f>C43/$C$17*100</x:f>
        <x:v>116.08253272700048</x:v>
      </x:c>
      <x:c r="H43" s="986" t="n">
        <x:f>133</x:f>
        <x:v>133</x:v>
      </x:c>
    </x:row>
    <x:row r="44">
      <x:c r="A44" s="971" t="n">
        <x:f>'Raw Beta Prices'!A138</x:f>
        <x:v>44589</x:v>
      </x:c>
      <x:c r="B44" s="974" t="n">
        <x:f>'Raw Beta Prices'!E138</x:f>
        <x:v>31.73</x:v>
      </x:c>
      <x:c r="C44" s="977" t="n">
        <x:f>'Raw Beta Prices'!J138</x:f>
        <x:v>1478.96</x:v>
      </x:c>
      <x:c r="D44" s="980" t="n">
        <x:f>B44/B43-1</x:f>
        <x:v>0.023878670538883595</x:v>
      </x:c>
      <x:c r="E44" s="980" t="n">
        <x:f>C44/C43-1</x:f>
        <x:v>0.004121149576682637</x:v>
      </x:c>
      <x:c r="F44" s="983" t="n">
        <x:f>B44/$B$17*100</x:f>
        <x:v>103.7606278613473</x:v>
      </x:c>
      <x:c r="G44" s="983" t="n">
        <x:f>C44/$C$17*100</x:f>
        <x:v>116.56092620760859</x:v>
      </x:c>
      <x:c r="H44" s="986" t="n">
        <x:f>138</x:f>
        <x:v>138</x:v>
      </x:c>
    </x:row>
    <x:row r="45">
      <x:c r="A45" s="971" t="n">
        <x:f>'Raw Beta Prices'!A143</x:f>
        <x:v>44603</x:v>
      </x:c>
      <x:c r="B45" s="974" t="n">
        <x:f>'Raw Beta Prices'!E143</x:f>
        <x:v>35.68</x:v>
      </x:c>
      <x:c r="C45" s="977" t="n">
        <x:f>'Raw Beta Prices'!J143</x:f>
        <x:v>1501.71</x:v>
      </x:c>
      <x:c r="D45" s="980" t="n">
        <x:f>B45/B44-1</x:f>
        <x:v>0.12448786637251819</x:v>
      </x:c>
      <x:c r="E45" s="980" t="n">
        <x:f>C45/C44-1</x:f>
        <x:v>0.015382430897387334</x:v>
      </x:c>
      <x:c r="F45" s="983" t="n">
        <x:f>B45/$B$17*100</x:f>
        <x:v>116.67756703727927</x:v>
      </x:c>
      <x:c r="G45" s="983" t="n">
        <x:f>C45/$C$17*100</x:f>
        <x:v>118.35391660033261</x:v>
      </x:c>
      <x:c r="H45" s="986" t="n">
        <x:f>143</x:f>
        <x:v>143</x:v>
      </x:c>
    </x:row>
    <x:row r="46">
      <x:c r="A46" s="971" t="n">
        <x:f>'Raw Beta Prices'!A148</x:f>
        <x:v>44610</x:v>
      </x:c>
      <x:c r="B46" s="974" t="n">
        <x:f>'Raw Beta Prices'!E148</x:f>
        <x:v>38.3</x:v>
      </x:c>
      <x:c r="C46" s="977" t="n">
        <x:f>'Raw Beta Prices'!J148</x:f>
        <x:v>1504.84</x:v>
      </x:c>
      <x:c r="D46" s="980" t="n">
        <x:f>B46/B45-1</x:f>
        <x:v>0.07343049327354256</x:v>
      </x:c>
      <x:c r="E46" s="980" t="n">
        <x:f>C46/C45-1</x:f>
        <x:v>0.0020842905754105967</x:v>
      </x:c>
      <x:c r="F46" s="983" t="n">
        <x:f>B46/$B$17*100</x:f>
        <x:v>125.24525833878353</x:v>
      </x:c>
      <x:c r="G46" s="983" t="n">
        <x:f>C46/$C$17*100</x:f>
        <x:v>118.6006005532656</x:v>
      </x:c>
      <x:c r="H46" s="986" t="n">
        <x:f>148</x:f>
        <x:v>148</x:v>
      </x:c>
    </x:row>
    <x:row r="47">
      <x:c r="A47" s="971" t="n">
        <x:f>'Raw Beta Prices'!A153</x:f>
        <x:v>44617</x:v>
      </x:c>
      <x:c r="B47" s="974" t="n">
        <x:f>'Raw Beta Prices'!E153</x:f>
        <x:v>37.26</x:v>
      </x:c>
      <x:c r="C47" s="977" t="n">
        <x:f>'Raw Beta Prices'!J153</x:f>
        <x:v>1498.89</x:v>
      </x:c>
      <x:c r="D47" s="980" t="n">
        <x:f>B47/B46-1</x:f>
        <x:v>-0.027154046997388992</x:v>
      </x:c>
      <x:c r="E47" s="980" t="n">
        <x:f>C47/C46-1</x:f>
        <x:v>-0.003953908721192834</x:v>
      </x:c>
      <x:c r="F47" s="983" t="n">
        <x:f>B47/$B$17*100</x:f>
        <x:v>121.84434270765206</x:v>
      </x:c>
      <x:c r="G47" s="983" t="n">
        <x:f>C47/$C$17*100</x:f>
        <x:v>118.13166460439935</x:v>
      </x:c>
      <x:c r="H47" s="986" t="n">
        <x:f>153</x:f>
        <x:v>153</x:v>
      </x:c>
    </x:row>
    <x:row r="48">
      <x:c r="A48" s="971" t="n">
        <x:f>'Raw Beta Prices'!A158</x:f>
        <x:v>44624</x:v>
      </x:c>
      <x:c r="B48" s="974" t="n">
        <x:f>'Raw Beta Prices'!E158</x:f>
        <x:v>40.58</x:v>
      </x:c>
      <x:c r="C48" s="977" t="n">
        <x:f>'Raw Beta Prices'!J158</x:f>
        <x:v>1505.33</x:v>
      </x:c>
      <x:c r="D48" s="980" t="n">
        <x:f>B48/B47-1</x:f>
        <x:v>0.08910359634997311</x:v>
      </x:c>
      <x:c r="E48" s="980" t="n">
        <x:f>C48/C47-1</x:f>
        <x:v>0.004296512752770321</x:v>
      </x:c>
      <x:c r="F48" s="983" t="n">
        <x:f>B48/$B$17*100</x:f>
        <x:v>132.7011118378025</x:v>
      </x:c>
      <x:c r="G48" s="983" t="n">
        <x:f>C48/$C$17*100</x:f>
        <x:v>118.63921880787814</x:v>
      </x:c>
      <x:c r="H48" s="986" t="n">
        <x:f>158</x:f>
        <x:v>158</x:v>
      </x:c>
    </x:row>
    <x:row r="49">
      <x:c r="A49" s="971" t="n">
        <x:f>'Raw Beta Prices'!A163</x:f>
        <x:v>44631</x:v>
      </x:c>
      <x:c r="B49" s="974" t="n">
        <x:f>'Raw Beta Prices'!E163</x:f>
        <x:v>41.1</x:v>
      </x:c>
      <x:c r="C49" s="977" t="n">
        <x:f>'Raw Beta Prices'!J163</x:f>
        <x:v>1466.54</x:v>
      </x:c>
      <x:c r="D49" s="980" t="n">
        <x:f>B49/B48-1</x:f>
        <x:v>0.012814194184327388</x:v>
      </x:c>
      <x:c r="E49" s="980" t="n">
        <x:f>C49/C48-1</x:f>
        <x:v>-0.02576843615685598</x:v>
      </x:c>
      <x:c r="F49" s="983" t="n">
        <x:f>B49/$B$17*100</x:f>
        <x:v>134.40156965336823</x:v>
      </x:c>
      <x:c r="G49" s="983" t="n">
        <x:f>C49/$C$17*100</x:f>
        <x:v>115.58207167232806</x:v>
      </x:c>
      <x:c r="H49" s="986" t="n">
        <x:f>163</x:f>
        <x:v>163</x:v>
      </x:c>
    </x:row>
    <x:row r="50">
      <x:c r="A50" s="971" t="n">
        <x:f>'Raw Beta Prices'!A168</x:f>
        <x:v>44638</x:v>
      </x:c>
      <x:c r="B50" s="974" t="n">
        <x:f>'Raw Beta Prices'!E168</x:f>
        <x:v>39.77</x:v>
      </x:c>
      <x:c r="C50" s="977" t="n">
        <x:f>'Raw Beta Prices'!J168</x:f>
        <x:v>1469.1</x:v>
      </x:c>
      <x:c r="D50" s="980" t="n">
        <x:f>B50/B49-1</x:f>
        <x:v>-0.0323600973236009</x:v>
      </x:c>
      <x:c r="E50" s="980" t="n">
        <x:f>C50/C49-1</x:f>
        <x:v>0.0017456053022759654</x:v>
      </x:c>
      <x:c r="F50" s="983" t="n">
        <x:f>B50/$B$17*100</x:f>
        <x:v>130.0523217789405</x:v>
      </x:c>
      <x:c r="G50" s="983" t="n">
        <x:f>C50/$C$17*100</x:f>
        <x:v>115.78383234948733</x:v>
      </x:c>
      <x:c r="H50" s="986" t="n">
        <x:f>168</x:f>
        <x:v>168</x:v>
      </x:c>
    </x:row>
    <x:row r="51">
      <x:c r="A51" s="971" t="n">
        <x:f>'Raw Beta Prices'!A173</x:f>
        <x:v>44645</x:v>
      </x:c>
      <x:c r="B51" s="974" t="n">
        <x:f>'Raw Beta Prices'!E173</x:f>
        <x:v>40.44</x:v>
      </x:c>
      <x:c r="C51" s="977" t="n">
        <x:f>'Raw Beta Prices'!J173</x:f>
        <x:v>1498.5</x:v>
      </x:c>
      <x:c r="D51" s="980" t="n">
        <x:f>B51/B50-1</x:f>
        <x:v>0.016846869499622663</x:v>
      </x:c>
      <x:c r="E51" s="980" t="n">
        <x:f>C51/C50-1</x:f>
        <x:v>0.020012252399428387</x:v>
      </x:c>
      <x:c r="F51" s="983" t="n">
        <x:f>B51/$B$17*100</x:f>
        <x:v>132.24329627207325</x:v>
      </x:c>
      <x:c r="G51" s="983" t="n">
        <x:f>C51/$C$17*100</x:f>
        <x:v>118.10092762623836</x:v>
      </x:c>
      <x:c r="H51" s="986" t="n">
        <x:f>173</x:f>
        <x:v>173</x:v>
      </x:c>
    </x:row>
    <x:row r="52">
      <x:c r="A52" s="971" t="n">
        <x:f>'Raw Beta Prices'!A178</x:f>
        <x:v>44652</x:v>
      </x:c>
      <x:c r="B52" s="974" t="n">
        <x:f>'Raw Beta Prices'!E178</x:f>
        <x:v>42.8</x:v>
      </x:c>
      <x:c r="C52" s="977" t="n">
        <x:f>'Raw Beta Prices'!J178</x:f>
        <x:v>1516.44</x:v>
      </x:c>
      <x:c r="D52" s="980" t="n">
        <x:f>B52/B51-1</x:f>
        <x:v>0.05835806132542043</x:v>
      </x:c>
      <x:c r="E52" s="980" t="n">
        <x:f>C52/C51-1</x:f>
        <x:v>0.011971971971971973</x:v>
      </x:c>
      <x:c r="F52" s="983" t="n">
        <x:f>B52/$B$17*100</x:f>
        <x:v>139.96075866579463</x:v>
      </x:c>
      <x:c r="G52" s="983" t="n">
        <x:f>C52/$C$17*100</x:f>
        <x:v>119.51482862164357</x:v>
      </x:c>
      <x:c r="H52" s="986" t="n">
        <x:f>178</x:f>
        <x:v>178</x:v>
      </x:c>
    </x:row>
    <x:row r="53">
      <x:c r="A53" s="971" t="n">
        <x:f>'Raw Beta Prices'!A183</x:f>
        <x:v>44659</x:v>
      </x:c>
      <x:c r="B53" s="974" t="n">
        <x:f>'Raw Beta Prices'!E183</x:f>
        <x:v>40.44</x:v>
      </x:c>
      <x:c r="C53" s="977" t="n">
        <x:f>'Raw Beta Prices'!J183</x:f>
        <x:v>1482</x:v>
      </x:c>
      <x:c r="D53" s="980" t="n">
        <x:f>B53/B52-1</x:f>
        <x:v>-0.055140186915887845</x:v>
      </x:c>
      <x:c r="E53" s="980" t="n">
        <x:f>C53/C52-1</x:f>
        <x:v>-0.022711086492047228</x:v>
      </x:c>
      <x:c r="F53" s="983" t="n">
        <x:f>B53/$B$17*100</x:f>
        <x:v>132.24329627207325</x:v>
      </x:c>
      <x:c r="G53" s="983" t="n">
        <x:f>C53/$C$17*100</x:f>
        <x:v>116.80051701173522</x:v>
      </x:c>
      <x:c r="H53" s="986" t="n">
        <x:f>183</x:f>
        <x:v>183</x:v>
      </x:c>
    </x:row>
    <x:row r="54">
      <x:c r="A54" s="971" t="n">
        <x:f>'Raw Beta Prices'!A187</x:f>
        <x:v>44666</x:v>
      </x:c>
      <x:c r="B54" s="974" t="n">
        <x:f>'Raw Beta Prices'!E187</x:f>
        <x:v>42.28</x:v>
      </x:c>
      <x:c r="C54" s="977" t="n">
        <x:f>'Raw Beta Prices'!J187</x:f>
        <x:v>1458.56</x:v>
      </x:c>
      <x:c r="D54" s="980" t="n">
        <x:f>B54/B53-1</x:f>
        <x:v>0.04549950544015835</x:v>
      </x:c>
      <x:c r="E54" s="980" t="n">
        <x:f>C54/C53-1</x:f>
        <x:v>-0.015816464237516925</x:v>
      </x:c>
      <x:c r="F54" s="983" t="n">
        <x:f>B54/$B$17*100</x:f>
        <x:v>138.2603008502289</x:v>
      </x:c>
      <x:c r="G54" s="983" t="n">
        <x:f>C54/$C$17*100</x:f>
        <x:v>114.95314581149563</x:v>
      </x:c>
      <x:c r="H54" s="986" t="n">
        <x:f>187</x:f>
        <x:v>187</x:v>
      </x:c>
    </x:row>
    <x:row r="55">
      <x:c r="A55" s="971" t="n">
        <x:f>'Raw Beta Prices'!A192</x:f>
        <x:v>44673</x:v>
      </x:c>
      <x:c r="B55" s="974" t="n">
        <x:f>'Raw Beta Prices'!E192</x:f>
        <x:v>38.66</x:v>
      </x:c>
      <x:c r="C55" s="977" t="n">
        <x:f>'Raw Beta Prices'!J192</x:f>
        <x:v>1379.23</x:v>
      </x:c>
      <x:c r="D55" s="980" t="n">
        <x:f>B55/B54-1</x:f>
        <x:v>-0.08561967833491024</x:v>
      </x:c>
      <x:c r="E55" s="980" t="n">
        <x:f>C55/C54-1</x:f>
        <x:v>-0.054389260640631765</x:v>
      </x:c>
      <x:c r="F55" s="983" t="n">
        <x:f>B55/$B$17*100</x:f>
        <x:v>126.42249836494442</x:v>
      </x:c>
      <x:c r="G55" s="983" t="n">
        <x:f>C55/$C$17*100</x:f>
        <x:v>108.70092920249364</x:v>
      </x:c>
      <x:c r="H55" s="986" t="n">
        <x:f>192</x:f>
        <x:v>192</x:v>
      </x:c>
    </x:row>
    <x:row r="56">
      <x:c r="A56" s="971" t="n">
        <x:f>'Raw Beta Prices'!A197</x:f>
        <x:v>44680</x:v>
      </x:c>
      <x:c r="B56" s="974" t="n">
        <x:f>'Raw Beta Prices'!E197</x:f>
        <x:v>40.14</x:v>
      </x:c>
      <x:c r="C56" s="977" t="n">
        <x:f>'Raw Beta Prices'!J197</x:f>
        <x:v>1366.8</x:v>
      </x:c>
      <x:c r="D56" s="980" t="n">
        <x:f>B56/B55-1</x:f>
        <x:v>0.0382824624935334</x:v>
      </x:c>
      <x:c r="E56" s="980" t="n">
        <x:f>C56/C55-1</x:f>
        <x:v>-0.009012274965016775</x:v>
      </x:c>
      <x:c r="F56" s="983" t="n">
        <x:f>B56/$B$17*100</x:f>
        <x:v>131.2622629169392</x:v>
      </x:c>
      <x:c r="G56" s="983" t="n">
        <x:f>C56/$C$17*100</x:f>
        <x:v>107.72128653956796</x:v>
      </x:c>
      <x:c r="H56" s="986" t="n">
        <x:f>197</x:f>
        <x:v>197</x:v>
      </x:c>
    </x:row>
    <x:row r="57">
      <x:c r="A57" s="971" t="n">
        <x:f>'Raw Beta Prices'!A200</x:f>
        <x:v>44687</x:v>
      </x:c>
      <x:c r="B57" s="974" t="n">
        <x:f>'Raw Beta Prices'!E200</x:f>
        <x:v>41.39</x:v>
      </x:c>
      <x:c r="C57" s="977" t="n">
        <x:f>'Raw Beta Prices'!J200</x:f>
        <x:v>1329.26</x:v>
      </x:c>
      <x:c r="D57" s="980" t="n">
        <x:f>B57/B56-1</x:f>
        <x:v>0.031141006477329425</x:v>
      </x:c>
      <x:c r="E57" s="980" t="n">
        <x:f>C57/C56-1</x:f>
        <x:v>-0.027465613110916</x:v>
      </x:c>
      <x:c r="F57" s="983" t="n">
        <x:f>B57/$B$17*100</x:f>
        <x:v>135.3499018966645</x:v>
      </x:c>
      <x:c r="G57" s="983" t="n">
        <x:f>C57/$C$17*100</x:f>
        <x:v>104.76265535966205</x:v>
      </x:c>
      <x:c r="H57" s="986" t="n">
        <x:f>200</x:f>
        <x:v>200</x:v>
      </x:c>
    </x:row>
    <x:row r="58">
      <x:c r="A58" s="971" t="n">
        <x:f>'Raw Beta Prices'!A205</x:f>
        <x:v>44694</x:v>
      </x:c>
      <x:c r="B58" s="974" t="n">
        <x:f>'Raw Beta Prices'!E205</x:f>
        <x:v>38.37</x:v>
      </x:c>
      <x:c r="C58" s="977" t="n">
        <x:f>'Raw Beta Prices'!J205</x:f>
        <x:v>1182.77</x:v>
      </x:c>
      <x:c r="D58" s="980" t="n">
        <x:f>B58/B57-1</x:f>
        <x:v>-0.07296448417492152</x:v>
      </x:c>
      <x:c r="E58" s="980" t="n">
        <x:f>C58/C57-1</x:f>
        <x:v>-0.11020417375080871</x:v>
      </x:c>
      <x:c r="F58" s="983" t="n">
        <x:f>B58/$B$17*100</x:f>
        <x:v>125.47416612164814</x:v>
      </x:c>
      <x:c r="G58" s="983" t="n">
        <x:f>C58/$C$17*100</x:f>
        <x:v>93.21737348580976</x:v>
      </x:c>
      <x:c r="H58" s="986" t="n">
        <x:f>205</x:f>
        <x:v>205</x:v>
      </x:c>
    </x:row>
    <x:row r="59">
      <x:c r="A59" s="971" t="n">
        <x:f>'Raw Beta Prices'!A210</x:f>
        <x:v>44701</x:v>
      </x:c>
      <x:c r="B59" s="974" t="n">
        <x:f>'Raw Beta Prices'!E210</x:f>
        <x:v>36.75</x:v>
      </x:c>
      <x:c r="C59" s="977" t="n">
        <x:f>'Raw Beta Prices'!J210</x:f>
        <x:v>1240.71</x:v>
      </x:c>
      <x:c r="D59" s="980" t="n">
        <x:f>B59/B58-1</x:f>
        <x:v>-0.04222048475371376</x:v>
      </x:c>
      <x:c r="E59" s="980" t="n">
        <x:f>C59/C58-1</x:f>
        <x:v>0.04898670071104272</x:v>
      </x:c>
      <x:c r="F59" s="983" t="n">
        <x:f>B59/$B$17*100</x:f>
        <x:v>120.17658600392413</x:v>
      </x:c>
      <x:c r="G59" s="983" t="n">
        <x:f>C59/$C$17*100</x:f>
        <x:v>97.78378506182862</x:v>
      </x:c>
      <x:c r="H59" s="986" t="n">
        <x:f>210</x:f>
        <x:v>210</x:v>
      </x:c>
    </x:row>
    <x:row r="60">
      <x:c r="A60" s="971" t="n">
        <x:f>'Raw Beta Prices'!A215</x:f>
        <x:v>44708</x:v>
      </x:c>
      <x:c r="B60" s="974" t="n">
        <x:f>'Raw Beta Prices'!E215</x:f>
        <x:v>40.8</x:v>
      </x:c>
      <x:c r="C60" s="977" t="n">
        <x:f>'Raw Beta Prices'!J215</x:f>
        <x:v>1285.45</x:v>
      </x:c>
      <x:c r="D60" s="980" t="n">
        <x:f>B60/B59-1</x:f>
        <x:v>0.11020408163265305</x:v>
      </x:c>
      <x:c r="E60" s="980" t="n">
        <x:f>C60/C59-1</x:f>
        <x:v>0.0360599979044256</x:v>
      </x:c>
      <x:c r="F60" s="983" t="n">
        <x:f>B60/$B$17*100</x:f>
        <x:v>133.42053629823414</x:v>
      </x:c>
      <x:c r="G60" s="983" t="n">
        <x:f>C60/$C$17*100</x:f>
        <x:v>101.30986814624498</x:v>
      </x:c>
      <x:c r="H60" s="986" t="n">
        <x:f>215</x:f>
        <x:v>215</x:v>
      </x:c>
    </x:row>
    <x:row r="61">
      <x:c r="A61" s="971" t="n">
        <x:f>'Raw Beta Prices'!A220</x:f>
        <x:v>44715</x:v>
      </x:c>
      <x:c r="B61" s="974" t="n">
        <x:f>'Raw Beta Prices'!E220</x:f>
        <x:v>43.17</x:v>
      </x:c>
      <x:c r="C61" s="977" t="n">
        <x:f>'Raw Beta Prices'!J220</x:f>
        <x:v>1287.98</x:v>
      </x:c>
      <x:c r="D61" s="980" t="n">
        <x:f>B61/B60-1</x:f>
        <x:v>0.05808823529411766</x:v>
      </x:c>
      <x:c r="E61" s="980" t="n">
        <x:f>C61/C60-1</x:f>
        <x:v>0.00196818234859375</x:v>
      </x:c>
      <x:c r="F61" s="983" t="n">
        <x:f>B61/$B$17*100</x:f>
        <x:v>141.17069980379333</x:v>
      </x:c>
      <x:c r="G61" s="983" t="n">
        <x:f>C61/$C$17*100</x:f>
        <x:v>101.5092644404688</x:v>
      </x:c>
      <x:c r="H61" s="986" t="n">
        <x:f>220</x:f>
        <x:v>220</x:v>
      </x:c>
    </x:row>
    <x:row r="62">
      <x:c r="A62" s="971" t="n">
        <x:f>'Raw Beta Prices'!A225</x:f>
        <x:v>44722</x:v>
      </x:c>
      <x:c r="B62" s="974" t="n">
        <x:f>'Raw Beta Prices'!E225</x:f>
        <x:v>40.58</x:v>
      </x:c>
      <x:c r="C62" s="977" t="n">
        <x:f>'Raw Beta Prices'!J225</x:f>
        <x:v>1284.08</x:v>
      </x:c>
      <x:c r="D62" s="980" t="n">
        <x:f>B62/B61-1</x:f>
        <x:v>-0.05999536715311571</x:v>
      </x:c>
      <x:c r="E62" s="980" t="n">
        <x:f>C62/C61-1</x:f>
        <x:v>-0.0030279973291511553</x:v>
      </x:c>
      <x:c r="F62" s="983" t="n">
        <x:f>B62/$B$17*100</x:f>
        <x:v>132.7011118378025</x:v>
      </x:c>
      <x:c r="G62" s="983" t="n">
        <x:f>C62/$C$17*100</x:f>
        <x:v>101.20189465885896</x:v>
      </x:c>
      <x:c r="H62" s="986" t="n">
        <x:f>225</x:f>
        <x:v>225</x:v>
      </x:c>
    </x:row>
    <x:row r="63">
      <x:c r="A63" s="971" t="n">
        <x:f>'Raw Beta Prices'!A230</x:f>
        <x:v>44729</x:v>
      </x:c>
      <x:c r="B63" s="974" t="n">
        <x:f>'Raw Beta Prices'!E230</x:f>
        <x:v>40.95</x:v>
      </x:c>
      <x:c r="C63" s="977" t="n">
        <x:f>'Raw Beta Prices'!J230</x:f>
        <x:v>1217.3</x:v>
      </x:c>
      <x:c r="D63" s="980" t="n">
        <x:f>B63/B62-1</x:f>
        <x:v>0.009117792015771453</x:v>
      </x:c>
      <x:c r="E63" s="980" t="n">
        <x:f>C63/C62-1</x:f>
        <x:v>-0.05200610553859575</x:v>
      </x:c>
      <x:c r="F63" s="983" t="n">
        <x:f>B63/$B$17*100</x:f>
        <x:v>133.9110529758012</x:v>
      </x:c>
      <x:c r="G63" s="983" t="n">
        <x:f>C63/$C$17*100</x:f>
        <x:v>95.93877824452449</x:v>
      </x:c>
      <x:c r="H63" s="986" t="n">
        <x:f>230</x:f>
        <x:v>230</x:v>
      </x:c>
    </x:row>
    <x:row r="64">
      <x:c r="A64" s="971" t="n">
        <x:f>'Raw Beta Prices'!A235</x:f>
        <x:v>44736</x:v>
      </x:c>
      <x:c r="B64" s="974" t="n">
        <x:f>'Raw Beta Prices'!E235</x:f>
        <x:v>38.37</x:v>
      </x:c>
      <x:c r="C64" s="977" t="n">
        <x:f>'Raw Beta Prices'!J235</x:f>
        <x:v>1185.48</x:v>
      </x:c>
      <x:c r="D64" s="980" t="n">
        <x:f>B64/B63-1</x:f>
        <x:v>-0.06300366300366311</x:v>
      </x:c>
      <x:c r="E64" s="980" t="n">
        <x:f>C64/C63-1</x:f>
        <x:v>-0.026139817629179274</x:v>
      </x:c>
      <x:c r="F64" s="983" t="n">
        <x:f>B64/$B$17*100</x:f>
        <x:v>125.47416612164814</x:v>
      </x:c>
      <x:c r="G64" s="983" t="n">
        <x:f>C64/$C$17*100</x:f>
        <x:v>93.43095607764634</x:v>
      </x:c>
      <x:c r="H64" s="986" t="n">
        <x:f>235</x:f>
        <x:v>235</x:v>
      </x:c>
    </x:row>
    <x:row r="65">
      <x:c r="A65" s="971" t="n">
        <x:f>'Raw Beta Prices'!A240</x:f>
        <x:v>44743</x:v>
      </x:c>
      <x:c r="B65" s="974" t="n">
        <x:f>'Raw Beta Prices'!E240</x:f>
        <x:v>37.93</x:v>
      </x:c>
      <x:c r="C65" s="977" t="n">
        <x:f>'Raw Beta Prices'!J240</x:f>
        <x:v>1198.9</x:v>
      </x:c>
      <x:c r="D65" s="980" t="n">
        <x:f>B65/B64-1</x:f>
        <x:v>-0.0114672921553296</x:v>
      </x:c>
      <x:c r="E65" s="980" t="n">
        <x:f>C65/C64-1</x:f>
        <x:v>0.011320309073118207</x:v>
      </x:c>
      <x:c r="F65" s="983" t="n">
        <x:f>B65/$B$17*100</x:f>
        <x:v>124.03531720078482</x:v>
      </x:c>
      <x:c r="G65" s="983" t="n">
        <x:f>C65/$C$17*100</x:f>
        <x:v>94.48862337744222</x:v>
      </x:c>
      <x:c r="H65" s="986" t="n">
        <x:f>240</x:f>
        <x:v>240</x:v>
      </x:c>
    </x:row>
    <x:row r="66">
      <x:c r="A66" s="971" t="n">
        <x:f>'Raw Beta Prices'!A245</x:f>
        <x:v>44750</x:v>
      </x:c>
      <x:c r="B66" s="974" t="n">
        <x:f>'Raw Beta Prices'!E245</x:f>
        <x:v>35.2</x:v>
      </x:c>
      <x:c r="C66" s="977" t="n">
        <x:f>'Raw Beta Prices'!J245</x:f>
        <x:v>1171.31</x:v>
      </x:c>
      <x:c r="D66" s="980" t="n">
        <x:f>B66/B65-1</x:f>
        <x:v>-0.07197469021882408</x:v>
      </x:c>
      <x:c r="E66" s="980" t="n">
        <x:f>C66/C65-1</x:f>
        <x:v>-0.023012761698223527</x:v>
      </x:c>
      <x:c r="F66" s="983" t="n">
        <x:f>B66/$B$17*100</x:f>
        <x:v>115.10791366906477</x:v>
      </x:c>
      <x:c r="G66" s="983" t="n">
        <x:f>C66/$C$17*100</x:f>
        <x:v>92.31417920446395</x:v>
      </x:c>
      <x:c r="H66" s="986" t="n">
        <x:f>245</x:f>
        <x:v>245</x:v>
      </x:c>
    </x:row>
    <x:row r="67">
      <x:c r="A67" s="971" t="n">
        <x:f>'Raw Beta Prices'!A250</x:f>
        <x:v>44757</x:v>
      </x:c>
      <x:c r="B67" s="974" t="n">
        <x:f>'Raw Beta Prices'!E250</x:f>
        <x:v>36.16</x:v>
      </x:c>
      <x:c r="C67" s="977" t="n">
        <x:f>'Raw Beta Prices'!J250</x:f>
        <x:v>1179.25</x:v>
      </x:c>
      <x:c r="D67" s="980" t="n">
        <x:f>B67/B66-1</x:f>
        <x:v>0.027272727272727115</x:v>
      </x:c>
      <x:c r="E67" s="980" t="n">
        <x:f>C67/C66-1</x:f>
        <x:v>0.006778734920729779</x:v>
      </x:c>
      <x:c r="F67" s="983" t="n">
        <x:f>B67/$B$17*100</x:f>
        <x:v>118.24722040549378</x:v>
      </x:c>
      <x:c r="G67" s="983" t="n">
        <x:f>C67/$C$17*100</x:f>
        <x:v>92.93995255471576</x:v>
      </x:c>
      <x:c r="H67" s="986" t="n">
        <x:f>250</x:f>
        <x:v>250</x:v>
      </x:c>
    </x:row>
    <x:row r="68">
      <x:c r="A68" s="971" t="n">
        <x:f>'Raw Beta Prices'!A255</x:f>
        <x:v>44764</x:v>
      </x:c>
      <x:c r="B68" s="974" t="n">
        <x:f>'Raw Beta Prices'!E255</x:f>
        <x:v>37.48</x:v>
      </x:c>
      <x:c r="C68" s="977" t="n">
        <x:f>'Raw Beta Prices'!J255</x:f>
        <x:v>1194.76</x:v>
      </x:c>
      <x:c r="D68" s="980" t="n">
        <x:f>B68/B67-1</x:f>
        <x:v>0.036504424778761146</x:v>
      </x:c>
      <x:c r="E68" s="980" t="n">
        <x:f>C68/C67-1</x:f>
        <x:v>0.013152427390290322</x:v>
      </x:c>
      <x:c r="F68" s="983" t="n">
        <x:f>B68/$B$17*100</x:f>
        <x:v>122.5637671680837</x:v>
      </x:c>
      <x:c r="G68" s="983" t="n">
        <x:f>C68/$C$17*100</x:f>
        <x:v>94.1623385323487</x:v>
      </x:c>
      <x:c r="H68" s="986" t="n">
        <x:f>255</x:f>
        <x:v>255</x:v>
      </x:c>
    </x:row>
    <x:row r="69">
      <x:c r="A69" s="971" t="n">
        <x:f>'Raw Beta Prices'!A260</x:f>
        <x:v>44771</x:v>
      </x:c>
      <x:c r="B69" s="974" t="n">
        <x:f>'Raw Beta Prices'!E260</x:f>
        <x:v>36.89</x:v>
      </x:c>
      <x:c r="C69" s="977" t="n">
        <x:f>'Raw Beta Prices'!J260</x:f>
        <x:v>1206.33</x:v>
      </x:c>
      <x:c r="D69" s="980" t="n">
        <x:f>B69/B68-1</x:f>
        <x:v>-0.01574172892209169</x:v>
      </x:c>
      <x:c r="E69" s="980" t="n">
        <x:f>C69/C68-1</x:f>
        <x:v>0.00968395326257987</x:v>
      </x:c>
      <x:c r="F69" s="983" t="n">
        <x:f>B69/$B$17*100</x:f>
        <x:v>120.63440156965338</x:v>
      </x:c>
      <x:c r="G69" s="983" t="n">
        <x:f>C69/$C$17*100</x:f>
        <x:v>95.0742022177912</x:v>
      </x:c>
      <x:c r="H69" s="986" t="n">
        <x:f>260</x:f>
        <x:v>260</x:v>
      </x:c>
    </x:row>
    <x:row r="70">
      <x:c r="A70" s="971" t="n">
        <x:f>'Raw Beta Prices'!A265</x:f>
        <x:v>44778</x:v>
      </x:c>
      <x:c r="B70" s="974" t="n">
        <x:f>'Raw Beta Prices'!E265</x:f>
        <x:v>38.3</x:v>
      </x:c>
      <x:c r="C70" s="977" t="n">
        <x:f>'Raw Beta Prices'!J265</x:f>
        <x:v>1252.74</x:v>
      </x:c>
      <x:c r="D70" s="980" t="n">
        <x:f>B70/B69-1</x:f>
        <x:v>0.03822174030902681</x:v>
      </x:c>
      <x:c r="E70" s="980" t="n">
        <x:f>C70/C69-1</x:f>
        <x:v>0.03847205988411129</x:v>
      </x:c>
      <x:c r="F70" s="983" t="n">
        <x:f>B70/$B$17*100</x:f>
        <x:v>125.24525833878353</x:v>
      </x:c>
      <x:c r="G70" s="983" t="n">
        <x:f>C70/$C$17*100</x:f>
        <x:v>98.73190261894817</x:v>
      </x:c>
      <x:c r="H70" s="986" t="n">
        <x:f>265</x:f>
        <x:v>265</x:v>
      </x:c>
    </x:row>
    <x:row r="71">
      <x:c r="A71" s="971" t="n">
        <x:f>'Raw Beta Prices'!A270</x:f>
        <x:v>44785</x:v>
      </x:c>
      <x:c r="B71" s="974" t="n">
        <x:f>'Raw Beta Prices'!E270</x:f>
        <x:v>38.22</x:v>
      </x:c>
      <x:c r="C71" s="977" t="n">
        <x:f>'Raw Beta Prices'!J270</x:f>
        <x:v>1262.33</x:v>
      </x:c>
      <x:c r="D71" s="980" t="n">
        <x:f>B71/B70-1</x:f>
        <x:v>-0.002088772845952991</x:v>
      </x:c>
      <x:c r="E71" s="980" t="n">
        <x:f>C71/C70-1</x:f>
        <x:v>0.007655219758289755</x:v>
      </x:c>
      <x:c r="F71" s="983" t="n">
        <x:f>B71/$B$17*100</x:f>
        <x:v>124.98364944408111</x:v>
      </x:c>
      <x:c r="G71" s="983" t="n">
        <x:f>C71/$C$17*100</x:f>
        <x:v>99.48771703065027</x:v>
      </x:c>
      <x:c r="H71" s="986" t="n">
        <x:f>270</x:f>
        <x:v>270</x:v>
      </x:c>
    </x:row>
    <x:row r="72">
      <x:c r="A72" s="971" t="n">
        <x:f>'Raw Beta Prices'!A275</x:f>
        <x:v>44792</x:v>
      </x:c>
      <x:c r="B72" s="974" t="n">
        <x:f>'Raw Beta Prices'!E275</x:f>
        <x:v>38.37</x:v>
      </x:c>
      <x:c r="C72" s="977" t="n">
        <x:f>'Raw Beta Prices'!J275</x:f>
        <x:v>1269.18</x:v>
      </x:c>
      <x:c r="D72" s="980" t="n">
        <x:f>B72/B71-1</x:f>
        <x:v>0.003924646781789498</x:v>
      </x:c>
      <x:c r="E72" s="980" t="n">
        <x:f>C72/C71-1</x:f>
        <x:v>0.005426473267687637</x:v>
      </x:c>
      <x:c r="F72" s="983" t="n">
        <x:f>B72/$B$17*100</x:f>
        <x:v>125.47416612164814</x:v>
      </x:c>
      <x:c r="G72" s="983" t="n">
        <x:f>C72/$C$17*100</x:f>
        <x:v>100.02758446758038</x:v>
      </x:c>
      <x:c r="H72" s="986" t="n">
        <x:f>275</x:f>
        <x:v>275</x:v>
      </x:c>
    </x:row>
    <x:row r="73">
      <x:c r="A73" s="971" t="n">
        <x:f>'Raw Beta Prices'!A280</x:f>
        <x:v>44799</x:v>
      </x:c>
      <x:c r="B73" s="974" t="n">
        <x:f>'Raw Beta Prices'!E280</x:f>
        <x:v>38.37</x:v>
      </x:c>
      <x:c r="C73" s="977" t="n">
        <x:f>'Raw Beta Prices'!J280</x:f>
        <x:v>1282.57</x:v>
      </x:c>
      <x:c r="D73" s="980" t="n">
        <x:f>B73/B72-1</x:f>
        <x:v>0</x:v>
      </x:c>
      <x:c r="E73" s="980" t="n">
        <x:f>C73/C72-1</x:f>
        <x:v>0.010550118974455902</x:v>
      </x:c>
      <x:c r="F73" s="983" t="n">
        <x:f>B73/$B$17*100</x:f>
        <x:v>125.47416612164814</x:v>
      </x:c>
      <x:c r="G73" s="983" t="n">
        <x:f>C73/$C$17*100</x:f>
        <x:v>101.08288738444078</x:v>
      </x:c>
      <x:c r="H73" s="986" t="n">
        <x:f>280</x:f>
        <x:v>280</x:v>
      </x:c>
    </x:row>
    <x:row r="74">
      <x:c r="A74" s="971" t="n">
        <x:f>'Raw Beta Prices'!A283</x:f>
        <x:v>44804</x:v>
      </x:c>
      <x:c r="B74" s="974" t="n">
        <x:f>'Raw Beta Prices'!E283</x:f>
        <x:v>37.48</x:v>
      </x:c>
      <x:c r="C74" s="977" t="n">
        <x:f>'Raw Beta Prices'!J283</x:f>
        <x:v>1280.51</x:v>
      </x:c>
      <x:c r="D74" s="980" t="n">
        <x:f>B74/B73-1</x:f>
        <x:v>-0.02319520458691693</x:v>
      </x:c>
      <x:c r="E74" s="980" t="n">
        <x:f>C74/C73-1</x:f>
        <x:v>-0.0016061501516485555</x:v>
      </x:c>
      <x:c r="F74" s="983" t="n">
        <x:f>B74/$B$17*100</x:f>
        <x:v>122.5637671680837</x:v>
      </x:c>
      <x:c r="G74" s="983" t="n">
        <x:f>C74/$C$17*100</x:f>
        <x:v>100.92053308953919</x:v>
      </x:c>
      <x:c r="H74" s="986" t="n">
        <x:f>283</x:f>
        <x:v>283</x:v>
      </x:c>
    </x:row>
    <x:row r="75">
      <x:c r="A75" s="971" t="n">
        <x:f>'Raw Beta Prices'!A288</x:f>
        <x:v>44813</x:v>
      </x:c>
      <x:c r="B75" s="974" t="n">
        <x:f>'Raw Beta Prices'!E288</x:f>
        <x:v>36.52</x:v>
      </x:c>
      <x:c r="C75" s="977" t="n">
        <x:f>'Raw Beta Prices'!J288</x:f>
        <x:v>1248.78</x:v>
      </x:c>
      <x:c r="D75" s="980" t="n">
        <x:f>B75/B74-1</x:f>
        <x:v>-0.025613660618996614</x:v>
      </x:c>
      <x:c r="E75" s="980" t="n">
        <x:f>C75/C74-1</x:f>
        <x:v>-0.024779189541667024</x:v>
      </x:c>
      <x:c r="F75" s="983" t="n">
        <x:f>B75/$B$17*100</x:f>
        <x:v>119.4244604316547</x:v>
      </x:c>
      <x:c r="G75" s="983" t="n">
        <x:f>C75/$C$17*100</x:f>
        <x:v>98.41980407146742</x:v>
      </x:c>
      <x:c r="H75" s="986" t="n">
        <x:f>288</x:f>
        <x:v>288</x:v>
      </x:c>
    </x:row>
    <x:row r="76">
      <x:c r="A76" s="971" t="n">
        <x:f>'Raw Beta Prices'!A293</x:f>
        <x:v>44820</x:v>
      </x:c>
      <x:c r="B76" s="974" t="n">
        <x:f>'Raw Beta Prices'!E293</x:f>
        <x:v>36.16</x:v>
      </x:c>
      <x:c r="C76" s="977" t="n">
        <x:f>'Raw Beta Prices'!J293</x:f>
        <x:v>1234.03</x:v>
      </x:c>
      <x:c r="D76" s="980" t="n">
        <x:f>B76/B75-1</x:f>
        <x:v>-0.009857612267251015</x:v>
      </x:c>
      <x:c r="E76" s="980" t="n">
        <x:f>C76/C75-1</x:f>
        <x:v>-0.011811528051378195</x:v>
      </x:c>
      <x:c r="F76" s="983" t="n">
        <x:f>B76/$B$17*100</x:f>
        <x:v>118.24722040549378</x:v>
      </x:c>
      <x:c r="G76" s="983" t="n">
        <x:f>C76/$C$17*100</x:f>
        <x:v>97.25731579486614</x:v>
      </x:c>
      <x:c r="H76" s="986" t="n">
        <x:f>293</x:f>
        <x:v>293</x:v>
      </x:c>
    </x:row>
    <x:row r="77">
      <x:c r="A77" s="971" t="n">
        <x:f>'Raw Beta Prices'!A298</x:f>
        <x:v>44827</x:v>
      </x:c>
      <x:c r="B77" s="974" t="n">
        <x:f>'Raw Beta Prices'!E298</x:f>
        <x:v>35.93</x:v>
      </x:c>
      <x:c r="C77" s="977" t="n">
        <x:f>'Raw Beta Prices'!J298</x:f>
        <x:v>1203.28</x:v>
      </x:c>
      <x:c r="D77" s="980" t="n">
        <x:f>B77/B76-1</x:f>
        <x:v>-0.006360619469026441</x:v>
      </x:c>
      <x:c r="E77" s="980" t="n">
        <x:f>C77/C76-1</x:f>
        <x:v>-0.024918356928113616</x:v>
      </x:c>
      <x:c r="F77" s="983" t="n">
        <x:f>B77/$B$17*100</x:f>
        <x:v>117.49509483322433</x:v>
      </x:c>
      <x:c r="G77" s="983" t="n">
        <x:f>C77/$C$17*100</x:f>
        <x:v>94.83382328601941</x:v>
      </x:c>
      <x:c r="H77" s="986" t="n">
        <x:f>298</x:f>
        <x:v>298</x:v>
      </x:c>
    </x:row>
    <x:row r="78">
      <x:c r="A78" s="971" t="n">
        <x:f>'Raw Beta Prices'!A303</x:f>
        <x:v>44834</x:v>
      </x:c>
      <x:c r="B78" s="974" t="n">
        <x:f>'Raw Beta Prices'!E303</x:f>
        <x:v>35.42</x:v>
      </x:c>
      <x:c r="C78" s="977" t="n">
        <x:f>'Raw Beta Prices'!J303</x:f>
        <x:v>1132.11</x:v>
      </x:c>
      <x:c r="D78" s="980" t="n">
        <x:f>B78/B77-1</x:f>
        <x:v>-0.014194266629557473</x:v>
      </x:c>
      <x:c r="E78" s="980" t="n">
        <x:f>C78/C77-1</x:f>
        <x:v>-0.05914666578020089</x:v>
      </x:c>
      <x:c r="F78" s="983" t="n">
        <x:f>B78/$B$17*100</x:f>
        <x:v>115.82733812949641</x:v>
      </x:c>
      <x:c r="G78" s="983" t="n">
        <x:f>C78/$C$17*100</x:f>
        <x:v>89.2247188354626</x:v>
      </x:c>
      <x:c r="H78" s="986" t="n">
        <x:f>303</x:f>
        <x:v>303</x:v>
      </x:c>
    </x:row>
    <x:row r="79">
      <x:c r="A79" s="971" t="n">
        <x:f>'Raw Beta Prices'!A308</x:f>
        <x:v>44841</x:v>
      </x:c>
      <x:c r="B79" s="974" t="n">
        <x:f>'Raw Beta Prices'!E308</x:f>
        <x:v>35.89</x:v>
      </x:c>
      <x:c r="C79" s="977" t="n">
        <x:f>'Raw Beta Prices'!J308</x:f>
        <x:v>1035.91</x:v>
      </x:c>
      <x:c r="D79" s="980" t="n">
        <x:f>B79/B78-1</x:f>
        <x:v>0.013269339356295928</x:v>
      </x:c>
      <x:c r="E79" s="980" t="n">
        <x:f>C79/C78-1</x:f>
        <x:v>-0.0849740749573803</x:v>
      </x:c>
      <x:c r="F79" s="983" t="n">
        <x:f>B79/$B$17*100</x:f>
        <x:v>117.36429038587313</x:v>
      </x:c>
      <x:c r="G79" s="983" t="n">
        <x:f>C79/$C$17*100</x:f>
        <x:v>81.64293088908681</x:v>
      </x:c>
      <x:c r="H79" s="986" t="n">
        <x:f>308</x:f>
        <x:v>308</x:v>
      </x:c>
    </x:row>
    <x:row r="80">
      <x:c r="A80" s="971" t="n">
        <x:f>'Raw Beta Prices'!A313</x:f>
        <x:v>44848</x:v>
      </x:c>
      <x:c r="B80" s="974" t="n">
        <x:f>'Raw Beta Prices'!E313</x:f>
        <x:v>36.08</x:v>
      </x:c>
      <x:c r="C80" s="977" t="n">
        <x:f>'Raw Beta Prices'!J313</x:f>
        <x:v>1061.85</x:v>
      </x:c>
      <x:c r="D80" s="980" t="n">
        <x:f>B80/B79-1</x:f>
        <x:v>0.00529395374756203</x:v>
      </x:c>
      <x:c r="E80" s="980" t="n">
        <x:f>C80/C79-1</x:f>
        <x:v>0.025040785396414522</x:v>
      </x:c>
      <x:c r="F80" s="983" t="n">
        <x:f>B80/$B$17*100</x:f>
        <x:v>117.98561151079137</x:v>
      </x:c>
      <x:c r="G80" s="983" t="n">
        <x:f>C80/$C$17*100</x:f>
        <x:v>83.68733400061473</x:v>
      </x:c>
      <x:c r="H80" s="986" t="n">
        <x:f>313</x:f>
        <x:v>313</x:v>
      </x:c>
    </x:row>
    <x:row r="81">
      <x:c r="A81" s="971" t="n">
        <x:f>'Raw Beta Prices'!A318</x:f>
        <x:v>44855</x:v>
      </x:c>
      <x:c r="B81" s="974" t="n">
        <x:f>'Raw Beta Prices'!E318</x:f>
        <x:v>34.79</x:v>
      </x:c>
      <x:c r="C81" s="977" t="n">
        <x:f>'Raw Beta Prices'!J318</x:f>
        <x:v>1019.82</x:v>
      </x:c>
      <x:c r="D81" s="980" t="n">
        <x:f>B81/B80-1</x:f>
        <x:v>-0.0357538802660754</x:v>
      </x:c>
      <x:c r="E81" s="980" t="n">
        <x:f>C81/C80-1</x:f>
        <x:v>-0.03958186184489321</x:v>
      </x:c>
      <x:c r="F81" s="983" t="n">
        <x:f>B81/$B$17*100</x:f>
        <x:v>113.76716808371485</x:v>
      </x:c>
      <x:c r="G81" s="983" t="n">
        <x:f>C81/$C$17*100</x:f>
        <x:v>80.37483350803497</x:v>
      </x:c>
      <x:c r="H81" s="986" t="n">
        <x:f>318</x:f>
        <x:v>318</x:v>
      </x:c>
    </x:row>
    <x:row r="82">
      <x:c r="A82" s="971" t="n">
        <x:f>'Raw Beta Prices'!A323</x:f>
        <x:v>44862</x:v>
      </x:c>
      <x:c r="B82" s="974" t="n">
        <x:f>'Raw Beta Prices'!E323</x:f>
        <x:v>35.1</x:v>
      </x:c>
      <x:c r="C82" s="977" t="n">
        <x:f>'Raw Beta Prices'!J323</x:f>
        <x:v>1027.36</x:v>
      </x:c>
      <x:c r="D82" s="980" t="n">
        <x:f>B82/B81-1</x:f>
        <x:v>0.008910606496119744</x:v>
      </x:c>
      <x:c r="E82" s="980" t="n">
        <x:f>C82/C81-1</x:f>
        <x:v>0.007393461591260975</x:v>
      </x:c>
      <x:c r="F82" s="983" t="n">
        <x:f>B82/$B$17*100</x:f>
        <x:v>114.78090255068673</x:v>
      </x:c>
      <x:c r="G82" s="983" t="n">
        <x:f>C82/$C$17*100</x:f>
        <x:v>80.96908175248063</x:v>
      </x:c>
      <x:c r="H82" s="986" t="n">
        <x:f>323</x:f>
        <x:v>323</x:v>
      </x:c>
    </x:row>
    <x:row r="83">
      <x:c r="A83" s="971" t="n">
        <x:f>'Raw Beta Prices'!A328</x:f>
        <x:v>44869</x:v>
      </x:c>
      <x:c r="B83" s="974" t="n">
        <x:f>'Raw Beta Prices'!E328</x:f>
        <x:v>36.84</x:v>
      </x:c>
      <x:c r="C83" s="977" t="n">
        <x:f>'Raw Beta Prices'!J328</x:f>
        <x:v>997.15</x:v>
      </x:c>
      <x:c r="D83" s="980" t="n">
        <x:f>B83/B82-1</x:f>
        <x:v>0.04957264957264962</x:v>
      </x:c>
      <x:c r="E83" s="980" t="n">
        <x:f>C83/C82-1</x:f>
        <x:v>-0.029405466438249372</x:v>
      </x:c>
      <x:c r="F83" s="983" t="n">
        <x:f>B83/$B$17*100</x:f>
        <x:v>120.47089601046437</x:v>
      </x:c>
      <x:c r="G83" s="983" t="n">
        <x:f>C83/$C$17*100</x:f>
        <x:v>78.58814813647219</x:v>
      </x:c>
      <x:c r="H83" s="986" t="n">
        <x:f>328</x:f>
        <x:v>328</x:v>
      </x:c>
    </x:row>
    <x:row r="84">
      <x:c r="A84" s="971" t="n">
        <x:f>'Raw Beta Prices'!A333</x:f>
        <x:v>44876</x:v>
      </x:c>
      <x:c r="B84" s="974" t="n">
        <x:f>'Raw Beta Prices'!E333</x:f>
        <x:v>33.51</x:v>
      </x:c>
      <x:c r="C84" s="977" t="n">
        <x:f>'Raw Beta Prices'!J333</x:f>
        <x:v>954.53</x:v>
      </x:c>
      <x:c r="D84" s="980" t="n">
        <x:f>B84/B83-1</x:f>
        <x:v>-0.09039087947882751</x:v>
      </x:c>
      <x:c r="E84" s="980" t="n">
        <x:f>C84/C83-1</x:f>
        <x:v>-0.042741814170385584</x:v>
      </x:c>
      <x:c r="F84" s="983" t="n">
        <x:f>B84/$B$17*100</x:f>
        <x:v>109.58142576847614</x:v>
      </x:c>
      <x:c r="G84" s="983" t="n">
        <x:f>C84/$C$17*100</x:f>
        <x:v>75.22914811282836</x:v>
      </x:c>
      <x:c r="H84" s="986" t="n">
        <x:f>333</x:f>
        <x:v>333</x:v>
      </x:c>
    </x:row>
    <x:row r="85">
      <x:c r="A85" s="971" t="n">
        <x:f>'Raw Beta Prices'!A338</x:f>
        <x:v>44883</x:v>
      </x:c>
      <x:c r="B85" s="974" t="n">
        <x:f>'Raw Beta Prices'!E338</x:f>
        <x:v>32</x:v>
      </x:c>
      <x:c r="C85" s="977" t="n">
        <x:f>'Raw Beta Prices'!J338</x:f>
        <x:v>969.33</x:v>
      </x:c>
      <x:c r="D85" s="980" t="n">
        <x:f>B85/B84-1</x:f>
        <x:v>-0.045061175768427275</x:v>
      </x:c>
      <x:c r="E85" s="980" t="n">
        <x:f>C85/C84-1</x:f>
        <x:v>0.015505012938304752</x:v>
      </x:c>
      <x:c r="F85" s="983" t="n">
        <x:f>B85/$B$17*100</x:f>
        <x:v>104.64355788096795</x:v>
      </x:c>
      <x:c r="G85" s="983" t="n">
        <x:f>C85/$C$17*100</x:f>
        <x:v>76.3955770276554</x:v>
      </x:c>
      <x:c r="H85" s="986" t="n">
        <x:f>338</x:f>
        <x:v>338</x:v>
      </x:c>
    </x:row>
    <x:row r="86">
      <x:c r="A86" s="971" t="n">
        <x:f>'Raw Beta Prices'!A343</x:f>
        <x:v>44890</x:v>
      </x:c>
      <x:c r="B86" s="974" t="n">
        <x:f>'Raw Beta Prices'!E343</x:f>
        <x:v>34.79</x:v>
      </x:c>
      <x:c r="C86" s="977" t="n">
        <x:f>'Raw Beta Prices'!J343</x:f>
        <x:v>971.46</x:v>
      </x:c>
      <x:c r="D86" s="980" t="n">
        <x:f>B86/B85-1</x:f>
        <x:v>0.08718749999999997</x:v>
      </x:c>
      <x:c r="E86" s="980" t="n">
        <x:f>C86/C85-1</x:f>
        <x:v>0.002197394076320691</x:v>
      </x:c>
      <x:c r="F86" s="983" t="n">
        <x:f>B86/$B$17*100</x:f>
        <x:v>113.76716808371485</x:v>
      </x:c>
      <x:c r="G86" s="983" t="n">
        <x:f>C86/$C$17*100</x:f>
        <x:v>76.56344821607308</x:v>
      </x:c>
      <x:c r="H86" s="986" t="n">
        <x:f>343</x:f>
        <x:v>343</x:v>
      </x:c>
    </x:row>
    <x:row r="87">
      <x:c r="A87" s="971" t="n">
        <x:f>'Raw Beta Prices'!A348</x:f>
        <x:v>44897</x:v>
      </x:c>
      <x:c r="B87" s="974" t="n">
        <x:f>'Raw Beta Prices'!E348</x:f>
        <x:v>35.55</x:v>
      </x:c>
      <x:c r="C87" s="977" t="n">
        <x:f>'Raw Beta Prices'!J348</x:f>
        <x:v>1080.01</x:v>
      </x:c>
      <x:c r="D87" s="980" t="n">
        <x:f>B87/B86-1</x:f>
        <x:v>0.021845357861454362</x:v>
      </x:c>
      <x:c r="E87" s="980" t="n">
        <x:f>C87/C86-1</x:f>
        <x:v>0.1117390319724949</x:v>
      </x:c>
      <x:c r="F87" s="983" t="n">
        <x:f>B87/$B$17*100</x:f>
        <x:v>116.25245258338784</x:v>
      </x:c>
      <x:c r="G87" s="983" t="n">
        <x:f>C87/$C$17*100</x:f>
        <x:v>85.11857380421334</x:v>
      </x:c>
      <x:c r="H87" s="986" t="n">
        <x:f>348</x:f>
        <x:v>348</x:v>
      </x:c>
    </x:row>
    <x:row r="88">
      <x:c r="A88" s="971" t="n">
        <x:f>'Raw Beta Prices'!A353</x:f>
        <x:v>44904</x:v>
      </x:c>
      <x:c r="B88" s="974" t="n">
        <x:f>'Raw Beta Prices'!E353</x:f>
        <x:v>36.04</x:v>
      </x:c>
      <x:c r="C88" s="977" t="n">
        <x:f>'Raw Beta Prices'!J353</x:f>
        <x:v>1051.81</x:v>
      </x:c>
      <x:c r="D88" s="980" t="n">
        <x:f>B88/B87-1</x:f>
        <x:v>0.013783403656821402</x:v>
      </x:c>
      <x:c r="E88" s="980" t="n">
        <x:f>C88/C87-1</x:f>
        <x:v>-0.026110869343802467</x:v>
      </x:c>
      <x:c r="F88" s="983" t="n">
        <x:f>B88/$B$17*100</x:f>
        <x:v>117.85480706344016</x:v>
      </x:c>
      <x:c r="G88" s="983" t="n">
        <x:f>C88/$C$17*100</x:f>
        <x:v>82.89605384488071</x:v>
      </x:c>
      <x:c r="H88" s="986" t="n">
        <x:f>353</x:f>
        <x:v>353</x:v>
      </x:c>
    </x:row>
    <x:row r="89">
      <x:c r="A89" s="971" t="n">
        <x:f>'Raw Beta Prices'!A358</x:f>
        <x:v>44911</x:v>
      </x:c>
      <x:c r="B89" s="974" t="n">
        <x:f>'Raw Beta Prices'!E358</x:f>
        <x:v>35.55</x:v>
      </x:c>
      <x:c r="C89" s="977" t="n">
        <x:f>'Raw Beta Prices'!J358</x:f>
        <x:v>1052.48</x:v>
      </x:c>
      <x:c r="D89" s="980" t="n">
        <x:f>B89/B88-1</x:f>
        <x:v>-0.0135960044395117</x:v>
      </x:c>
      <x:c r="E89" s="980" t="n">
        <x:f>C89/C88-1</x:f>
        <x:v>0.0006369971762960613</x:v>
      </x:c>
      <x:c r="F89" s="983" t="n">
        <x:f>B89/$B$17*100</x:f>
        <x:v>116.25245258338784</x:v>
      </x:c>
      <x:c r="G89" s="983" t="n">
        <x:f>C89/$C$17*100</x:f>
        <x:v>82.94885839710601</x:v>
      </x:c>
      <x:c r="H89" s="986" t="n">
        <x:f>358</x:f>
        <x:v>358</x:v>
      </x:c>
    </x:row>
    <x:row r="90">
      <x:c r="A90" s="971" t="n">
        <x:f>'Raw Beta Prices'!A363</x:f>
        <x:v>44918</x:v>
      </x:c>
      <x:c r="B90" s="974" t="n">
        <x:f>'Raw Beta Prices'!E363</x:f>
        <x:v>34.79</x:v>
      </x:c>
      <x:c r="C90" s="977" t="n">
        <x:f>'Raw Beta Prices'!J363</x:f>
        <x:v>1020.34</x:v>
      </x:c>
      <x:c r="D90" s="980" t="n">
        <x:f>B90/B89-1</x:f>
        <x:v>-0.02137834036568209</x:v>
      </x:c>
      <x:c r="E90" s="980" t="n">
        <x:f>C90/C89-1</x:f>
        <x:v>-0.03053739738522343</x:v>
      </x:c>
      <x:c r="F90" s="983" t="n">
        <x:f>B90/$B$17*100</x:f>
        <x:v>113.76716808371485</x:v>
      </x:c>
      <x:c r="G90" s="983" t="n">
        <x:f>C90/$C$17*100</x:f>
        <x:v>80.41581614558294</x:v>
      </x:c>
      <x:c r="H90" s="986" t="n">
        <x:f>363</x:f>
        <x:v>363</x:v>
      </x:c>
    </x:row>
    <x:row r="91">
      <x:c r="A91" s="971" t="n">
        <x:f>'Raw Beta Prices'!A368</x:f>
        <x:v>44925</x:v>
      </x:c>
      <x:c r="B91" s="974" t="n">
        <x:f>'Raw Beta Prices'!E368</x:f>
        <x:v>34.34</x:v>
      </x:c>
      <x:c r="C91" s="977" t="n">
        <x:f>'Raw Beta Prices'!J368</x:f>
        <x:v>1007.09</x:v>
      </x:c>
      <x:c r="D91" s="980" t="n">
        <x:f>B91/B90-1</x:f>
        <x:v>-0.012934751365334729</x:v>
      </x:c>
      <x:c r="E91" s="980" t="n">
        <x:f>C91/C90-1</x:f>
        <x:v>-0.012985867455946098</x:v>
      </x:c>
      <x:c r="F91" s="983" t="n">
        <x:f>B91/$B$17*100</x:f>
        <x:v>112.29561805101376</x:v>
      </x:c>
      <x:c r="G91" s="983" t="n">
        <x:f>C91/$C$17*100</x:f>
        <x:v>79.37154701575467</x:v>
      </x:c>
      <x:c r="H91" s="986" t="n">
        <x:f>368</x:f>
        <x:v>368</x:v>
      </x:c>
    </x:row>
    <x:row r="92">
      <x:c r="A92" s="971" t="n">
        <x:f>'Raw Beta Prices'!A372</x:f>
        <x:v>44932</x:v>
      </x:c>
      <x:c r="B92" s="974" t="n">
        <x:f>'Raw Beta Prices'!E372</x:f>
        <x:v>35.25</x:v>
      </x:c>
      <x:c r="C92" s="977" t="n">
        <x:f>'Raw Beta Prices'!J372</x:f>
        <x:v>1051.44</x:v>
      </x:c>
      <x:c r="D92" s="980" t="n">
        <x:f>B92/B91-1</x:f>
        <x:v>0.02649970879440877</x:v>
      </x:c>
      <x:c r="E92" s="980" t="n">
        <x:f>C92/C91-1</x:f>
        <x:v>0.044037772195136604</x:v>
      </x:c>
      <x:c r="F92" s="983" t="n">
        <x:f>B92/$B$17*100</x:f>
        <x:v>115.27141922825376</x:v>
      </x:c>
      <x:c r="G92" s="983" t="n">
        <x:f>C92/$C$17*100</x:f>
        <x:v>82.86689312201005</x:v>
      </x:c>
      <x:c r="H92" s="986" t="n">
        <x:f>372</x:f>
        <x:v>372</x:v>
      </x:c>
    </x:row>
    <x:row r="93">
      <x:c r="A93" s="971" t="n">
        <x:f>'Raw Beta Prices'!A377</x:f>
        <x:v>44939</x:v>
      </x:c>
      <x:c r="B93" s="974" t="n">
        <x:f>'Raw Beta Prices'!E377</x:f>
        <x:v>36.12</x:v>
      </x:c>
      <x:c r="C93" s="977" t="n">
        <x:f>'Raw Beta Prices'!J377</x:f>
        <x:v>1060.17</x:v>
      </x:c>
      <x:c r="D93" s="980" t="n">
        <x:f>B93/B92-1</x:f>
        <x:v>0.024680851063829667</x:v>
      </x:c>
      <x:c r="E93" s="980" t="n">
        <x:f>C93/C92-1</x:f>
        <x:v>0.008302898881533904</x:v>
      </x:c>
      <x:c r="F93" s="983" t="n">
        <x:f>B93/$B$17*100</x:f>
        <x:v>118.11641595814257</x:v>
      </x:c>
      <x:c r="G93" s="983" t="n">
        <x:f>C93/$C$17*100</x:f>
        <x:v>83.55492855622899</x:v>
      </x:c>
      <x:c r="H93" s="986" t="n">
        <x:f>377</x:f>
        <x:v>377</x:v>
      </x:c>
    </x:row>
    <x:row r="94">
      <x:c r="A94" s="971" t="n">
        <x:f>'Raw Beta Prices'!A381</x:f>
        <x:v>44945</x:v>
      </x:c>
      <x:c r="B94" s="974" t="n">
        <x:f>'Raw Beta Prices'!E381</x:f>
        <x:v>38.65</x:v>
      </x:c>
      <x:c r="C94" s="977" t="n">
        <x:f>'Raw Beta Prices'!J381</x:f>
        <x:v>1108.08</x:v>
      </x:c>
      <x:c r="D94" s="980" t="n">
        <x:f>B94/B93-1</x:f>
        <x:v>0.0700442967884829</x:v>
      </x:c>
      <x:c r="E94" s="980" t="n">
        <x:f>C94/C93-1</x:f>
        <x:v>0.045190865615891695</x:v>
      </x:c>
      <x:c r="F94" s="983" t="n">
        <x:f>B94/$B$17*100</x:f>
        <x:v>126.38979725310662</x:v>
      </x:c>
      <x:c r="G94" s="983" t="n">
        <x:f>C94/$C$17*100</x:f>
        <x:v>87.33084810415896</x:v>
      </x:c>
      <x:c r="H94" s="986" t="n">
        <x:f>381</x:f>
        <x:v>381</x:v>
      </x:c>
    </x:row>
    <x:row r="95">
      <x:c r="A95" s="971" t="n">
        <x:f>'Raw Beta Prices'!A382</x:f>
        <x:v>44953</x:v>
      </x:c>
      <x:c r="B95" s="974" t="n">
        <x:f>'Raw Beta Prices'!E382</x:f>
        <x:v>39.26</x:v>
      </x:c>
      <x:c r="C95" s="977" t="n">
        <x:f>'Raw Beta Prices'!J382</x:f>
        <x:v>1117.1</x:v>
      </x:c>
      <x:c r="D95" s="980" t="n">
        <x:f>B95/B94-1</x:f>
        <x:v>0.01578266494178515</x:v>
      </x:c>
      <x:c r="E95" s="980" t="n">
        <x:f>C95/C94-1</x:f>
        <x:v>0.008140206483286283</x:v>
      </x:c>
      <x:c r="F95" s="983" t="n">
        <x:f>B95/$B$17*100</x:f>
        <x:v>128.38456507521258</x:v>
      </x:c>
      <x:c r="G95" s="983" t="n">
        <x:f>C95/$C$17*100</x:f>
        <x:v>88.04173924008732</x:v>
      </x:c>
      <x:c r="H95" s="986" t="n">
        <x:f>382</x:f>
        <x:v>382</x:v>
      </x:c>
    </x:row>
    <x:row r="96">
      <x:c r="A96" s="971" t="n">
        <x:f>'Raw Beta Prices'!A387</x:f>
        <x:v>44960</x:v>
      </x:c>
      <x:c r="B96" s="974" t="n">
        <x:f>'Raw Beta Prices'!E387</x:f>
        <x:v>41.3</x:v>
      </x:c>
      <x:c r="C96" s="977" t="n">
        <x:f>'Raw Beta Prices'!J387</x:f>
        <x:v>1077.15</x:v>
      </x:c>
      <x:c r="D96" s="980" t="n">
        <x:f>B96/B95-1</x:f>
        <x:v>0.05196128374936326</x:v>
      </x:c>
      <x:c r="E96" s="980" t="n">
        <x:f>C96/C95-1</x:f>
        <x:v>-0.03576224151821661</x:v>
      </x:c>
      <x:c r="F96" s="983" t="n">
        <x:f>B96/$B$17*100</x:f>
        <x:v>135.05559189012425</x:v>
      </x:c>
      <x:c r="G96" s="983" t="n">
        <x:f>C96/$C$17*100</x:f>
        <x:v>84.89316929769947</x:v>
      </x:c>
      <x:c r="H96" s="986" t="n">
        <x:f>387</x:f>
        <x:v>387</x:v>
      </x:c>
    </x:row>
    <x:row r="97">
      <x:c r="A97" s="971" t="n">
        <x:f>'Raw Beta Prices'!A392</x:f>
        <x:v>44967</x:v>
      </x:c>
      <x:c r="B97" s="974" t="n">
        <x:f>'Raw Beta Prices'!E392</x:f>
        <x:v>39.79</x:v>
      </x:c>
      <x:c r="C97" s="977" t="n">
        <x:f>'Raw Beta Prices'!J392</x:f>
        <x:v>1055.3</x:v>
      </x:c>
      <x:c r="D97" s="980" t="n">
        <x:f>B97/B96-1</x:f>
        <x:v>-0.036561743341404274</x:v>
      </x:c>
      <x:c r="E97" s="980" t="n">
        <x:f>C97/C96-1</x:f>
        <x:v>-0.020285011372603745</x:v>
      </x:c>
      <x:c r="F97" s="983" t="n">
        <x:f>B97/$B$17*100</x:f>
        <x:v>130.1177240026161</x:v>
      </x:c>
      <x:c r="G97" s="983" t="n">
        <x:f>C97/$C$17*100</x:f>
        <x:v>83.17111039303926</x:v>
      </x:c>
      <x:c r="H97" s="986" t="n">
        <x:f>392</x:f>
        <x:v>392</x:v>
      </x:c>
    </x:row>
    <x:row r="98">
      <x:c r="A98" s="971" t="n">
        <x:f>'Raw Beta Prices'!A397</x:f>
        <x:v>44974</x:v>
      </x:c>
      <x:c r="B98" s="974" t="n">
        <x:f>'Raw Beta Prices'!E397</x:f>
        <x:v>39.41</x:v>
      </x:c>
      <x:c r="C98" s="977" t="n">
        <x:f>'Raw Beta Prices'!J397</x:f>
        <x:v>1059.31</x:v>
      </x:c>
      <x:c r="D98" s="980" t="n">
        <x:f>B98/B97-1</x:f>
        <x:v>-0.009550138225684957</x:v>
      </x:c>
      <x:c r="E98" s="980" t="n">
        <x:f>C98/C97-1</x:f>
        <x:v>0.0037998673363024427</x:v>
      </x:c>
      <x:c r="F98" s="983" t="n">
        <x:f>B98/$B$17*100</x:f>
        <x:v>128.8750817527796</x:v>
      </x:c>
      <x:c r="G98" s="983" t="n">
        <x:f>C98/$C$17*100</x:f>
        <x:v>83.48714957874577</x:v>
      </x:c>
      <x:c r="H98" s="986" t="n">
        <x:f>397</x:f>
        <x:v>397</x:v>
      </x:c>
    </x:row>
    <x:row r="99">
      <x:c r="A99" s="971" t="n">
        <x:f>'Raw Beta Prices'!A402</x:f>
        <x:v>44981</x:v>
      </x:c>
      <x:c r="B99" s="974" t="n">
        <x:f>'Raw Beta Prices'!E402</x:f>
        <x:v>38.96</x:v>
      </x:c>
      <x:c r="C99" s="977" t="n">
        <x:f>'Raw Beta Prices'!J402</x:f>
        <x:v>1039.56</x:v>
      </x:c>
      <x:c r="D99" s="980" t="n">
        <x:f>B99/B98-1</x:f>
        <x:v>-0.011418421720375438</x:v>
      </x:c>
      <x:c r="E99" s="980" t="n">
        <x:f>C99/C98-1</x:f>
        <x:v>-0.018644211798246046</x:v>
      </x:c>
      <x:c r="F99" s="983" t="n">
        <x:f>B99/$B$17*100</x:f>
        <x:v>127.4035317200785</x:v>
      </x:c>
      <x:c r="G99" s="983" t="n">
        <x:f>C99/$C$17*100</x:f>
        <x:v>81.9305974795678</x:v>
      </x:c>
      <x:c r="H99" s="986" t="n">
        <x:f>402</x:f>
        <x:v>402</x:v>
      </x:c>
    </x:row>
    <x:row r="100">
      <x:c r="A100" s="971" t="n">
        <x:f>'Raw Beta Prices'!A407</x:f>
        <x:v>44988</x:v>
      </x:c>
      <x:c r="B100" s="974" t="n">
        <x:f>'Raw Beta Prices'!E407</x:f>
        <x:v>37.14</x:v>
      </x:c>
      <x:c r="C100" s="977" t="n">
        <x:f>'Raw Beta Prices'!J407</x:f>
        <x:v>1024.77</x:v>
      </x:c>
      <x:c r="D100" s="980" t="n">
        <x:f>B100/B99-1</x:f>
        <x:v>-0.04671457905544152</x:v>
      </x:c>
      <x:c r="E100" s="980" t="n">
        <x:f>C100/C99-1</x:f>
        <x:v>-0.01422717303474541</x:v>
      </x:c>
      <x:c r="F100" s="983" t="n">
        <x:f>B100/$B$17*100</x:f>
        <x:v>121.45192936559843</x:v>
      </x:c>
      <x:c r="G100" s="983" t="n">
        <x:f>C100/$C$17*100</x:f>
        <x:v>80.76495669238591</x:v>
      </x:c>
      <x:c r="H100" s="986" t="n">
        <x:f>407</x:f>
        <x:v>407</x:v>
      </x:c>
    </x:row>
    <x:row r="101">
      <x:c r="A101" s="971" t="n">
        <x:f>'Raw Beta Prices'!A412</x:f>
        <x:v>44995</x:v>
      </x:c>
      <x:c r="B101" s="974" t="n">
        <x:f>'Raw Beta Prices'!E412</x:f>
        <x:v>38.58</x:v>
      </x:c>
      <x:c r="C101" s="977" t="n">
        <x:f>'Raw Beta Prices'!J412</x:f>
        <x:v>1053</x:v>
      </x:c>
      <x:c r="D101" s="980" t="n">
        <x:f>B101/B100-1</x:f>
        <x:v>0.03877221324717284</x:v>
      </x:c>
      <x:c r="E101" s="980" t="n">
        <x:f>C101/C100-1</x:f>
        <x:v>0.02754764483737815</x:v>
      </x:c>
      <x:c r="F101" s="983" t="n">
        <x:f>B101/$B$17*100</x:f>
        <x:v>126.160889470242</x:v>
      </x:c>
      <x:c r="G101" s="983" t="n">
        <x:f>C101/$C$17*100</x:f>
        <x:v>82.98984103465398</x:v>
      </x:c>
      <x:c r="H101" s="986" t="n">
        <x:f>412</x:f>
        <x:v>412</x:v>
      </x:c>
    </x:row>
    <x:row r="102">
      <x:c r="A102" s="971" t="n">
        <x:f>'Raw Beta Prices'!A417</x:f>
        <x:v>45002</x:v>
      </x:c>
      <x:c r="B102" s="974" t="n">
        <x:f>'Raw Beta Prices'!E417</x:f>
        <x:v>37.22</x:v>
      </x:c>
      <x:c r="C102" s="977" t="n">
        <x:f>'Raw Beta Prices'!J417</x:f>
        <x:v>1045.14</x:v>
      </x:c>
      <x:c r="D102" s="980" t="n">
        <x:f>B102/B101-1</x:f>
        <x:v>-0.035251425609123865</x:v>
      </x:c>
      <x:c r="E102" s="980" t="n">
        <x:f>C102/C101-1</x:f>
        <x:v>-0.007464387464387379</x:v>
      </x:c>
      <x:c r="F102" s="983" t="n">
        <x:f>B102/$B$17*100</x:f>
        <x:v>121.71353826030085</x:v>
      </x:c>
      <x:c r="G102" s="983" t="n">
        <x:f>C102/$C$17*100</x:f>
        <x:v>82.37037270556341</x:v>
      </x:c>
      <x:c r="H102" s="986" t="n">
        <x:f>417</x:f>
        <x:v>417</x:v>
      </x:c>
    </x:row>
    <x:row r="103">
      <x:c r="A103" s="971" t="n">
        <x:f>'Raw Beta Prices'!A422</x:f>
        <x:v>45009</x:v>
      </x:c>
      <x:c r="B103" s="974" t="n">
        <x:f>'Raw Beta Prices'!E422</x:f>
        <x:v>37.67</x:v>
      </x:c>
      <x:c r="C103" s="977" t="n">
        <x:f>'Raw Beta Prices'!J422</x:f>
        <x:v>1046.79</x:v>
      </x:c>
      <x:c r="D103" s="980" t="n">
        <x:f>B103/B102-1</x:f>
        <x:v>0.01209027404621188</x:v>
      </x:c>
      <x:c r="E103" s="980" t="n">
        <x:f>C103/C102-1</x:f>
        <x:v>0.0015787358631378368</x:v>
      </x:c>
      <x:c r="F103" s="983" t="n">
        <x:f>B103/$B$17*100</x:f>
        <x:v>123.18508829300197</x:v>
      </x:c>
      <x:c r="G103" s="983" t="n">
        <x:f>C103/$C$17*100</x:f>
        <x:v>82.5004137670137</x:v>
      </x:c>
      <x:c r="H103" s="986" t="n">
        <x:f>422</x:f>
        <x:v>422</x:v>
      </x:c>
    </x:row>
    <x:row r="104">
      <x:c r="A104" s="971" t="n">
        <x:f>'Raw Beta Prices'!A427</x:f>
        <x:v>45016</x:v>
      </x:c>
      <x:c r="B104" s="974" t="n">
        <x:f>'Raw Beta Prices'!E427</x:f>
        <x:v>38.96</x:v>
      </x:c>
      <x:c r="C104" s="977" t="n">
        <x:f>'Raw Beta Prices'!J427</x:f>
        <x:v>1064.64</x:v>
      </x:c>
      <x:c r="D104" s="980" t="n">
        <x:f>B104/B103-1</x:f>
        <x:v>0.0342447571011415</x:v>
      </x:c>
      <x:c r="E104" s="980" t="n">
        <x:f>C104/C103-1</x:f>
        <x:v>0.01705213079987411</x:v>
      </x:c>
      <x:c r="F104" s="983" t="n">
        <x:f>B104/$B$17*100</x:f>
        <x:v>127.4035317200785</x:v>
      </x:c>
      <x:c r="G104" s="983" t="n">
        <x:f>C104/$C$17*100</x:f>
        <x:v>83.90722161361255</x:v>
      </x:c>
      <x:c r="H104" s="986" t="n">
        <x:f>427</x:f>
        <x:v>427</x:v>
      </x:c>
    </x:row>
    <x:row r="105">
      <x:c r="A105" s="971" t="n">
        <x:f>'Raw Beta Prices'!A432</x:f>
        <x:v>45023</x:v>
      </x:c>
      <x:c r="B105" s="974" t="n">
        <x:f>'Raw Beta Prices'!E432</x:f>
        <x:v>39.71</x:v>
      </x:c>
      <x:c r="C105" s="977" t="n">
        <x:f>'Raw Beta Prices'!J432</x:f>
        <x:v>1069.71</x:v>
      </x:c>
      <x:c r="D105" s="980" t="n">
        <x:f>B105/B104-1</x:f>
        <x:v>0.019250513347022657</x:v>
      </x:c>
      <x:c r="E105" s="980" t="n">
        <x:f>C105/C104-1</x:f>
        <x:v>0.004762173128944891</x:v>
      </x:c>
      <x:c r="F105" s="983" t="n">
        <x:f>B105/$B$17*100</x:f>
        <x:v>129.8561151079137</x:v>
      </x:c>
      <x:c r="G105" s="983" t="n">
        <x:f>C105/$C$17*100</x:f>
        <x:v>84.30680232970532</x:v>
      </x:c>
      <x:c r="H105" s="986" t="n">
        <x:f>432</x:f>
        <x:v>432</x:v>
      </x:c>
    </x:row>
    <x:row r="106">
      <x:c r="A106" s="971" t="n">
        <x:f>'Raw Beta Prices'!A437</x:f>
        <x:v>45030</x:v>
      </x:c>
      <x:c r="B106" s="974" t="n">
        <x:f>'Raw Beta Prices'!E437</x:f>
        <x:v>40.69</x:v>
      </x:c>
      <x:c r="C106" s="977" t="n">
        <x:f>'Raw Beta Prices'!J437</x:f>
        <x:v>1052.89</x:v>
      </x:c>
      <x:c r="D106" s="980" t="n">
        <x:f>B106/B105-1</x:f>
        <x:v>0.02467892218584722</x:v>
      </x:c>
      <x:c r="E106" s="980" t="n">
        <x:f>C106/C105-1</x:f>
        <x:v>-0.015723887782669976</x:v>
      </x:c>
      <x:c r="F106" s="983" t="n">
        <x:f>B106/$B$17*100</x:f>
        <x:v>133.06082406801832</x:v>
      </x:c>
      <x:c r="G106" s="983" t="n">
        <x:f>C106/$C$17*100</x:f>
        <x:v>82.9811716305573</x:v>
      </x:c>
      <x:c r="H106" s="986" t="n">
        <x:f>437</x:f>
        <x:v>437</x:v>
      </x:c>
    </x:row>
    <x:row r="107">
      <x:c r="A107" s="971" t="n">
        <x:f>'Raw Beta Prices'!A442</x:f>
        <x:v>45037</x:v>
      </x:c>
      <x:c r="B107" s="974" t="n">
        <x:f>'Raw Beta Prices'!E442</x:f>
        <x:v>40.01</x:v>
      </x:c>
      <x:c r="C107" s="977" t="n">
        <x:f>'Raw Beta Prices'!J442</x:f>
        <x:v>1042.91</x:v>
      </x:c>
      <x:c r="D107" s="980" t="n">
        <x:f>B107/B106-1</x:f>
        <x:v>-0.016711722782010274</x:v>
      </x:c>
      <x:c r="E107" s="980" t="n">
        <x:f>C107/C106-1</x:f>
        <x:v>-0.009478672985781977</x:v>
      </x:c>
      <x:c r="F107" s="983" t="n">
        <x:f>B107/$B$17*100</x:f>
        <x:v>130.83714846304775</x:v>
      </x:c>
      <x:c r="G107" s="983" t="n">
        <x:f>C107/$C$17*100</x:f>
        <x:v>82.19462024069419</x:v>
      </x:c>
      <x:c r="H107" s="986" t="n">
        <x:f>442</x:f>
        <x:v>442</x:v>
      </x:c>
    </x:row>
    <x:row r="108">
      <x:c r="A108" s="971" t="n">
        <x:f>'Raw Beta Prices'!A447</x:f>
        <x:v>45044</x:v>
      </x:c>
      <x:c r="B108" s="974" t="n">
        <x:f>'Raw Beta Prices'!E447</x:f>
        <x:v>39.79</x:v>
      </x:c>
      <x:c r="C108" s="977" t="n">
        <x:f>'Raw Beta Prices'!J447</x:f>
        <x:v>1049.12</x:v>
      </x:c>
      <x:c r="D108" s="980" t="n">
        <x:f>B108/B107-1</x:f>
        <x:v>-0.005498625343664076</x:v>
      </x:c>
      <x:c r="E108" s="980" t="n">
        <x:f>C108/C107-1</x:f>
        <x:v>0.005954492717492155</x:v>
      </x:c>
      <x:c r="F108" s="983" t="n">
        <x:f>B108/$B$17*100</x:f>
        <x:v>130.1177240026161</x:v>
      </x:c>
      <x:c r="G108" s="983" t="n">
        <x:f>C108/$C$17*100</x:f>
        <x:v>82.68404750833444</x:v>
      </x:c>
      <x:c r="H108" s="986" t="n">
        <x:f>447</x:f>
        <x:v>447</x:v>
      </x:c>
    </x:row>
    <x:row r="109">
      <x:c r="A109" s="971" t="n">
        <x:f>'Raw Beta Prices'!A449</x:f>
        <x:v>45051</x:v>
      </x:c>
      <x:c r="B109" s="974" t="n">
        <x:f>'Raw Beta Prices'!E449</x:f>
        <x:v>37.82</x:v>
      </x:c>
      <x:c r="C109" s="977" t="n">
        <x:f>'Raw Beta Prices'!J449</x:f>
        <x:v>1040.31</x:v>
      </x:c>
      <x:c r="D109" s="980" t="n">
        <x:f>B109/B108-1</x:f>
        <x:v>-0.049509927117366126</x:v>
      </x:c>
      <x:c r="E109" s="980" t="n">
        <x:f>C109/C108-1</x:f>
        <x:v>-0.008397514107061133</x:v>
      </x:c>
      <x:c r="F109" s="983" t="n">
        <x:f>B109/$B$17*100</x:f>
        <x:v>123.675604970569</x:v>
      </x:c>
      <x:c r="G109" s="983" t="n">
        <x:f>C109/$C$17*100</x:f>
        <x:v>81.9897070529543</x:v>
      </x:c>
      <x:c r="H109" s="986" t="n">
        <x:f>449</x:f>
        <x:v>449</x:v>
      </x:c>
    </x:row>
    <x:row r="110">
      <x:c r="A110" s="971" t="n">
        <x:f>'Raw Beta Prices'!A454</x:f>
        <x:v>45058</x:v>
      </x:c>
      <x:c r="B110" s="974" t="n">
        <x:f>'Raw Beta Prices'!E454</x:f>
        <x:v>37.14</x:v>
      </x:c>
      <x:c r="C110" s="977" t="n">
        <x:f>'Raw Beta Prices'!J454</x:f>
        <x:v>1066.9</x:v>
      </x:c>
      <x:c r="D110" s="980" t="n">
        <x:f>B110/B109-1</x:f>
        <x:v>-0.017979904812268632</x:v>
      </x:c>
      <x:c r="E110" s="980" t="n">
        <x:f>C110/C109-1</x:f>
        <x:v>0.02555968893887406</x:v>
      </x:c>
      <x:c r="F110" s="983" t="n">
        <x:f>B110/$B$17*100</x:f>
        <x:v>121.45192936559843</x:v>
      </x:c>
      <x:c r="G110" s="983" t="n">
        <x:f>C110/$C$17*100</x:f>
        <x:v>84.08533846141722</x:v>
      </x:c>
      <x:c r="H110" s="986" t="n">
        <x:f>454</x:f>
        <x:v>454</x:v>
      </x:c>
    </x:row>
    <x:row r="111">
      <x:c r="A111" s="971" t="n">
        <x:f>'Raw Beta Prices'!A459</x:f>
        <x:v>45065</x:v>
      </x:c>
      <x:c r="B111" s="974" t="n">
        <x:f>'Raw Beta Prices'!E459</x:f>
        <x:v>38.12</x:v>
      </x:c>
      <x:c r="C111" s="977" t="n">
        <x:f>'Raw Beta Prices'!J459</x:f>
        <x:v>1067.07</x:v>
      </x:c>
      <x:c r="D111" s="980" t="n">
        <x:f>B111/B110-1</x:f>
        <x:v>0.026386645126548203</x:v>
      </x:c>
      <x:c r="E111" s="980" t="n">
        <x:f>C111/C110-1</x:f>
        <x:v>0.0001593401443433784</x:v>
      </x:c>
      <x:c r="F111" s="983" t="n">
        <x:f>B111/$B$17*100</x:f>
        <x:v>124.65663832570306</x:v>
      </x:c>
      <x:c r="G111" s="983" t="n">
        <x:f>C111/$C$17*100</x:f>
        <x:v>84.09873663138482</x:v>
      </x:c>
      <x:c r="H111" s="986" t="n">
        <x:f>459</x:f>
        <x:v>459</x:v>
      </x:c>
    </x:row>
    <x:row r="112">
      <x:c r="A112" s="971" t="n">
        <x:f>'Raw Beta Prices'!A464</x:f>
        <x:v>45072</x:v>
      </x:c>
      <x:c r="B112" s="974" t="n">
        <x:f>'Raw Beta Prices'!E464</x:f>
        <x:v>37.52</x:v>
      </x:c>
      <x:c r="C112" s="977" t="n">
        <x:f>'Raw Beta Prices'!J464</x:f>
        <x:v>1063.76</x:v>
      </x:c>
      <x:c r="D112" s="980" t="n">
        <x:f>B112/B111-1</x:f>
        <x:v>-0.015739769150052263</x:v>
      </x:c>
      <x:c r="E112" s="980" t="n">
        <x:f>C112/C111-1</x:f>
        <x:v>-0.0031019520743718054</x:v>
      </x:c>
      <x:c r="F112" s="983" t="n">
        <x:f>B112/$B$17*100</x:f>
        <x:v>122.69457161543494</x:v>
      </x:c>
      <x:c r="G112" s="983" t="n">
        <x:f>C112/$C$17*100</x:f>
        <x:v>83.83786638083905</x:v>
      </x:c>
      <x:c r="H112" s="986" t="n">
        <x:f>464</x:f>
        <x:v>464</x:v>
      </x:c>
    </x:row>
    <x:row r="113">
      <x:c r="A113" s="971" t="n">
        <x:f>'Raw Beta Prices'!A469</x:f>
        <x:v>45079</x:v>
      </x:c>
      <x:c r="B113" s="974" t="n">
        <x:f>'Raw Beta Prices'!E469</x:f>
        <x:v>38.88</x:v>
      </x:c>
      <x:c r="C113" s="977" t="n">
        <x:f>'Raw Beta Prices'!J469</x:f>
        <x:v>1090.84</x:v>
      </x:c>
      <x:c r="D113" s="980" t="n">
        <x:f>B113/B112-1</x:f>
        <x:v>0.036247334754797356</x:v>
      </x:c>
      <x:c r="E113" s="980" t="n">
        <x:f>C113/C112-1</x:f>
        <x:v>0.025456869970670093</x:v>
      </x:c>
      <x:c r="F113" s="983" t="n">
        <x:f>B113/$B$17*100</x:f>
        <x:v>127.14192282537608</x:v>
      </x:c>
      <x:c r="G113" s="983" t="n">
        <x:f>C113/$C$17*100</x:f>
        <x:v>85.97211604391447</x:v>
      </x:c>
      <x:c r="H113" s="986" t="n">
        <x:f>469</x:f>
        <x:v>469</x:v>
      </x:c>
    </x:row>
    <x:row r="114">
      <x:c r="A114" s="971" t="n">
        <x:f>'Raw Beta Prices'!A474</x:f>
        <x:v>45086</x:v>
      </x:c>
      <x:c r="B114" s="974" t="n">
        <x:f>'Raw Beta Prices'!E474</x:f>
        <x:v>38.88</x:v>
      </x:c>
      <x:c r="C114" s="977" t="n">
        <x:f>'Raw Beta Prices'!J474</x:f>
        <x:v>1107.53</x:v>
      </x:c>
      <x:c r="D114" s="980" t="n">
        <x:f>B114/B113-1</x:f>
        <x:v>0</x:v>
      </x:c>
      <x:c r="E114" s="980" t="n">
        <x:f>C114/C113-1</x:f>
        <x:v>0.015300135675259563</x:v>
      </x:c>
      <x:c r="F114" s="983" t="n">
        <x:f>B114/$B$17*100</x:f>
        <x:v>127.14192282537608</x:v>
      </x:c>
      <x:c r="G114" s="983" t="n">
        <x:f>C114/$C$17*100</x:f>
        <x:v>87.28750108367551</x:v>
      </x:c>
      <x:c r="H114" s="986" t="n">
        <x:f>474</x:f>
        <x:v>474</x:v>
      </x:c>
    </x:row>
    <x:row r="115">
      <x:c r="A115" s="971" t="n">
        <x:f>'Raw Beta Prices'!A479</x:f>
        <x:v>45093</x:v>
      </x:c>
      <x:c r="B115" s="974" t="n">
        <x:f>'Raw Beta Prices'!E479</x:f>
        <x:v>38.27</x:v>
      </x:c>
      <x:c r="C115" s="977" t="n">
        <x:f>'Raw Beta Prices'!J479</x:f>
        <x:v>1115.22</x:v>
      </x:c>
      <x:c r="D115" s="980" t="n">
        <x:f>B115/B114-1</x:f>
        <x:v>-0.01568930041152261</x:v>
      </x:c>
      <x:c r="E115" s="980" t="n">
        <x:f>C115/C114-1</x:f>
        <x:v>0.006943378508934339</x:v>
      </x:c>
      <x:c r="F115" s="983" t="n">
        <x:f>B115/$B$17*100</x:f>
        <x:v>125.14715500327014</x:v>
      </x:c>
      <x:c r="G115" s="983" t="n">
        <x:f>C115/$C$17*100</x:f>
        <x:v>87.8935712427985</x:v>
      </x:c>
      <x:c r="H115" s="986" t="n">
        <x:f>479</x:f>
        <x:v>479</x:v>
      </x:c>
    </x:row>
    <x:row r="116">
      <x:c r="A116" s="971" t="n">
        <x:f>'Raw Beta Prices'!A484</x:f>
        <x:v>45100</x:v>
      </x:c>
      <x:c r="B116" s="974" t="n">
        <x:f>'Raw Beta Prices'!E484</x:f>
        <x:v>39.86</x:v>
      </x:c>
      <x:c r="C116" s="977" t="n">
        <x:f>'Raw Beta Prices'!J484</x:f>
        <x:v>1129.38</x:v>
      </x:c>
      <x:c r="D116" s="980" t="n">
        <x:f>B116/B115-1</x:f>
        <x:v>0.04154690357982749</x:v>
      </x:c>
      <x:c r="E116" s="980" t="n">
        <x:f>C116/C115-1</x:f>
        <x:v>0.012697046322698746</x:v>
      </x:c>
      <x:c r="F116" s="983" t="n">
        <x:f>B116/$B$17*100</x:f>
        <x:v>130.34663178548072</x:v>
      </x:c>
      <x:c r="G116" s="983" t="n">
        <x:f>C116/$C$17*100</x:f>
        <x:v>89.00955998833572</x:v>
      </x:c>
      <x:c r="H116" s="986" t="n">
        <x:f>484</x:f>
        <x:v>484</x:v>
      </x:c>
    </x:row>
    <x:row r="117">
      <x:c r="A117" s="971" t="n">
        <x:f>'Raw Beta Prices'!A489</x:f>
        <x:v>45107</x:v>
      </x:c>
      <x:c r="B117" s="974" t="n">
        <x:f>'Raw Beta Prices'!E489</x:f>
        <x:v>39.26</x:v>
      </x:c>
      <x:c r="C117" s="977" t="n">
        <x:f>'Raw Beta Prices'!J489</x:f>
        <x:v>1120.18</x:v>
      </x:c>
      <x:c r="D117" s="980" t="n">
        <x:f>B117/B116-1</x:f>
        <x:v>-0.015052684395383875</x:v>
      </x:c>
      <x:c r="E117" s="980" t="n">
        <x:f>C117/C116-1</x:f>
        <x:v>-0.00814606244133953</x:v>
      </x:c>
      <x:c r="F117" s="983" t="n">
        <x:f>B117/$B$17*100</x:f>
        <x:v>128.38456507521258</x:v>
      </x:c>
      <x:c r="G117" s="983" t="n">
        <x:f>C117/$C$17*100</x:f>
        <x:v>88.28448255479458</x:v>
      </x:c>
      <x:c r="H117" s="986" t="n">
        <x:f>489</x:f>
        <x:v>489</x:v>
      </x:c>
    </x:row>
    <x:row r="118">
      <x:c r="A118" s="971" t="n">
        <x:f>'Raw Beta Prices'!A494</x:f>
        <x:v>45114</x:v>
      </x:c>
      <x:c r="B118" s="974" t="n">
        <x:f>'Raw Beta Prices'!E494</x:f>
        <x:v>42.21</x:v>
      </x:c>
      <x:c r="C118" s="977" t="n">
        <x:f>'Raw Beta Prices'!J494</x:f>
        <x:v>1138.07</x:v>
      </x:c>
      <x:c r="D118" s="980" t="n">
        <x:f>B118/B117-1</x:f>
        <x:v>0.07514009169638314</x:v>
      </x:c>
      <x:c r="E118" s="980" t="n">
        <x:f>C118/C117-1</x:f>
        <x:v>0.015970647574496732</x:v>
      </x:c>
      <x:c r="F118" s="983" t="n">
        <x:f>B118/$B$17*100</x:f>
        <x:v>138.0313930673643</x:v>
      </x:c>
      <x:c r="G118" s="983" t="n">
        <x:f>C118/$C$17*100</x:f>
        <x:v>89.69444291197402</x:v>
      </x:c>
      <x:c r="H118" s="986" t="n">
        <x:f>494</x:f>
        <x:v>494</x:v>
      </x:c>
    </x:row>
    <x:row r="119">
      <x:c r="A119" s="971" t="n">
        <x:f>'Raw Beta Prices'!A499</x:f>
        <x:v>45121</x:v>
      </x:c>
      <x:c r="B119" s="974" t="n">
        <x:f>'Raw Beta Prices'!E499</x:f>
        <x:v>43.12</x:v>
      </x:c>
      <x:c r="C119" s="977" t="n">
        <x:f>'Raw Beta Prices'!J499</x:f>
        <x:v>1168.4</x:v>
      </x:c>
      <x:c r="D119" s="980" t="n">
        <x:f>B119/B118-1</x:f>
        <x:v>0.021558872305140975</x:v>
      </x:c>
      <x:c r="E119" s="980" t="n">
        <x:f>C119/C118-1</x:f>
        <x:v>0.0266503817867092</x:v>
      </x:c>
      <x:c r="F119" s="983" t="n">
        <x:f>B119/$B$17*100</x:f>
        <x:v>141.0071942446043</x:v>
      </x:c>
      <x:c r="G119" s="983" t="n">
        <x:f>C119/$C$17*100</x:f>
        <x:v>92.08483405972433</x:v>
      </x:c>
      <x:c r="H119" s="986" t="n">
        <x:f>499</x:f>
        <x:v>499</x:v>
      </x:c>
    </x:row>
    <x:row r="120">
      <x:c r="A120" s="971" t="n">
        <x:f>'Raw Beta Prices'!A504</x:f>
        <x:v>45128</x:v>
      </x:c>
      <x:c r="B120" s="974" t="n">
        <x:f>'Raw Beta Prices'!E504</x:f>
        <x:v>43.49</x:v>
      </x:c>
      <x:c r="C120" s="977" t="n">
        <x:f>'Raw Beta Prices'!J504</x:f>
        <x:v>1185.9</x:v>
      </x:c>
      <x:c r="D120" s="980" t="n">
        <x:f>B120/B119-1</x:f>
        <x:v>0.008580705009276546</x:v>
      </x:c>
      <x:c r="E120" s="980" t="n">
        <x:f>C120/C119-1</x:f>
        <x:v>0.01497774734679913</x:v>
      </x:c>
      <x:c r="F120" s="983" t="n">
        <x:f>B120/$B$17*100</x:f>
        <x:v>142.21713538260303</x:v>
      </x:c>
      <x:c r="G120" s="983" t="n">
        <x:f>C120/$C$17*100</x:f>
        <x:v>93.46405743874278</x:v>
      </x:c>
      <x:c r="H120" s="986" t="n">
        <x:f>504</x:f>
        <x:v>504</x:v>
      </x:c>
    </x:row>
    <x:row r="121">
      <x:c r="A121" s="971" t="n">
        <x:f>'Raw Beta Prices'!A509</x:f>
        <x:v>45135</x:v>
      </x:c>
      <x:c r="B121" s="974" t="n">
        <x:f>'Raw Beta Prices'!E509</x:f>
        <x:v>43.64</x:v>
      </x:c>
      <x:c r="C121" s="977" t="n">
        <x:f>'Raw Beta Prices'!J509</x:f>
        <x:v>1207.67</x:v>
      </x:c>
      <x:c r="D121" s="980" t="n">
        <x:f>B121/B120-1</x:f>
        <x:v>0.0034490687514370233</x:v>
      </x:c>
      <x:c r="E121" s="980" t="n">
        <x:f>C121/C120-1</x:f>
        <x:v>0.018357365713803864</x:v>
      </x:c>
      <x:c r="F121" s="983" t="n">
        <x:f>B121/$B$17*100</x:f>
        <x:v>142.70765206017006</x:v>
      </x:c>
      <x:c r="G121" s="983" t="n">
        <x:f>C121/$C$17*100</x:f>
        <x:v>95.17981132224176</x:v>
      </x:c>
      <x:c r="H121" s="986" t="n">
        <x:f>509</x:f>
        <x:v>509</x:v>
      </x:c>
    </x:row>
    <x:row r="122">
      <x:c r="A122" s="971" t="n">
        <x:f>'Raw Beta Prices'!A514</x:f>
        <x:v>45142</x:v>
      </x:c>
      <x:c r="B122" s="974" t="n">
        <x:f>'Raw Beta Prices'!E514</x:f>
        <x:v>43.87</x:v>
      </x:c>
      <x:c r="C122" s="977" t="n">
        <x:f>'Raw Beta Prices'!J514</x:f>
        <x:v>1225.98</x:v>
      </x:c>
      <x:c r="D122" s="980" t="n">
        <x:f>B122/B121-1</x:f>
        <x:v>0.005270394133822132</x:v>
      </x:c>
      <x:c r="E122" s="980" t="n">
        <x:f>C122/C121-1</x:f>
        <x:v>0.015161426548643275</x:v>
      </x:c>
      <x:c r="F122" s="983" t="n">
        <x:f>B122/$B$17*100</x:f>
        <x:v>143.4597776324395</x:v>
      </x:c>
      <x:c r="G122" s="983" t="n">
        <x:f>C122/$C$17*100</x:f>
        <x:v>96.62287304051766</x:v>
      </x:c>
      <x:c r="H122" s="986" t="n">
        <x:f>514</x:f>
        <x:v>514</x:v>
      </x:c>
    </x:row>
    <x:row r="123">
      <x:c r="A123" s="971" t="n">
        <x:f>'Raw Beta Prices'!A519</x:f>
        <x:v>45149</x:v>
      </x:c>
      <x:c r="B123" s="974" t="n">
        <x:f>'Raw Beta Prices'!E519</x:f>
        <x:v>41.75</x:v>
      </x:c>
      <x:c r="C123" s="977" t="n">
        <x:f>'Raw Beta Prices'!J519</x:f>
        <x:v>1232.21</x:v>
      </x:c>
      <x:c r="D123" s="980" t="n">
        <x:f>B123/B122-1</x:f>
        <x:v>-0.048324595395486614</x:v>
      </x:c>
      <x:c r="E123" s="980" t="n">
        <x:f>C123/C122-1</x:f>
        <x:v>0.005081648966541064</x:v>
      </x:c>
      <x:c r="F123" s="983" t="n">
        <x:f>B123/$B$17*100</x:f>
        <x:v>136.52714192282536</x:v>
      </x:c>
      <x:c r="G123" s="983" t="n">
        <x:f>C123/$C$17*100</x:f>
        <x:v>97.11387656344822</x:v>
      </x:c>
      <x:c r="H123" s="986" t="n">
        <x:f>519</x:f>
        <x:v>519</x:v>
      </x:c>
    </x:row>
    <x:row r="124">
      <x:c r="A124" s="971" t="n">
        <x:f>'Raw Beta Prices'!A524</x:f>
        <x:v>45156</x:v>
      </x:c>
      <x:c r="B124" s="974" t="n">
        <x:f>'Raw Beta Prices'!E524</x:f>
        <x:v>39.48</x:v>
      </x:c>
      <x:c r="C124" s="977" t="n">
        <x:f>'Raw Beta Prices'!J524</x:f>
        <x:v>1177.99</x:v>
      </x:c>
      <x:c r="D124" s="980" t="n">
        <x:f>B124/B123-1</x:f>
        <x:v>-0.05437125748503002</x:v>
      </x:c>
      <x:c r="E124" s="980" t="n">
        <x:f>C124/C123-1</x:f>
        <x:v>-0.04400223987794294</x:v>
      </x:c>
      <x:c r="F124" s="983" t="n">
        <x:f>B124/$B$17*100</x:f>
        <x:v>129.10398953564422</x:v>
      </x:c>
      <x:c r="G124" s="983" t="n">
        <x:f>C124/$C$17*100</x:f>
        <x:v>92.84064847142643</x:v>
      </x:c>
      <x:c r="H124" s="986" t="n">
        <x:f>524</x:f>
        <x:v>524</x:v>
      </x:c>
    </x:row>
    <x:row r="125">
      <x:c r="A125" s="971" t="n">
        <x:f>'Raw Beta Prices'!A529</x:f>
        <x:v>45163</x:v>
      </x:c>
      <x:c r="B125" s="974" t="n">
        <x:f>'Raw Beta Prices'!E529</x:f>
        <x:v>41.83</x:v>
      </x:c>
      <x:c r="C125" s="977" t="n">
        <x:f>'Raw Beta Prices'!J529</x:f>
        <x:v>1183.37</x:v>
      </x:c>
      <x:c r="D125" s="980" t="n">
        <x:f>B125/B124-1</x:f>
        <x:v>0.059523809523809534</x:v>
      </x:c>
      <x:c r="E125" s="980" t="n">
        <x:f>C125/C124-1</x:f>
        <x:v>0.00456710158829865</x:v>
      </x:c>
      <x:c r="F125" s="983" t="n">
        <x:f>B125/$B$17*100</x:f>
        <x:v>136.78875081752778</x:v>
      </x:c>
      <x:c r="G125" s="983" t="n">
        <x:f>C125/$C$17*100</x:f>
        <x:v>93.26466114451897</x:v>
      </x:c>
      <x:c r="H125" s="986" t="n">
        <x:f>529</x:f>
        <x:v>529</x:v>
      </x:c>
    </x:row>
    <x:row r="126">
      <x:c r="A126" s="971" t="n">
        <x:f>'Raw Beta Prices'!A533</x:f>
        <x:v>45169</x:v>
      </x:c>
      <x:c r="B126" s="974" t="n">
        <x:f>'Raw Beta Prices'!E533</x:f>
        <x:v>47.43</x:v>
      </x:c>
      <x:c r="C126" s="977" t="n">
        <x:f>'Raw Beta Prices'!J533</x:f>
        <x:v>1224.05</x:v>
      </x:c>
      <x:c r="D126" s="980" t="n">
        <x:f>B126/B125-1</x:f>
        <x:v>0.1338752091800144</x:v>
      </x:c>
      <x:c r="E126" s="980" t="n">
        <x:f>C126/C125-1</x:f>
        <x:v>0.034376399604519436</x:v>
      </x:c>
      <x:c r="F126" s="983" t="n">
        <x:f>B126/$B$17*100</x:f>
        <x:v>155.10137344669718</x:v>
      </x:c>
      <x:c r="G126" s="983" t="n">
        <x:f>C126/$C$17*100</x:f>
        <x:v>96.47076440500304</x:v>
      </x:c>
      <x:c r="H126" s="986" t="n">
        <x:f>533</x:f>
        <x:v>533</x:v>
      </x:c>
    </x:row>
    <x:row r="127">
      <x:c r="A127" s="971" t="n">
        <x:f>'Raw Beta Prices'!A537</x:f>
        <x:v>45177</x:v>
      </x:c>
      <x:c r="B127" s="974" t="n">
        <x:f>'Raw Beta Prices'!E537</x:f>
        <x:v>49.02</x:v>
      </x:c>
      <x:c r="C127" s="977" t="n">
        <x:f>'Raw Beta Prices'!J537</x:f>
        <x:v>1241.48</x:v>
      </x:c>
      <x:c r="D127" s="980" t="n">
        <x:f>B127/B126-1</x:f>
        <x:v>0.0335230866540166</x:v>
      </x:c>
      <x:c r="E127" s="980" t="n">
        <x:f>C127/C126-1</x:f>
        <x:v>0.014239614394836897</x:v>
      </x:c>
      <x:c r="F127" s="983" t="n">
        <x:f>B127/$B$17*100</x:f>
        <x:v>160.30085022890782</x:v>
      </x:c>
      <x:c r="G127" s="983" t="n">
        <x:f>C127/$C$17*100</x:f>
        <x:v>97.84447089050543</x:v>
      </x:c>
      <x:c r="H127" s="986" t="n">
        <x:f>537</x:f>
        <x:v>537</x:v>
      </x:c>
    </x:row>
    <x:row r="128">
      <x:c r="A128" s="971" t="n">
        <x:f>'Raw Beta Prices'!A542</x:f>
        <x:v>45184</x:v>
      </x:c>
      <x:c r="B128" s="974" t="n">
        <x:f>'Raw Beta Prices'!E542</x:f>
        <x:v>48.41</x:v>
      </x:c>
      <x:c r="C128" s="977" t="n">
        <x:f>'Raw Beta Prices'!J542</x:f>
        <x:v>1227.36</x:v>
      </x:c>
      <x:c r="D128" s="980" t="n">
        <x:f>B128/B127-1</x:f>
        <x:v>-0.012443900448796508</x:v>
      </x:c>
      <x:c r="E128" s="980" t="n">
        <x:f>C128/C127-1</x:f>
        <x:v>-0.011373521925443941</x:v>
      </x:c>
      <x:c r="F128" s="983" t="n">
        <x:f>B128/$B$17*100</x:f>
        <x:v>158.3060824068018</x:v>
      </x:c>
      <x:c r="G128" s="983" t="n">
        <x:f>C128/$C$17*100</x:f>
        <x:v>96.73163465554882</x:v>
      </x:c>
      <x:c r="H128" s="986" t="n">
        <x:f>542</x:f>
        <x:v>542</x:v>
      </x:c>
    </x:row>
    <x:row r="129">
      <x:c r="A129" s="971" t="n">
        <x:f>'Raw Beta Prices'!A547</x:f>
        <x:v>45191</x:v>
      </x:c>
      <x:c r="B129" s="974" t="n">
        <x:f>'Raw Beta Prices'!E547</x:f>
        <x:v>49.92</x:v>
      </x:c>
      <x:c r="C129" s="977" t="n">
        <x:f>'Raw Beta Prices'!J547</x:f>
        <x:v>1193.05</x:v>
      </x:c>
      <x:c r="D129" s="980" t="n">
        <x:f>B129/B128-1</x:f>
        <x:v>0.03119190249948378</x:v>
      </x:c>
      <x:c r="E129" s="980" t="n">
        <x:f>C129/C128-1</x:f>
        <x:v>-0.027954308434363195</x:v>
      </x:c>
      <x:c r="F129" s="983" t="n">
        <x:f>B129/$B$17*100</x:f>
        <x:v>163.24395029431003</x:v>
      </x:c>
      <x:c r="G129" s="983" t="n">
        <x:f>C129/$C$17*100</x:f>
        <x:v>94.02756870502746</x:v>
      </x:c>
      <x:c r="H129" s="986" t="n">
        <x:f>547</x:f>
        <x:v>547</x:v>
      </x:c>
    </x:row>
    <x:row r="130">
      <x:c r="A130" s="971" t="n">
        <x:f>'Raw Beta Prices'!A552</x:f>
        <x:v>45198</x:v>
      </x:c>
      <x:c r="B130" s="974" t="n">
        <x:f>'Raw Beta Prices'!E552</x:f>
        <x:v>51.72</x:v>
      </x:c>
      <x:c r="C130" s="977" t="n">
        <x:f>'Raw Beta Prices'!J552</x:f>
        <x:v>1154.15</x:v>
      </x:c>
      <x:c r="D130" s="980" t="n">
        <x:f>B130/B129-1</x:f>
        <x:v>0.03605769230769229</x:v>
      </x:c>
      <x:c r="E130" s="980" t="n">
        <x:f>C130/C129-1</x:f>
        <x:v>-0.032605506894094805</x:v>
      </x:c>
      <x:c r="F130" s="983" t="n">
        <x:f>B130/$B$17*100</x:f>
        <x:v>169.13015042511446</x:v>
      </x:c>
      <x:c r="G130" s="983" t="n">
        <x:f>C130/$C$17*100</x:f>
        <x:v>90.96175216538072</x:v>
      </x:c>
      <x:c r="H130" s="986" t="n">
        <x:f>552</x:f>
        <x:v>552</x:v>
      </x:c>
    </x:row>
    <x:row r="131">
      <x:c r="A131" s="971" t="n">
        <x:f>'Raw Beta Prices'!A557</x:f>
        <x:v>45205</x:v>
      </x:c>
      <x:c r="B131" s="974" t="n">
        <x:f>'Raw Beta Prices'!E557</x:f>
        <x:v>50.7</x:v>
      </x:c>
      <x:c r="C131" s="977" t="n">
        <x:f>'Raw Beta Prices'!J557</x:f>
        <x:v>1128.54</x:v>
      </x:c>
      <x:c r="D131" s="980" t="n">
        <x:f>B131/B130-1</x:f>
        <x:v>-0.019721577726218076</x:v>
      </x:c>
      <x:c r="E131" s="980" t="n">
        <x:f>C131/C130-1</x:f>
        <x:v>-0.02218949010094018</x:v>
      </x:c>
      <x:c r="F131" s="983" t="n">
        <x:f>B131/$B$17*100</x:f>
        <x:v>165.79463701765863</x:v>
      </x:c>
      <x:c r="G131" s="983" t="n">
        <x:f>C131/$C$17*100</x:f>
        <x:v>88.94335726614283</x:v>
      </x:c>
      <x:c r="H131" s="986" t="n">
        <x:f>557</x:f>
        <x:v>557</x:v>
      </x:c>
    </x:row>
    <x:row r="132">
      <x:c r="A132" s="971" t="n">
        <x:f>'Raw Beta Prices'!A562</x:f>
        <x:v>45212</x:v>
      </x:c>
      <x:c r="B132" s="974" t="n">
        <x:f>'Raw Beta Prices'!E562</x:f>
        <x:v>51.56</x:v>
      </x:c>
      <x:c r="C132" s="977" t="n">
        <x:f>'Raw Beta Prices'!J562</x:f>
        <x:v>1154.73</x:v>
      </x:c>
      <x:c r="D132" s="980" t="n">
        <x:f>B132/B131-1</x:f>
        <x:v>0.01696252465483239</x:v>
      </x:c>
      <x:c r="E132" s="980" t="n">
        <x:f>C132/C131-1</x:f>
        <x:v>0.02320697538412464</x:v>
      </x:c>
      <x:c r="F132" s="983" t="n">
        <x:f>B132/$B$17*100</x:f>
        <x:v>168.60693263570963</x:v>
      </x:c>
      <x:c r="G132" s="983" t="n">
        <x:f>C132/$C$17*100</x:f>
        <x:v>91.00746356879961</x:v>
      </x:c>
      <x:c r="H132" s="986" t="n">
        <x:f>562</x:f>
        <x:v>562</x:v>
      </x:c>
    </x:row>
    <x:row r="133">
      <x:c r="A133" s="971" t="n">
        <x:f>'Raw Beta Prices'!A567</x:f>
        <x:v>45219</x:v>
      </x:c>
      <x:c r="B133" s="974" t="n">
        <x:f>'Raw Beta Prices'!E567</x:f>
        <x:v>49.92</x:v>
      </x:c>
      <x:c r="C133" s="977" t="n">
        <x:f>'Raw Beta Prices'!J567</x:f>
        <x:v>1108.03</x:v>
      </x:c>
      <x:c r="D133" s="980" t="n">
        <x:f>B133/B132-1</x:f>
        <x:v>-0.031807602792862655</x:v>
      </x:c>
      <x:c r="E133" s="980" t="n">
        <x:f>C133/C132-1</x:f>
        <x:v>-0.04044235448979416</x:v>
      </x:c>
      <x:c r="F133" s="983" t="n">
        <x:f>B133/$B$17*100</x:f>
        <x:v>163.24395029431003</x:v>
      </x:c>
      <x:c r="G133" s="983" t="n">
        <x:f>C133/$C$17*100</x:f>
        <x:v>87.32690746593319</x:v>
      </x:c>
      <x:c r="H133" s="986" t="n">
        <x:f>567</x:f>
        <x:v>567</x:v>
      </x:c>
    </x:row>
    <x:row r="134">
      <x:c r="A134" s="971" t="n">
        <x:f>'Raw Beta Prices'!A572</x:f>
        <x:v>45226</x:v>
      </x:c>
      <x:c r="B134" s="974" t="n">
        <x:f>'Raw Beta Prices'!E572</x:f>
        <x:v>48.75</x:v>
      </x:c>
      <x:c r="C134" s="977" t="n">
        <x:f>'Raw Beta Prices'!J572</x:f>
        <x:v>1060.62</x:v>
      </x:c>
      <x:c r="D134" s="980" t="n">
        <x:f>B134/B133-1</x:f>
        <x:v>-0.0234375</x:v>
      </x:c>
      <x:c r="E134" s="980" t="n">
        <x:f>C134/C133-1</x:f>
        <x:v>-0.042787650153876755</x:v>
      </x:c>
      <x:c r="F134" s="983" t="n">
        <x:f>B134/$B$17*100</x:f>
        <x:v>159.41792020928713</x:v>
      </x:c>
      <x:c r="G134" s="983" t="n">
        <x:f>C134/$C$17*100</x:f>
        <x:v>83.59039430026087</x:v>
      </x:c>
      <x:c r="H134" s="986" t="n">
        <x:f>572</x:f>
        <x:v>572</x:v>
      </x:c>
    </x:row>
    <x:row r="135">
      <x:c r="A135" s="971" t="n">
        <x:f>'Raw Beta Prices'!A577</x:f>
        <x:v>45233</x:v>
      </x:c>
      <x:c r="B135" s="974" t="n">
        <x:f>'Raw Beta Prices'!E577</x:f>
        <x:v>50.7</x:v>
      </x:c>
      <x:c r="C135" s="977" t="n">
        <x:f>'Raw Beta Prices'!J577</x:f>
        <x:v>1076.78</x:v>
      </x:c>
      <x:c r="D135" s="980" t="n">
        <x:f>B135/B134-1</x:f>
        <x:v>0.040000000000000036</x:v>
      </x:c>
      <x:c r="E135" s="980" t="n">
        <x:f>C135/C134-1</x:f>
        <x:v>0.015236371179121688</x:v>
      </x:c>
      <x:c r="F135" s="983" t="n">
        <x:f>B135/$B$17*100</x:f>
        <x:v>165.79463701765863</x:v>
      </x:c>
      <x:c r="G135" s="983" t="n">
        <x:f>C135/$C$17*100</x:f>
        <x:v>84.86400857482879</x:v>
      </x:c>
      <x:c r="H135" s="986" t="n">
        <x:f>577</x:f>
        <x:v>577</x:v>
      </x:c>
    </x:row>
    <x:row r="136">
      <x:c r="A136" s="971" t="n">
        <x:f>'Raw Beta Prices'!A582</x:f>
        <x:v>45240</x:v>
      </x:c>
      <x:c r="B136" s="974" t="n">
        <x:f>'Raw Beta Prices'!E582</x:f>
        <x:v>53.75</x:v>
      </x:c>
      <x:c r="C136" s="977" t="n">
        <x:f>'Raw Beta Prices'!J582</x:f>
        <x:v>1101.68</x:v>
      </x:c>
      <x:c r="D136" s="980" t="n">
        <x:f>B136/B135-1</x:f>
        <x:v>0.06015779092702167</x:v>
      </x:c>
      <x:c r="E136" s="980" t="n">
        <x:f>C136/C135-1</x:f>
        <x:v>0.023124500826538386</x:v>
      </x:c>
      <x:c r="F136" s="983" t="n">
        <x:f>B136/$B$17*100</x:f>
        <x:v>175.76847612818838</x:v>
      </x:c>
      <x:c r="G136" s="983" t="n">
        <x:f>C136/$C$17*100</x:f>
        <x:v>86.82644641126078</x:v>
      </x:c>
      <x:c r="H136" s="986" t="n">
        <x:f>582</x:f>
        <x:v>582</x:v>
      </x:c>
    </x:row>
    <x:row r="137">
      <x:c r="A137" s="971" t="n">
        <x:f>'Raw Beta Prices'!A587</x:f>
        <x:v>45247</x:v>
      </x:c>
      <x:c r="B137" s="974" t="n">
        <x:f>'Raw Beta Prices'!E587</x:f>
        <x:v>54.6</x:v>
      </x:c>
      <x:c r="C137" s="977" t="n">
        <x:f>'Raw Beta Prices'!J587</x:f>
        <x:v>1101.19</x:v>
      </x:c>
      <x:c r="D137" s="980" t="n">
        <x:f>B137/B136-1</x:f>
        <x:v>0.015813953488372112</x:v>
      </x:c>
      <x:c r="E137" s="980" t="n">
        <x:f>C137/C136-1</x:f>
        <x:v>-0.000444775252341878</x:v>
      </x:c>
      <x:c r="F137" s="983" t="n">
        <x:f>B137/$B$17*100</x:f>
        <x:v>178.5480706344016</x:v>
      </x:c>
      <x:c r="G137" s="983" t="n">
        <x:f>C137/$C$17*100</x:f>
        <x:v>86.78782815664826</x:v>
      </x:c>
      <x:c r="H137" s="986" t="n">
        <x:f>587</x:f>
        <x:v>587</x:v>
      </x:c>
    </x:row>
    <x:row r="138">
      <x:c r="A138" s="971" t="n">
        <x:f>'Raw Beta Prices'!A592</x:f>
        <x:v>45254</x:v>
      </x:c>
      <x:c r="B138" s="974" t="n">
        <x:f>'Raw Beta Prices'!E592</x:f>
        <x:v>53.75</x:v>
      </x:c>
      <x:c r="C138" s="977" t="n">
        <x:f>'Raw Beta Prices'!J592</x:f>
        <x:v>1095.61</x:v>
      </x:c>
      <x:c r="D138" s="980" t="n">
        <x:f>B138/B137-1</x:f>
        <x:v>-0.015567765567765623</x:v>
      </x:c>
      <x:c r="E138" s="980" t="n">
        <x:f>C138/C137-1</x:f>
        <x:v>-0.0050672454344846685</x:v>
      </x:c>
      <x:c r="F138" s="983" t="n">
        <x:f>B138/$B$17*100</x:f>
        <x:v>175.76847612818838</x:v>
      </x:c>
      <x:c r="G138" s="983" t="n">
        <x:f>C138/$C$17*100</x:f>
        <x:v>86.34805293065264</x:v>
      </x:c>
      <x:c r="H138" s="986" t="n">
        <x:f>592</x:f>
        <x:v>592</x:v>
      </x:c>
    </x:row>
    <x:row r="139">
      <x:c r="A139" s="971" t="n">
        <x:f>'Raw Beta Prices'!A597</x:f>
        <x:v>45261</x:v>
      </x:c>
      <x:c r="B139" s="974" t="n">
        <x:f>'Raw Beta Prices'!E597</x:f>
        <x:v>54.76</x:v>
      </x:c>
      <x:c r="C139" s="977" t="n">
        <x:f>'Raw Beta Prices'!J597</x:f>
        <x:v>1102.16</x:v>
      </x:c>
      <x:c r="D139" s="980" t="n">
        <x:f>B139/B138-1</x:f>
        <x:v>0.018790697674418544</x:v>
      </x:c>
      <x:c r="E139" s="980" t="n">
        <x:f>C139/C138-1</x:f>
        <x:v>0.005978404724308994</x:v>
      </x:c>
      <x:c r="F139" s="983" t="n">
        <x:f>B139/$B$17*100</x:f>
        <x:v>179.0712884238064</x:v>
      </x:c>
      <x:c r="G139" s="983" t="n">
        <x:f>C139/$C$17*100</x:f>
        <x:v>86.86427653822815</x:v>
      </x:c>
      <x:c r="H139" s="986" t="n">
        <x:f>597</x:f>
        <x:v>597</x:v>
      </x:c>
    </x:row>
    <x:row r="140">
      <x:c r="A140" s="971" t="n">
        <x:f>'Raw Beta Prices'!A602</x:f>
        <x:v>45268</x:v>
      </x:c>
      <x:c r="B140" s="974" t="n">
        <x:f>'Raw Beta Prices'!E602</x:f>
        <x:v>54.92</x:v>
      </x:c>
      <x:c r="C140" s="977" t="n">
        <x:f>'Raw Beta Prices'!J602</x:f>
        <x:v>1124.44</x:v>
      </x:c>
      <x:c r="D140" s="980" t="n">
        <x:f>B140/B139-1</x:f>
        <x:v>0.0029218407596787177</x:v>
      </x:c>
      <x:c r="E140" s="980" t="n">
        <x:f>C140/C139-1</x:f>
        <x:v>0.020214850838353726</x:v>
      </x:c>
      <x:c r="F140" s="983" t="n">
        <x:f>B140/$B$17*100</x:f>
        <x:v>179.59450621321128</x:v>
      </x:c>
      <x:c r="G140" s="983" t="n">
        <x:f>C140/$C$17*100</x:f>
        <x:v>88.62022493162993</x:v>
      </x:c>
      <x:c r="H140" s="986" t="n">
        <x:f>602</x:f>
        <x:v>602</x:v>
      </x:c>
    </x:row>
    <x:row r="141">
      <x:c r="A141" s="971" t="n">
        <x:f>'Raw Beta Prices'!A607</x:f>
        <x:v>45275</x:v>
      </x:c>
      <x:c r="B141" s="974" t="n">
        <x:f>'Raw Beta Prices'!E607</x:f>
        <x:v>53.04</x:v>
      </x:c>
      <x:c r="C141" s="977" t="n">
        <x:f>'Raw Beta Prices'!J607</x:f>
        <x:v>1102.3</x:v>
      </x:c>
      <x:c r="D141" s="980" t="n">
        <x:f>B141/B140-1</x:f>
        <x:v>-0.03423160961398397</x:v>
      </x:c>
      <x:c r="E141" s="980" t="n">
        <x:f>C141/C140-1</x:f>
        <x:v>-0.01968980114545915</x:v>
      </x:c>
      <x:c r="F141" s="983" t="n">
        <x:f>B141/$B$17*100</x:f>
        <x:v>173.4466971877044</x:v>
      </x:c>
      <x:c r="G141" s="983" t="n">
        <x:f>C141/$C$17*100</x:f>
        <x:v>86.87531032526027</x:v>
      </x:c>
      <x:c r="H141" s="986" t="n">
        <x:f>607</x:f>
        <x:v>607</x:v>
      </x:c>
    </x:row>
    <x:row r="142">
      <x:c r="A142" s="971" t="n">
        <x:f>'Raw Beta Prices'!A612</x:f>
        <x:v>45282</x:v>
      </x:c>
      <x:c r="B142" s="974" t="n">
        <x:f>'Raw Beta Prices'!E612</x:f>
        <x:v>53.28</x:v>
      </x:c>
      <x:c r="C142" s="977" t="n">
        <x:f>'Raw Beta Prices'!J612</x:f>
        <x:v>1103.06</x:v>
      </x:c>
      <x:c r="D142" s="980" t="n">
        <x:f>B142/B141-1</x:f>
        <x:v>0.004524886877828038</x:v>
      </x:c>
      <x:c r="E142" s="980" t="n">
        <x:f>C142/C141-1</x:f>
        <x:v>0.0006894674770934195</x:v>
      </x:c>
      <x:c r="F142" s="983" t="n">
        <x:f>B142/$B$17*100</x:f>
        <x:v>174.23152387181165</x:v>
      </x:c>
      <x:c r="G142" s="983" t="n">
        <x:f>C142/$C$17*100</x:f>
        <x:v>86.93520802629195</x:v>
      </x:c>
      <x:c r="H142" s="986" t="n">
        <x:f>612</x:f>
        <x:v>612</x:v>
      </x:c>
    </x:row>
    <x:row r="143">
      <x:c r="A143" s="971" t="n">
        <x:f>'Raw Beta Prices'!A617</x:f>
        <x:v>45289</x:v>
      </x:c>
      <x:c r="B143" s="974" t="n">
        <x:f>'Raw Beta Prices'!E617</x:f>
        <x:v>54.99</x:v>
      </x:c>
      <x:c r="C143" s="977" t="n">
        <x:f>'Raw Beta Prices'!J617</x:f>
        <x:v>1129.93</x:v>
      </x:c>
      <x:c r="D143" s="980" t="n">
        <x:f>B143/B142-1</x:f>
        <x:v>0.03209459459459452</x:v>
      </x:c>
      <x:c r="E143" s="980" t="n">
        <x:f>C143/C142-1</x:f>
        <x:v>0.024359509002230162</x:v>
      </x:c>
      <x:c r="F143" s="983" t="n">
        <x:f>B143/$B$17*100</x:f>
        <x:v>179.82341399607589</x:v>
      </x:c>
      <x:c r="G143" s="983" t="n">
        <x:f>C143/$C$17*100</x:f>
        <x:v>89.05290700881916</x:v>
      </x:c>
      <x:c r="H143" s="986" t="n">
        <x:f>617</x:f>
        <x:v>617</x:v>
      </x:c>
    </x:row>
    <x:row r="144">
      <x:c r="A144" s="971" t="n">
        <x:f>'Raw Beta Prices'!A621</x:f>
        <x:v>45296</x:v>
      </x:c>
      <x:c r="B144" s="974" t="n">
        <x:f>'Raw Beta Prices'!E621</x:f>
        <x:v>55.46</x:v>
      </x:c>
      <x:c r="C144" s="977" t="n">
        <x:f>'Raw Beta Prices'!J621</x:f>
        <x:v>1154.68</x:v>
      </x:c>
      <x:c r="D144" s="980" t="n">
        <x:f>B144/B143-1</x:f>
        <x:v>0.008547008547008517</x:v>
      </x:c>
      <x:c r="E144" s="980" t="n">
        <x:f>C144/C143-1</x:f>
        <x:v>0.021904011752940544</x:v>
      </x:c>
      <x:c r="F144" s="983" t="n">
        <x:f>B144/$B$17*100</x:f>
        <x:v>181.3603662524526</x:v>
      </x:c>
      <x:c r="G144" s="983" t="n">
        <x:f>C144/$C$17*100</x:f>
        <x:v>91.00352293057384</x:v>
      </x:c>
      <x:c r="H144" s="986" t="n">
        <x:f>621</x:f>
        <x:v>621</x:v>
      </x:c>
    </x:row>
    <x:row r="145">
      <x:c r="A145" s="971" t="n">
        <x:f>'Raw Beta Prices'!A626</x:f>
        <x:v>45303</x:v>
      </x:c>
      <x:c r="B145" s="974" t="n">
        <x:f>'Raw Beta Prices'!E626</x:f>
        <x:v>54.84</x:v>
      </x:c>
      <x:c r="C145" s="977" t="n">
        <x:f>'Raw Beta Prices'!J626</x:f>
        <x:v>1154.7</x:v>
      </x:c>
      <x:c r="D145" s="980" t="n">
        <x:f>B145/B144-1</x:f>
        <x:v>-0.01117922827262885</x:v>
      </x:c>
      <x:c r="E145" s="980" t="n">
        <x:f>C145/C144-1</x:f>
        <x:v>0.00001732081615690717</x:v>
      </x:c>
      <x:c r="F145" s="983" t="n">
        <x:f>B145/$B$17*100</x:f>
        <x:v>179.33289731850886</x:v>
      </x:c>
      <x:c r="G145" s="983" t="n">
        <x:f>C145/$C$17*100</x:f>
        <x:v>91.00509918586414</x:v>
      </x:c>
      <x:c r="H145" s="986" t="n">
        <x:f>626</x:f>
        <x:v>626</x:v>
      </x:c>
    </x:row>
    <x:row r="146">
      <x:c r="A146" s="971" t="n">
        <x:f>'Raw Beta Prices'!A631</x:f>
        <x:v>45310</x:v>
      </x:c>
      <x:c r="B146" s="974" t="n">
        <x:f>'Raw Beta Prices'!E631</x:f>
        <x:v>54.06</x:v>
      </x:c>
      <x:c r="C146" s="977" t="n">
        <x:f>'Raw Beta Prices'!J631</x:f>
        <x:v>1181.5</x:v>
      </x:c>
      <x:c r="D146" s="980" t="n">
        <x:f>B146/B145-1</x:f>
        <x:v>-0.01422319474835887</x:v>
      </x:c>
      <x:c r="E146" s="980" t="n">
        <x:f>C146/C145-1</x:f>
        <x:v>0.02320949164285091</x:v>
      </x:c>
      <x:c r="F146" s="983" t="n">
        <x:f>B146/$B$17*100</x:f>
        <x:v>176.78221059516025</x:v>
      </x:c>
      <x:c r="G146" s="983" t="n">
        <x:f>C146/$C$17*100</x:f>
        <x:v>93.11728127487528</x:v>
      </x:c>
      <x:c r="H146" s="986" t="n">
        <x:f>631</x:f>
        <x:v>631</x:v>
      </x:c>
    </x:row>
    <x:row r="147">
      <x:c r="A147" s="971" t="n">
        <x:f>'Raw Beta Prices'!A636</x:f>
        <x:v>45317</x:v>
      </x:c>
      <x:c r="B147" s="974" t="n">
        <x:f>'Raw Beta Prices'!E636</x:f>
        <x:v>54.68</x:v>
      </x:c>
      <x:c r="C147" s="977" t="n">
        <x:f>'Raw Beta Prices'!J636</x:f>
        <x:v>1175.67</x:v>
      </x:c>
      <x:c r="D147" s="980" t="n">
        <x:f>B147/B146-1</x:f>
        <x:v>0.01146873843877172</x:v>
      </x:c>
      <x:c r="E147" s="980" t="n">
        <x:f>C147/C146-1</x:f>
        <x:v>-0.00493440541684298</x:v>
      </x:c>
      <x:c r="F147" s="983" t="n">
        <x:f>B147/$B$17*100</x:f>
        <x:v>178.80967952910402</x:v>
      </x:c>
      <x:c r="G147" s="983" t="n">
        <x:f>C147/$C$17*100</x:f>
        <x:v>92.65780285775085</x:v>
      </x:c>
      <x:c r="H147" s="986" t="n">
        <x:f>636</x:f>
        <x:v>636</x:v>
      </x:c>
    </x:row>
    <x:row r="148">
      <x:c r="A148" s="971" t="n">
        <x:f>'Raw Beta Prices'!A641</x:f>
        <x:v>45324</x:v>
      </x:c>
      <x:c r="B148" s="974" t="n">
        <x:f>'Raw Beta Prices'!E641</x:f>
        <x:v>53.67</x:v>
      </x:c>
      <x:c r="C148" s="977" t="n">
        <x:f>'Raw Beta Prices'!J641</x:f>
        <x:v>1172.55</x:v>
      </x:c>
      <x:c r="D148" s="980" t="n">
        <x:f>B148/B147-1</x:f>
        <x:v>-0.018471104608631994</x:v>
      </x:c>
      <x:c r="E148" s="980" t="n">
        <x:f>C148/C147-1</x:f>
        <x:v>-0.0026538059149252557</x:v>
      </x:c>
      <x:c r="F148" s="983" t="n">
        <x:f>B148/$B$17*100</x:f>
        <x:v>175.50686723348596</x:v>
      </x:c>
      <x:c r="G148" s="983" t="n">
        <x:f>C148/$C$17*100</x:f>
        <x:v>92.41190703246298</x:v>
      </x:c>
      <x:c r="H148" s="986" t="n">
        <x:f>641</x:f>
        <x:v>641</x:v>
      </x:c>
    </x:row>
    <x:row r="149">
      <x:c r="A149" s="971" t="n">
        <x:f>'Raw Beta Prices'!A644</x:f>
        <x:v>45329</x:v>
      </x:c>
      <x:c r="B149" s="974" t="n">
        <x:f>'Raw Beta Prices'!E644</x:f>
        <x:v>54.21</x:v>
      </x:c>
      <x:c r="C149" s="977" t="n">
        <x:f>'Raw Beta Prices'!J644</x:f>
        <x:v>1198.53</x:v>
      </x:c>
      <x:c r="D149" s="980" t="n">
        <x:f>B149/B148-1</x:f>
        <x:v>0.010061486864169966</x:v>
      </x:c>
      <x:c r="E149" s="980" t="n">
        <x:f>C149/C148-1</x:f>
        <x:v>0.02215683766150689</x:v>
      </x:c>
      <x:c r="F149" s="983" t="n">
        <x:f>B149/$B$17*100</x:f>
        <x:v>177.27272727272728</x:v>
      </x:c>
      <x:c r="G149" s="983" t="n">
        <x:f>C149/$C$17*100</x:f>
        <x:v>94.45946265457154</x:v>
      </x:c>
      <x:c r="H149" s="986" t="n">
        <x:f>644</x:f>
        <x:v>644</x:v>
      </x:c>
    </x:row>
    <x:row r="150">
      <x:c r="A150" s="971" t="n">
        <x:f>'Raw Beta Prices'!A646</x:f>
        <x:v>45338</x:v>
      </x:c>
      <x:c r="B150" s="974" t="n">
        <x:f>'Raw Beta Prices'!E646</x:f>
        <x:v>54.45</x:v>
      </x:c>
      <x:c r="C150" s="977" t="n">
        <x:f>'Raw Beta Prices'!J646</x:f>
        <x:v>1209.7</x:v>
      </x:c>
      <x:c r="D150" s="980" t="n">
        <x:f>B150/B149-1</x:f>
        <x:v>0.004427227448810189</x:v>
      </x:c>
      <x:c r="E150" s="980" t="n">
        <x:f>C150/C149-1</x:f>
        <x:v>0.009319750027116713</x:v>
      </x:c>
      <x:c r="F150" s="983" t="n">
        <x:f>B150/$B$17*100</x:f>
        <x:v>178.05755395683457</x:v>
      </x:c>
      <x:c r="G150" s="983" t="n">
        <x:f>C150/$C$17*100</x:f>
        <x:v>95.3398012342079</x:v>
      </x:c>
      <x:c r="H150" s="986" t="n">
        <x:f>646</x:f>
        <x:v>646</x:v>
      </x:c>
    </x:row>
    <x:row r="151">
      <x:c r="A151" s="971" t="n">
        <x:f>'Raw Beta Prices'!A651</x:f>
        <x:v>45345</x:v>
      </x:c>
      <x:c r="B151" s="974" t="n">
        <x:f>'Raw Beta Prices'!E651</x:f>
        <x:v>54.45</x:v>
      </x:c>
      <x:c r="C151" s="977" t="n">
        <x:f>'Raw Beta Prices'!J651</x:f>
        <x:v>1212</x:v>
      </x:c>
      <x:c r="D151" s="980" t="n">
        <x:f>B151/B150-1</x:f>
        <x:v>0</x:v>
      </x:c>
      <x:c r="E151" s="980" t="n">
        <x:f>C151/C150-1</x:f>
        <x:v>0.0019012978424401972</x:v>
      </x:c>
      <x:c r="F151" s="983" t="n">
        <x:f>B151/$B$17*100</x:f>
        <x:v>178.05755395683457</x:v>
      </x:c>
      <x:c r="G151" s="983" t="n">
        <x:f>C151/$C$17*100</x:f>
        <x:v>95.52107059259318</x:v>
      </x:c>
      <x:c r="H151" s="986" t="n">
        <x:f>651</x:f>
        <x:v>651</x:v>
      </x:c>
    </x:row>
    <x:row r="152">
      <x:c r="A152" s="971" t="n">
        <x:f>'Raw Beta Prices'!A656</x:f>
        <x:v>45352</x:v>
      </x:c>
      <x:c r="B152" s="974" t="n">
        <x:f>'Raw Beta Prices'!E656</x:f>
        <x:v>62.79</x:v>
      </x:c>
      <x:c r="C152" s="977" t="n">
        <x:f>'Raw Beta Prices'!J656</x:f>
        <x:v>1258.28</x:v>
      </x:c>
      <x:c r="D152" s="980" t="n">
        <x:f>B152/B151-1</x:f>
        <x:v>0.1531680440771348</x:v>
      </x:c>
      <x:c r="E152" s="980" t="n">
        <x:f>C152/C151-1</x:f>
        <x:v>0.03818481848184807</x:v>
      </x:c>
      <x:c r="F152" s="983" t="n">
        <x:f>B152/$B$17*100</x:f>
        <x:v>205.33028122956182</x:v>
      </x:c>
      <x:c r="G152" s="983" t="n">
        <x:f>C152/$C$17*100</x:f>
        <x:v>99.16852533436315</x:v>
      </x:c>
      <x:c r="H152" s="986" t="n">
        <x:f>656</x:f>
        <x:v>656</x:v>
      </x:c>
    </x:row>
    <x:row r="153">
      <x:c r="A153" s="971" t="n">
        <x:f>'Raw Beta Prices'!A661</x:f>
        <x:v>45359</x:v>
      </x:c>
      <x:c r="B153" s="974" t="n">
        <x:f>'Raw Beta Prices'!E661</x:f>
        <x:v>61.08</x:v>
      </x:c>
      <x:c r="C153" s="977" t="n">
        <x:f>'Raw Beta Prices'!J661</x:f>
        <x:v>1247.35</x:v>
      </x:c>
      <x:c r="D153" s="980" t="n">
        <x:f>B153/B152-1</x:f>
        <x:v>-0.02723363592928807</x:v>
      </x:c>
      <x:c r="E153" s="980" t="n">
        <x:f>C153/C152-1</x:f>
        <x:v>-0.008686460883110314</x:v>
      </x:c>
      <x:c r="F153" s="983" t="n">
        <x:f>B153/$B$17*100</x:f>
        <x:v>199.73839110529758</x:v>
      </x:c>
      <x:c r="G153" s="983" t="n">
        <x:f>C153/$C$17*100</x:f>
        <x:v>98.30710181821047</x:v>
      </x:c>
      <x:c r="H153" s="986" t="n">
        <x:f>661</x:f>
        <x:v>661</x:v>
      </x:c>
    </x:row>
    <x:row r="154">
      <x:c r="A154" s="971" t="n">
        <x:f>'Raw Beta Prices'!A666</x:f>
        <x:v>45366</x:v>
      </x:c>
      <x:c r="B154" s="974" t="n">
        <x:f>'Raw Beta Prices'!E666</x:f>
        <x:v>62.4</x:v>
      </x:c>
      <x:c r="C154" s="977" t="n">
        <x:f>'Raw Beta Prices'!J666</x:f>
        <x:v>1263.78</x:v>
      </x:c>
      <x:c r="D154" s="980" t="n">
        <x:f>B154/B153-1</x:f>
        <x:v>0.0216110019646365</x:v>
      </x:c>
      <x:c r="E154" s="980" t="n">
        <x:f>C154/C153-1</x:f>
        <x:v>0.013171924479897346</x:v>
      </x:c>
      <x:c r="F154" s="983" t="n">
        <x:f>B154/$B$17*100</x:f>
        <x:v>204.05493786788753</x:v>
      </x:c>
      <x:c r="G154" s="983" t="n">
        <x:f>C154/$C$17*100</x:f>
        <x:v>99.60199553919753</x:v>
      </x:c>
      <x:c r="H154" s="986" t="n">
        <x:f>666</x:f>
        <x:v>666</x:v>
      </x:c>
    </x:row>
    <x:row r="155">
      <x:c r="A155" s="971" t="n">
        <x:f>'Raw Beta Prices'!A671</x:f>
        <x:v>45373</x:v>
      </x:c>
      <x:c r="B155" s="974" t="n">
        <x:f>'Raw Beta Prices'!E671</x:f>
        <x:v>61.31</x:v>
      </x:c>
      <x:c r="C155" s="977" t="n">
        <x:f>'Raw Beta Prices'!J671</x:f>
        <x:v>1281.8</x:v>
      </x:c>
      <x:c r="D155" s="980" t="n">
        <x:f>B155/B154-1</x:f>
        <x:v>-0.017467948717948656</x:v>
      </x:c>
      <x:c r="E155" s="980" t="n">
        <x:f>C155/C154-1</x:f>
        <x:v>0.014258810868980287</x:v>
      </x:c>
      <x:c r="F155" s="983" t="n">
        <x:f>B155/$B$17*100</x:f>
        <x:v>200.49051667756706</x:v>
      </x:c>
      <x:c r="G155" s="983" t="n">
        <x:f>C155/$C$17*100</x:f>
        <x:v>101.02220155576398</x:v>
      </x:c>
      <x:c r="H155" s="986" t="n">
        <x:f>671</x:f>
        <x:v>671</x:v>
      </x:c>
    </x:row>
    <x:row r="156">
      <x:c r="A156" s="971" t="n">
        <x:f>'Raw Beta Prices'!A676</x:f>
        <x:v>45380</x:v>
      </x:c>
      <x:c r="B156" s="974" t="n">
        <x:f>'Raw Beta Prices'!E676</x:f>
        <x:v>62.17</x:v>
      </x:c>
      <x:c r="C156" s="977" t="n">
        <x:f>'Raw Beta Prices'!J676</x:f>
        <x:v>1284.09</x:v>
      </x:c>
      <x:c r="D156" s="980" t="n">
        <x:f>B156/B155-1</x:f>
        <x:v>0.014027075517859977</x:v>
      </x:c>
      <x:c r="E156" s="980" t="n">
        <x:f>C156/C155-1</x:f>
        <x:v>0.0017865501638321124</x:v>
      </x:c>
      <x:c r="F156" s="983" t="n">
        <x:f>B156/$B$17*100</x:f>
        <x:v>203.30281229561805</x:v>
      </x:c>
      <x:c r="G156" s="983" t="n">
        <x:f>C156/$C$17*100</x:f>
        <x:v>101.20268278650411</x:v>
      </x:c>
      <x:c r="H156" s="986" t="n">
        <x:f>676</x:f>
        <x:v>676</x:v>
      </x:c>
    </x:row>
    <x:row r="157">
      <x:c r="A157" s="971" t="n">
        <x:f>'Raw Beta Prices'!A681</x:f>
        <x:v>45387</x:v>
      </x:c>
      <x:c r="B157" s="974" t="n">
        <x:f>'Raw Beta Prices'!E681</x:f>
        <x:v>60.84</x:v>
      </x:c>
      <x:c r="C157" s="977" t="n">
        <x:f>'Raw Beta Prices'!J681</x:f>
        <x:v>1255.11</x:v>
      </x:c>
      <x:c r="D157" s="980" t="n">
        <x:f>B157/B156-1</x:f>
        <x:v>-0.02139295480135106</x:v>
      </x:c>
      <x:c r="E157" s="980" t="n">
        <x:f>C157/C156-1</x:f>
        <x:v>-0.022568511552928494</x:v>
      </x:c>
      <x:c r="F157" s="983" t="n">
        <x:f>B157/$B$17*100</x:f>
        <x:v>198.95356442119035</x:v>
      </x:c>
      <x:c r="G157" s="983" t="n">
        <x:f>C157/$C$17*100</x:f>
        <x:v>98.91868887084952</x:v>
      </x:c>
      <x:c r="H157" s="986" t="n">
        <x:f>681</x:f>
        <x:v>681</x:v>
      </x:c>
    </x:row>
    <x:row r="158">
      <x:c r="A158" s="971" t="n">
        <x:f>'Raw Beta Prices'!A686</x:f>
        <x:v>45394</x:v>
      </x:c>
      <x:c r="B158" s="974" t="n">
        <x:f>'Raw Beta Prices'!E686</x:f>
        <x:v>63.73</x:v>
      </x:c>
      <x:c r="C158" s="977" t="n">
        <x:f>'Raw Beta Prices'!J686</x:f>
        <x:v>1276.6</x:v>
      </x:c>
      <x:c r="D158" s="980" t="n">
        <x:f>B158/B157-1</x:f>
        <x:v>0.04750164365548959</x:v>
      </x:c>
      <x:c r="E158" s="980" t="n">
        <x:f>C158/C157-1</x:f>
        <x:v>0.01712200524256846</x:v>
      </x:c>
      <x:c r="F158" s="983" t="n">
        <x:f>B158/$B$17*100</x:f>
        <x:v>208.40418574231526</x:v>
      </x:c>
      <x:c r="G158" s="983" t="n">
        <x:f>C158/$C$17*100</x:f>
        <x:v>100.6123751802842</x:v>
      </x:c>
      <x:c r="H158" s="986" t="n">
        <x:f>686</x:f>
        <x:v>686</x:v>
      </x:c>
    </x:row>
    <x:row r="159">
      <x:c r="A159" s="971" t="n">
        <x:f>'Raw Beta Prices'!A690</x:f>
        <x:v>45401</x:v>
      </x:c>
      <x:c r="B159" s="974" t="n">
        <x:f>'Raw Beta Prices'!E690</x:f>
        <x:v>62.4</x:v>
      </x:c>
      <x:c r="C159" s="977" t="n">
        <x:f>'Raw Beta Prices'!J690</x:f>
        <x:v>1174.85</x:v>
      </x:c>
      <x:c r="D159" s="980" t="n">
        <x:f>B159/B158-1</x:f>
        <x:v>-0.02086929232700452</x:v>
      </x:c>
      <x:c r="E159" s="980" t="n">
        <x:f>C159/C158-1</x:f>
        <x:v>-0.07970390098699676</x:v>
      </x:c>
      <x:c r="F159" s="983" t="n">
        <x:f>B159/$B$17*100</x:f>
        <x:v>204.05493786788753</x:v>
      </x:c>
      <x:c r="G159" s="983" t="n">
        <x:f>C159/$C$17*100</x:f>
        <x:v>92.59317639084827</x:v>
      </x:c>
      <x:c r="H159" s="986" t="n">
        <x:f>690</x:f>
        <x:v>690</x:v>
      </x:c>
    </x:row>
    <x:row r="160">
      <x:c r="A160" s="971" t="n">
        <x:f>'Raw Beta Prices'!A695</x:f>
        <x:v>45408</x:v>
      </x:c>
      <x:c r="B160" s="974" t="n">
        <x:f>'Raw Beta Prices'!E695</x:f>
        <x:v>65.68</x:v>
      </x:c>
      <x:c r="C160" s="977" t="n">
        <x:f>'Raw Beta Prices'!J695</x:f>
        <x:v>1209.52</x:v>
      </x:c>
      <x:c r="D160" s="980" t="n">
        <x:f>B160/B159-1</x:f>
        <x:v>0.0525641025641026</x:v>
      </x:c>
      <x:c r="E160" s="980" t="n">
        <x:f>C160/C159-1</x:f>
        <x:v>0.029510150231944587</x:v>
      </x:c>
      <x:c r="F160" s="983" t="n">
        <x:f>B160/$B$17*100</x:f>
        <x:v>214.78090255068673</x:v>
      </x:c>
      <x:c r="G160" s="983" t="n">
        <x:f>C160/$C$17*100</x:f>
        <x:v>95.32561493659514</x:v>
      </x:c>
      <x:c r="H160" s="986" t="n">
        <x:f>695</x:f>
        <x:v>695</x:v>
      </x:c>
    </x:row>
    <x:row r="161">
      <x:c r="A161" s="971" t="n">
        <x:f>'Raw Beta Prices'!A697</x:f>
        <x:v>45415</x:v>
      </x:c>
      <x:c r="B161" s="974" t="n">
        <x:f>'Raw Beta Prices'!E697</x:f>
        <x:v>66.69</x:v>
      </x:c>
      <x:c r="C161" s="977" t="n">
        <x:f>'Raw Beta Prices'!J697</x:f>
        <x:v>1221.03</x:v>
      </x:c>
      <x:c r="D161" s="980" t="n">
        <x:f>B161/B160-1</x:f>
        <x:v>0.015377588306942691</x:v>
      </x:c>
      <x:c r="E161" s="980" t="n">
        <x:f>C161/C160-1</x:f>
        <x:v>0.009516171704477827</x:v>
      </x:c>
      <x:c r="F161" s="983" t="n">
        <x:f>B161/$B$17*100</x:f>
        <x:v>218.0837148463048</x:v>
      </x:c>
      <x:c r="G161" s="983" t="n">
        <x:f>C161/$C$17*100</x:f>
        <x:v>96.2327498561667</x:v>
      </x:c>
      <x:c r="H161" s="986" t="n">
        <x:f>697</x:f>
        <x:v>697</x:v>
      </x:c>
    </x:row>
    <x:row r="162">
      <x:c r="A162" s="971" t="n">
        <x:f>'Raw Beta Prices'!A702</x:f>
        <x:v>45422</x:v>
      </x:c>
      <x:c r="B162" s="974" t="n">
        <x:f>'Raw Beta Prices'!E702</x:f>
        <x:v>65.21</x:v>
      </x:c>
      <x:c r="C162" s="977" t="n">
        <x:f>'Raw Beta Prices'!J702</x:f>
        <x:v>1244.7</x:v>
      </x:c>
      <x:c r="D162" s="980" t="n">
        <x:f>B162/B161-1</x:f>
        <x:v>-0.022192232718548532</x:v>
      </x:c>
      <x:c r="E162" s="980" t="n">
        <x:f>C162/C161-1</x:f>
        <x:v>0.01938527308911331</x:v>
      </x:c>
      <x:c r="F162" s="983" t="n">
        <x:f>B162/$B$17*100</x:f>
        <x:v>213.24395029430997</x:v>
      </x:c>
      <x:c r="G162" s="983" t="n">
        <x:f>C162/$C$17*100</x:f>
        <x:v>98.09824799224484</x:v>
      </x:c>
      <x:c r="H162" s="986" t="n">
        <x:f>702</x:f>
        <x:v>702</x:v>
      </x:c>
    </x:row>
    <x:row r="163">
      <x:c r="A163" s="971" t="n">
        <x:f>'Raw Beta Prices'!A707</x:f>
        <x:v>45429</x:v>
      </x:c>
      <x:c r="B163" s="974" t="n">
        <x:f>'Raw Beta Prices'!E707</x:f>
        <x:v>66.15</x:v>
      </x:c>
      <x:c r="C163" s="977" t="n">
        <x:f>'Raw Beta Prices'!J707</x:f>
        <x:v>1273.11</x:v>
      </x:c>
      <x:c r="D163" s="980" t="n">
        <x:f>B163/B162-1</x:f>
        <x:v>0.01441496702959677</x:v>
      </x:c>
      <x:c r="E163" s="980" t="n">
        <x:f>C163/C162-1</x:f>
        <x:v>0.022824777054711864</x:v>
      </x:c>
      <x:c r="F163" s="983" t="n">
        <x:f>B163/$B$17*100</x:f>
        <x:v>216.3178548070635</x:v>
      </x:c>
      <x:c r="G163" s="983" t="n">
        <x:f>C163/$C$17*100</x:f>
        <x:v>100.33731863212564</x:v>
      </x:c>
      <x:c r="H163" s="986" t="n">
        <x:f>707</x:f>
        <x:v>707</x:v>
      </x:c>
    </x:row>
    <x:row r="164">
      <x:c r="A164" s="971" t="n">
        <x:f>'Raw Beta Prices'!A712</x:f>
        <x:v>45436</x:v>
      </x:c>
      <x:c r="B164" s="974" t="n">
        <x:f>'Raw Beta Prices'!E712</x:f>
        <x:v>65.13</x:v>
      </x:c>
      <x:c r="C164" s="977" t="n">
        <x:f>'Raw Beta Prices'!J712</x:f>
        <x:v>1261.93</x:v>
      </x:c>
      <x:c r="D164" s="980" t="n">
        <x:f>B164/B163-1</x:f>
        <x:v>-0.015419501133786984</x:v>
      </x:c>
      <x:c r="E164" s="980" t="n">
        <x:f>C164/C163-1</x:f>
        <x:v>-0.008781644948197553</x:v>
      </x:c>
      <x:c r="F164" s="983" t="n">
        <x:f>B164/$B$17*100</x:f>
        <x:v>212.98234139960758</x:v>
      </x:c>
      <x:c r="G164" s="983" t="n">
        <x:f>C164/$C$17*100</x:f>
        <x:v>99.45619192484416</x:v>
      </x:c>
      <x:c r="H164" s="986" t="n">
        <x:f>712</x:f>
        <x:v>712</x:v>
      </x:c>
    </x:row>
    <x:row r="165">
      <x:c r="A165" s="971" t="n">
        <x:f>'Raw Beta Prices'!A717</x:f>
        <x:v>45443</x:v>
      </x:c>
      <x:c r="B165" s="974" t="n">
        <x:f>'Raw Beta Prices'!E717</x:f>
        <x:v>65.37</x:v>
      </x:c>
      <x:c r="C165" s="977" t="n">
        <x:f>'Raw Beta Prices'!J717</x:f>
        <x:v>1261.72</x:v>
      </x:c>
      <x:c r="D165" s="980" t="n">
        <x:f>B165/B164-1</x:f>
        <x:v>0.0036849378166745606</x:v>
      </x:c>
      <x:c r="E165" s="980" t="n">
        <x:f>C165/C164-1</x:f>
        <x:v>-0.00016641176610432407</x:v>
      </x:c>
      <x:c r="F165" s="983" t="n">
        <x:f>B165/$B$17*100</x:f>
        <x:v>213.76716808371486</x:v>
      </x:c>
      <x:c r="G165" s="983" t="n">
        <x:f>C165/$C$17*100</x:f>
        <x:v>99.43964124429593</x:v>
      </x:c>
      <x:c r="H165" s="986" t="n">
        <x:f>717</x:f>
        <x:v>717</x:v>
      </x:c>
    </x:row>
    <x:row r="166">
      <x:c r="A166" s="971" t="n">
        <x:f>'Raw Beta Prices'!A722</x:f>
        <x:v>45450</x:v>
      </x:c>
      <x:c r="B166" s="974" t="n">
        <x:f>'Raw Beta Prices'!E722</x:f>
        <x:v>65.06</x:v>
      </x:c>
      <x:c r="C166" s="977" t="n">
        <x:f>'Raw Beta Prices'!J722</x:f>
        <x:v>1287.58</x:v>
      </x:c>
      <x:c r="D166" s="980" t="n">
        <x:f>B166/B165-1</x:f>
        <x:v>-0.004742236499923558</x:v>
      </x:c>
      <x:c r="E166" s="980" t="n">
        <x:f>C166/C165-1</x:f>
        <x:v>0.02049583108772146</x:v>
      </x:c>
      <x:c r="F166" s="983" t="n">
        <x:f>B166/$B$17*100</x:f>
        <x:v>212.75343361674297</x:v>
      </x:c>
      <x:c r="G166" s="983" t="n">
        <x:f>C166/$C$17*100</x:f>
        <x:v>101.47773933466264</x:v>
      </x:c>
      <x:c r="H166" s="986" t="n">
        <x:f>722</x:f>
        <x:v>722</x:v>
      </x:c>
    </x:row>
    <x:row r="167">
      <x:c r="A167" s="971" t="n">
        <x:f>'Raw Beta Prices'!A727</x:f>
        <x:v>45457</x:v>
      </x:c>
      <x:c r="B167" s="974" t="n">
        <x:f>'Raw Beta Prices'!E727</x:f>
        <x:v>64.74</x:v>
      </x:c>
      <x:c r="C167" s="977" t="n">
        <x:f>'Raw Beta Prices'!J727</x:f>
        <x:v>1279.91</x:v>
      </x:c>
      <x:c r="D167" s="980" t="n">
        <x:f>B167/B166-1</x:f>
        <x:v>-0.004918536735321388</x:v>
      </x:c>
      <x:c r="E167" s="980" t="n">
        <x:f>C167/C166-1</x:f>
        <x:v>-0.005956911415212929</x:v>
      </x:c>
      <x:c r="F167" s="983" t="n">
        <x:f>B167/$B$17*100</x:f>
        <x:v>211.70699803793326</x:v>
      </x:c>
      <x:c r="G167" s="983" t="n">
        <x:f>C167/$C$17*100</x:f>
        <x:v>100.87324543082998</x:v>
      </x:c>
      <x:c r="H167" s="986" t="n">
        <x:f>727</x:f>
        <x:v>727</x:v>
      </x:c>
    </x:row>
    <x:row r="168">
      <x:c r="A168" s="971" t="n">
        <x:f>'Raw Beta Prices'!A732</x:f>
        <x:v>45464</x:v>
      </x:c>
      <x:c r="B168" s="974" t="n">
        <x:f>'Raw Beta Prices'!E732</x:f>
        <x:v>65.06</x:v>
      </x:c>
      <x:c r="C168" s="977" t="n">
        <x:f>'Raw Beta Prices'!J732</x:f>
        <x:v>1282.02</x:v>
      </x:c>
      <x:c r="D168" s="980" t="n">
        <x:f>B168/B167-1</x:f>
        <x:v>0.004942848316342507</x:v>
      </x:c>
      <x:c r="E168" s="980" t="n">
        <x:f>C168/C167-1</x:f>
        <x:v>0.0016485534139119018</x:v>
      </x:c>
      <x:c r="F168" s="983" t="n">
        <x:f>B168/$B$17*100</x:f>
        <x:v>212.75343361674297</x:v>
      </x:c>
      <x:c r="G168" s="983" t="n">
        <x:f>C168/$C$17*100</x:f>
        <x:v>101.03954036395734</x:v>
      </x:c>
      <x:c r="H168" s="986" t="n">
        <x:f>732</x:f>
        <x:v>732</x:v>
      </x:c>
    </x:row>
    <x:row r="169">
      <x:c r="A169" s="971" t="n">
        <x:f>'Raw Beta Prices'!A737</x:f>
        <x:v>45471</x:v>
      </x:c>
      <x:c r="B169" s="974" t="n">
        <x:f>'Raw Beta Prices'!E737</x:f>
        <x:v>64.74</x:v>
      </x:c>
      <x:c r="C169" s="977" t="n">
        <x:f>'Raw Beta Prices'!J737</x:f>
        <x:v>1245.32</x:v>
      </x:c>
      <x:c r="D169" s="980" t="n">
        <x:f>B169/B168-1</x:f>
        <x:v>-0.004918536735321388</x:v>
      </x:c>
      <x:c r="E169" s="980" t="n">
        <x:f>C169/C168-1</x:f>
        <x:v>-0.02862669849144328</x:v>
      </x:c>
      <x:c r="F169" s="983" t="n">
        <x:f>B169/$B$17*100</x:f>
        <x:v>211.70699803793326</x:v>
      </x:c>
      <x:c r="G169" s="983" t="n">
        <x:f>C169/$C$17*100</x:f>
        <x:v>98.14711190624433</x:v>
      </x:c>
      <x:c r="H169" s="986" t="n">
        <x:f>737</x:f>
        <x:v>737</x:v>
      </x:c>
    </x:row>
    <x:row r="170">
      <x:c r="A170" s="971" t="n">
        <x:f>'Raw Beta Prices'!A742</x:f>
        <x:v>45478</x:v>
      </x:c>
      <x:c r="B170" s="974" t="n">
        <x:f>'Raw Beta Prices'!E742</x:f>
        <x:v>65.21</x:v>
      </x:c>
      <x:c r="C170" s="977" t="n">
        <x:f>'Raw Beta Prices'!J742</x:f>
        <x:v>1283.04</x:v>
      </x:c>
      <x:c r="D170" s="980" t="n">
        <x:f>B170/B169-1</x:f>
        <x:v>0.007259808464627815</x:v>
      </x:c>
      <x:c r="E170" s="980" t="n">
        <x:f>C170/C169-1</x:f>
        <x:v>0.030289403526804426</x:v>
      </x:c>
      <x:c r="F170" s="983" t="n">
        <x:f>B170/$B$17*100</x:f>
        <x:v>213.24395029430997</x:v>
      </x:c>
      <x:c r="G170" s="983" t="n">
        <x:f>C170/$C$17*100</x:f>
        <x:v>101.119929383763</x:v>
      </x:c>
      <x:c r="H170" s="986" t="n">
        <x:f>742</x:f>
        <x:v>742</x:v>
      </x:c>
    </x:row>
    <x:row r="171">
      <x:c r="A171" s="971" t="n">
        <x:f>'Raw Beta Prices'!A747</x:f>
        <x:v>45485</x:v>
      </x:c>
      <x:c r="B171" s="974" t="n">
        <x:f>'Raw Beta Prices'!E747</x:f>
        <x:v>65.52</x:v>
      </x:c>
      <x:c r="C171" s="977" t="n">
        <x:f>'Raw Beta Prices'!J747</x:f>
        <x:v>1280.75</x:v>
      </x:c>
      <x:c r="D171" s="980" t="n">
        <x:f>B171/B170-1</x:f>
        <x:v>0.0047538721055053745</x:v>
      </x:c>
      <x:c r="E171" s="980" t="n">
        <x:f>C171/C170-1</x:f>
        <x:v>-0.0017848235440828253</x:v>
      </x:c>
      <x:c r="F171" s="983" t="n">
        <x:f>B171/$B$17*100</x:f>
        <x:v>214.25768476128187</x:v>
      </x:c>
      <x:c r="G171" s="983" t="n">
        <x:f>C171/$C$17*100</x:f>
        <x:v>100.93944815302287</x:v>
      </x:c>
      <x:c r="H171" s="986" t="n">
        <x:f>747</x:f>
        <x:v>747</x:v>
      </x:c>
    </x:row>
    <x:row r="172">
      <x:c r="A172" s="971" t="n">
        <x:f>'Raw Beta Prices'!A752</x:f>
        <x:v>45492</x:v>
      </x:c>
      <x:c r="B172" s="974" t="n">
        <x:f>'Raw Beta Prices'!E752</x:f>
        <x:v>63.12</x:v>
      </x:c>
      <x:c r="C172" s="977" t="n">
        <x:f>'Raw Beta Prices'!J752</x:f>
        <x:v>1264.78</x:v>
      </x:c>
      <x:c r="D172" s="980" t="n">
        <x:f>B172/B171-1</x:f>
        <x:v>-0.03663003663003661</x:v>
      </x:c>
      <x:c r="E172" s="980" t="n">
        <x:f>C172/C171-1</x:f>
        <x:v>-0.012469256295139619</x:v>
      </x:c>
      <x:c r="F172" s="983" t="n">
        <x:f>B172/$B$17*100</x:f>
        <x:v>206.4094179202093</x:v>
      </x:c>
      <x:c r="G172" s="983" t="n">
        <x:f>C172/$C$17*100</x:f>
        <x:v>99.68080830371288</x:v>
      </x:c>
      <x:c r="H172" s="986" t="n">
        <x:f>752</x:f>
        <x:v>752</x:v>
      </x:c>
    </x:row>
    <x:row r="173">
      <x:c r="A173" s="971" t="n">
        <x:f>'Raw Beta Prices'!A757</x:f>
        <x:v>45499</x:v>
      </x:c>
      <x:c r="B173" s="974" t="n">
        <x:f>'Raw Beta Prices'!E757</x:f>
        <x:v>63.28</x:v>
      </x:c>
      <x:c r="C173" s="977" t="n">
        <x:f>'Raw Beta Prices'!J757</x:f>
        <x:v>1242.11</x:v>
      </x:c>
      <x:c r="D173" s="980" t="n">
        <x:f>B173/B172-1</x:f>
        <x:v>0.0025348542458809575</x:v>
      </x:c>
      <x:c r="E173" s="980" t="n">
        <x:f>C173/C172-1</x:f>
        <x:v>-0.017924065845443482</x:v>
      </x:c>
      <x:c r="F173" s="983" t="n">
        <x:f>B173/$B$17*100</x:f>
        <x:v>206.93263570961415</x:v>
      </x:c>
      <x:c r="G173" s="983" t="n">
        <x:f>C173/$C$17*100</x:f>
        <x:v>97.89412293215008</x:v>
      </x:c>
      <x:c r="H173" s="986" t="n">
        <x:f>757</x:f>
        <x:v>757</x:v>
      </x:c>
    </x:row>
    <x:row r="174">
      <x:c r="A174" s="971" t="n">
        <x:f>'Raw Beta Prices'!A762</x:f>
        <x:v>45506</x:v>
      </x:c>
      <x:c r="B174" s="974" t="n">
        <x:f>'Raw Beta Prices'!E762</x:f>
        <x:v>64.88</x:v>
      </x:c>
      <x:c r="C174" s="977" t="n">
        <x:f>'Raw Beta Prices'!J762</x:f>
        <x:v>1236.6</x:v>
      </x:c>
      <x:c r="D174" s="980" t="n">
        <x:f>B174/B173-1</x:f>
        <x:v>0.025284450063211006</x:v>
      </x:c>
      <x:c r="E174" s="980" t="n">
        <x:f>C174/C173-1</x:f>
        <x:v>-0.004436000032203236</x:v>
      </x:c>
      <x:c r="F174" s="983" t="n">
        <x:f>B174/$B$17*100</x:f>
        <x:v>212.1648136036625</x:v>
      </x:c>
      <x:c r="G174" s="983" t="n">
        <x:f>C174/$C$17*100</x:f>
        <x:v>97.45986459967057</x:v>
      </x:c>
      <x:c r="H174" s="986" t="n">
        <x:f>762</x:f>
        <x:v>762</x:v>
      </x:c>
    </x:row>
    <x:row r="175">
      <x:c r="A175" s="971" t="n">
        <x:f>'Raw Beta Prices'!A767</x:f>
        <x:v>45513</x:v>
      </x:c>
      <x:c r="B175" s="974" t="n">
        <x:f>'Raw Beta Prices'!E767</x:f>
        <x:v>61.76</x:v>
      </x:c>
      <x:c r="C175" s="977" t="n">
        <x:f>'Raw Beta Prices'!J767</x:f>
        <x:v>1223.64</x:v>
      </x:c>
      <x:c r="D175" s="980" t="n">
        <x:f>B175/B174-1</x:f>
        <x:v>-0.04808877928483346</x:v>
      </x:c>
      <x:c r="E175" s="980" t="n">
        <x:f>C175/C174-1</x:f>
        <x:v>-0.01048034934497799</x:v>
      </x:c>
      <x:c r="F175" s="983" t="n">
        <x:f>B175/$B$17*100</x:f>
        <x:v>201.96206671026818</x:v>
      </x:c>
      <x:c r="G175" s="983" t="n">
        <x:f>C175/$C$17*100</x:f>
        <x:v>96.43845117155175</x:v>
      </x:c>
      <x:c r="H175" s="986" t="n">
        <x:f>767</x:f>
        <x:v>767</x:v>
      </x:c>
    </x:row>
    <x:row r="176">
      <x:c r="A176" s="971" t="n">
        <x:f>'Raw Beta Prices'!A772</x:f>
        <x:v>45520</x:v>
      </x:c>
      <x:c r="B176" s="974" t="n">
        <x:f>'Raw Beta Prices'!E772</x:f>
        <x:v>63.92</x:v>
      </x:c>
      <x:c r="C176" s="977" t="n">
        <x:f>'Raw Beta Prices'!J772</x:f>
        <x:v>1252.23</x:v>
      </x:c>
      <x:c r="D176" s="980" t="n">
        <x:f>B176/B175-1</x:f>
        <x:v>0.03497409326424883</x:v>
      </x:c>
      <x:c r="E176" s="980" t="n">
        <x:f>C176/C175-1</x:f>
        <x:v>0.02336471511228777</x:v>
      </x:c>
      <x:c r="F176" s="983" t="n">
        <x:f>B176/$B$17*100</x:f>
        <x:v>209.0255068672335</x:v>
      </x:c>
      <x:c r="G176" s="983" t="n">
        <x:f>C176/$C$17*100</x:f>
        <x:v>98.69170810904535</x:v>
      </x:c>
      <x:c r="H176" s="986" t="n">
        <x:f>772</x:f>
        <x:v>772</x:v>
      </x:c>
    </x:row>
    <x:row r="177">
      <x:c r="A177" s="971" t="n">
        <x:f>'Raw Beta Prices'!A777</x:f>
        <x:v>45527</x:v>
      </x:c>
      <x:c r="B177" s="974" t="n">
        <x:f>'Raw Beta Prices'!E777</x:f>
        <x:v>65.92</x:v>
      </x:c>
      <x:c r="C177" s="977" t="n">
        <x:f>'Raw Beta Prices'!J777</x:f>
        <x:v>1285.32</x:v>
      </x:c>
      <x:c r="D177" s="980" t="n">
        <x:f>B177/B176-1</x:f>
        <x:v>0.031289111389236623</x:v>
      </x:c>
      <x:c r="E177" s="980" t="n">
        <x:f>C177/C176-1</x:f>
        <x:v>0.026424858053232914</x:v>
      </x:c>
      <x:c r="F177" s="983" t="n">
        <x:f>B177/$B$17*100</x:f>
        <x:v>215.565729234794</x:v>
      </x:c>
      <x:c r="G177" s="983" t="n">
        <x:f>C177/$C$17*100</x:f>
        <x:v>101.29962248685797</x:v>
      </x:c>
      <x:c r="H177" s="986" t="n">
        <x:f>777</x:f>
        <x:v>777</x:v>
      </x:c>
    </x:row>
    <x:row r="178">
      <x:c r="A178" s="971" t="n">
        <x:f>'Raw Beta Prices'!A782</x:f>
        <x:v>45534</x:v>
      </x:c>
      <x:c r="B178" s="974" t="n">
        <x:f>'Raw Beta Prices'!E782</x:f>
        <x:v>64.48</x:v>
      </x:c>
      <x:c r="C178" s="977" t="n">
        <x:f>'Raw Beta Prices'!J782</x:f>
        <x:v>1283.87</x:v>
      </x:c>
      <x:c r="D178" s="980" t="n">
        <x:f>B178/B177-1</x:f>
        <x:v>-0.021844660194174748</x:v>
      </x:c>
      <x:c r="E178" s="980" t="n">
        <x:f>C178/C177-1</x:f>
        <x:v>-0.001128123735723463</x:v>
      </x:c>
      <x:c r="F178" s="983" t="n">
        <x:f>B178/$B$17*100</x:f>
        <x:v>210.85676913015044</x:v>
      </x:c>
      <x:c r="G178" s="983" t="n">
        <x:f>C178/$C$17*100</x:f>
        <x:v>101.18534397831071</x:v>
      </x:c>
      <x:c r="H178" s="986" t="n">
        <x:f>782</x:f>
        <x:v>782</x:v>
      </x:c>
    </x:row>
    <x:row r="179">
      <x:c r="A179" s="971" t="n">
        <x:f>'Raw Beta Prices'!A785</x:f>
        <x:v>45541</x:v>
      </x:c>
      <x:c r="B179" s="974" t="n">
        <x:f>'Raw Beta Prices'!E785</x:f>
        <x:v>62.48</x:v>
      </x:c>
      <x:c r="C179" s="977" t="n">
        <x:f>'Raw Beta Prices'!J785</x:f>
        <x:v>1273.96</x:v>
      </x:c>
      <x:c r="D179" s="980" t="n">
        <x:f>B179/B178-1</x:f>
        <x:v>-0.031017369727047273</x:v>
      </x:c>
      <x:c r="E179" s="980" t="n">
        <x:f>C179/C178-1</x:f>
        <x:v>-0.007718850039334035</x:v>
      </x:c>
      <x:c r="F179" s="983" t="n">
        <x:f>B179/$B$17*100</x:f>
        <x:v>204.31654676258995</x:v>
      </x:c>
      <x:c r="G179" s="983" t="n">
        <x:f>C179/$C$17*100</x:f>
        <x:v>100.40430948196371</x:v>
      </x:c>
      <x:c r="H179" s="986" t="n">
        <x:f>785</x:f>
        <x:v>785</x:v>
      </x:c>
    </x:row>
    <x:row r="180">
      <x:c r="A180" s="971" t="n">
        <x:f>'Raw Beta Prices'!A790</x:f>
        <x:v>45548</x:v>
      </x:c>
      <x:c r="B180" s="974" t="n">
        <x:f>'Raw Beta Prices'!E790</x:f>
        <x:v>61.84</x:v>
      </x:c>
      <x:c r="C180" s="977" t="n">
        <x:f>'Raw Beta Prices'!J790</x:f>
        <x:v>1251.71</x:v>
      </x:c>
      <x:c r="D180" s="980" t="n">
        <x:f>B180/B179-1</x:f>
        <x:v>-0.010243277848911547</x:v>
      </x:c>
      <x:c r="E180" s="980" t="n">
        <x:f>C180/C179-1</x:f>
        <x:v>-0.017465226537724865</x:v>
      </x:c>
      <x:c r="F180" s="983" t="n">
        <x:f>B180/$B$17*100</x:f>
        <x:v>202.2236756049706</x:v>
      </x:c>
      <x:c r="G180" s="983" t="n">
        <x:f>C180/$C$17*100</x:f>
        <x:v>98.65072547149737</x:v>
      </x:c>
      <x:c r="H180" s="986" t="n">
        <x:f>790</x:f>
        <x:v>790</x:v>
      </x:c>
    </x:row>
    <x:row r="181">
      <x:c r="A181" s="971" t="n">
        <x:f>'Raw Beta Prices'!A795</x:f>
        <x:v>45555</x:v>
      </x:c>
      <x:c r="B181" s="974" t="n">
        <x:f>'Raw Beta Prices'!E795</x:f>
        <x:v>62.8</x:v>
      </x:c>
      <x:c r="C181" s="977" t="n">
        <x:f>'Raw Beta Prices'!J795</x:f>
        <x:v>1272.04</x:v>
      </x:c>
      <x:c r="D181" s="980" t="n">
        <x:f>B181/B180-1</x:f>
        <x:v>0.015523932729624823</x:v>
      </x:c>
      <x:c r="E181" s="980" t="n">
        <x:f>C181/C180-1</x:f>
        <x:v>0.016241781243259146</x:v>
      </x:c>
      <x:c r="F181" s="983" t="n">
        <x:f>B181/$B$17*100</x:f>
        <x:v>205.3629823413996</x:v>
      </x:c>
      <x:c r="G181" s="983" t="n">
        <x:f>C181/$C$17*100</x:f>
        <x:v>100.25298897409425</x:v>
      </x:c>
      <x:c r="H181" s="986" t="n">
        <x:f>795</x:f>
        <x:v>795</x:v>
      </x:c>
    </x:row>
    <x:row r="182">
      <x:c r="A182" s="971" t="n">
        <x:f>'Raw Beta Prices'!A800</x:f>
        <x:v>45562</x:v>
      </x:c>
      <x:c r="B182" s="974" t="n">
        <x:f>'Raw Beta Prices'!E800</x:f>
        <x:v>62.88</x:v>
      </x:c>
      <x:c r="C182" s="977" t="n">
        <x:f>'Raw Beta Prices'!J800</x:f>
        <x:v>1290.92</x:v>
      </x:c>
      <x:c r="D182" s="980" t="n">
        <x:f>B182/B181-1</x:f>
        <x:v>0.001273885350318471</x:v>
      </x:c>
      <x:c r="E182" s="980" t="n">
        <x:f>C182/C181-1</x:f>
        <x:v>0.014842300556586308</x:v>
      </x:c>
      <x:c r="F182" s="983" t="n">
        <x:f>B182/$B$17*100</x:f>
        <x:v>205.62459123610205</x:v>
      </x:c>
      <x:c r="G182" s="983" t="n">
        <x:f>C182/$C$17*100</x:f>
        <x:v>101.7409739681439</x:v>
      </x:c>
      <x:c r="H182" s="986" t="n">
        <x:f>800</x:f>
        <x:v>800</x:v>
      </x:c>
    </x:row>
    <x:row r="183">
      <x:c r="A183" s="971" t="n">
        <x:f>'Raw Beta Prices'!A805</x:f>
        <x:v>45569</x:v>
      </x:c>
      <x:c r="B183" s="974" t="n">
        <x:f>'Raw Beta Prices'!E805</x:f>
        <x:v>61.52</x:v>
      </x:c>
      <x:c r="C183" s="977" t="n">
        <x:f>'Raw Beta Prices'!J805</x:f>
        <x:v>1270.6</x:v>
      </x:c>
      <x:c r="D183" s="980" t="n">
        <x:f>B183/B182-1</x:f>
        <x:v>-0.021628498727735312</x:v>
      </x:c>
      <x:c r="E183" s="980" t="n">
        <x:f>C183/C182-1</x:f>
        <x:v>-0.015740712050320793</x:v>
      </x:c>
      <x:c r="F183" s="983" t="n">
        <x:f>B183/$B$17*100</x:f>
        <x:v>201.17724002616092</x:v>
      </x:c>
      <x:c r="G183" s="983" t="n">
        <x:f>C183/$C$17*100</x:f>
        <x:v>100.13949859319216</x:v>
      </x:c>
      <x:c r="H183" s="986" t="n">
        <x:f>805</x:f>
        <x:v>805</x:v>
      </x:c>
    </x:row>
    <x:row r="184">
      <x:c r="A184" s="971" t="n">
        <x:f>'Raw Beta Prices'!A810</x:f>
        <x:v>45576</x:v>
      </x:c>
      <x:c r="B184" s="974" t="n">
        <x:f>'Raw Beta Prices'!E810</x:f>
        <x:v>61.52</x:v>
      </x:c>
      <x:c r="C184" s="977" t="n">
        <x:f>'Raw Beta Prices'!J810</x:f>
        <x:v>1288.39</x:v>
      </x:c>
      <x:c r="D184" s="980" t="n">
        <x:f>B184/B183-1</x:f>
        <x:v>0</x:v>
      </x:c>
      <x:c r="E184" s="980" t="n">
        <x:f>C184/C183-1</x:f>
        <x:v>0.014001259247599762</x:v>
      </x:c>
      <x:c r="F184" s="983" t="n">
        <x:f>B184/$B$17*100</x:f>
        <x:v>201.17724002616092</x:v>
      </x:c>
      <x:c r="G184" s="983" t="n">
        <x:f>C184/$C$17*100</x:f>
        <x:v>101.54157767392009</x:v>
      </x:c>
      <x:c r="H184" s="986" t="n">
        <x:f>810</x:f>
        <x:v>810</x:v>
      </x:c>
    </x:row>
    <x:row r="185">
      <x:c r="A185" s="971" t="n">
        <x:f>'Raw Beta Prices'!A815</x:f>
        <x:v>45583</x:v>
      </x:c>
      <x:c r="B185" s="974" t="n">
        <x:f>'Raw Beta Prices'!E815</x:f>
        <x:v>57.51</x:v>
      </x:c>
      <x:c r="C185" s="977" t="n">
        <x:f>'Raw Beta Prices'!J815</x:f>
        <x:v>1285.46</x:v>
      </x:c>
      <x:c r="D185" s="980" t="n">
        <x:f>B185/B184-1</x:f>
        <x:v>-0.06518205461638504</x:v>
      </x:c>
      <x:c r="E185" s="980" t="n">
        <x:f>C185/C184-1</x:f>
        <x:v>-0.0022741561173247327</x:v>
      </x:c>
      <x:c r="F185" s="983" t="n">
        <x:f>B185/$B$17*100</x:f>
        <x:v>188.0640941792021</x:v>
      </x:c>
      <x:c r="G185" s="983" t="n">
        <x:f>C185/$C$17*100</x:f>
        <x:v>101.31065627389013</x:v>
      </x:c>
      <x:c r="H185" s="986" t="n">
        <x:f>815</x:f>
        <x:v>815</x:v>
      </x:c>
    </x:row>
    <x:row r="186">
      <x:c r="A186" s="971" t="n">
        <x:f>'Raw Beta Prices'!A820</x:f>
        <x:v>45590</x:v>
      </x:c>
      <x:c r="B186" s="974" t="n">
        <x:f>'Raw Beta Prices'!E820</x:f>
        <x:v>58.97</x:v>
      </x:c>
      <x:c r="C186" s="977" t="n">
        <x:f>'Raw Beta Prices'!J820</x:f>
        <x:v>1252.72</x:v>
      </x:c>
      <x:c r="D186" s="980" t="n">
        <x:f>B186/B185-1</x:f>
        <x:v>0.025386889236654442</x:v>
      </x:c>
      <x:c r="E186" s="980" t="n">
        <x:f>C186/C185-1</x:f>
        <x:v>-0.025469481741944522</x:v>
      </x:c>
      <x:c r="F186" s="983" t="n">
        <x:f>B186/$B$17*100</x:f>
        <x:v>192.83845650752127</x:v>
      </x:c>
      <x:c r="G186" s="983" t="n">
        <x:f>C186/$C$17*100</x:f>
        <x:v>98.73032636365787</x:v>
      </x:c>
      <x:c r="H186" s="986" t="n">
        <x:f>820</x:f>
        <x:v>820</x:v>
      </x:c>
    </x:row>
    <x:row r="187">
      <x:c r="A187" s="971" t="n">
        <x:f>'Raw Beta Prices'!A825</x:f>
        <x:v>45597</x:v>
      </x:c>
      <x:c r="B187" s="974" t="n">
        <x:f>'Raw Beta Prices'!E825</x:f>
        <x:v>60.38</x:v>
      </x:c>
      <x:c r="C187" s="977" t="n">
        <x:f>'Raw Beta Prices'!J825</x:f>
        <x:v>1254.89</x:v>
      </x:c>
      <x:c r="D187" s="980" t="n">
        <x:f>B187/B186-1</x:f>
        <x:v>0.02391046294726129</x:v>
      </x:c>
      <x:c r="E187" s="980" t="n">
        <x:f>C187/C186-1</x:f>
        <x:v>0.0017322306660707554</x:v>
      </x:c>
      <x:c r="F187" s="983" t="n">
        <x:f>B187/$B$17*100</x:f>
        <x:v>197.44931327665142</x:v>
      </x:c>
      <x:c r="G187" s="983" t="n">
        <x:f>C187/$C$17*100</x:f>
        <x:v>98.90135006265616</x:v>
      </x:c>
      <x:c r="H187" s="986" t="n">
        <x:f>825</x:f>
        <x:v>825</x:v>
      </x:c>
    </x:row>
    <x:row r="188">
      <x:c r="A188" s="971" t="n">
        <x:f>'Raw Beta Prices'!A830</x:f>
        <x:v>45604</x:v>
      </x:c>
      <x:c r="B188" s="974" t="n">
        <x:f>'Raw Beta Prices'!E830</x:f>
        <x:v>60.76</x:v>
      </x:c>
      <x:c r="C188" s="977" t="n">
        <x:f>'Raw Beta Prices'!J830</x:f>
        <x:v>1252.56</x:v>
      </x:c>
      <x:c r="D188" s="980" t="n">
        <x:f>B188/B187-1</x:f>
        <x:v>0.006293474660483467</x:v>
      </x:c>
      <x:c r="E188" s="980" t="n">
        <x:f>C188/C187-1</x:f>
        <x:v>-0.001856736447019336</x:v>
      </x:c>
      <x:c r="F188" s="983" t="n">
        <x:f>B188/$B$17*100</x:f>
        <x:v>198.6919555264879</x:v>
      </x:c>
      <x:c r="G188" s="983" t="n">
        <x:f>C188/$C$17*100</x:f>
        <x:v>98.7177163213354</x:v>
      </x:c>
      <x:c r="H188" s="986" t="n">
        <x:f>830</x:f>
        <x:v>830</x:v>
      </x:c>
    </x:row>
    <x:row r="189">
      <x:c r="A189" s="971" t="n">
        <x:f>'Raw Beta Prices'!A835</x:f>
        <x:v>45611</x:v>
      </x:c>
      <x:c r="B189" s="974" t="n">
        <x:f>'Raw Beta Prices'!E835</x:f>
        <x:v>61.89</x:v>
      </x:c>
      <x:c r="C189" s="977" t="n">
        <x:f>'Raw Beta Prices'!J835</x:f>
        <x:v>1218.57</x:v>
      </x:c>
      <x:c r="D189" s="980" t="n">
        <x:f>B189/B188-1</x:f>
        <x:v>0.018597761685319236</x:v>
      </x:c>
      <x:c r="E189" s="980" t="n">
        <x:f>C189/C188-1</x:f>
        <x:v>-0.027136424602414277</x:v>
      </x:c>
      <x:c r="F189" s="983" t="n">
        <x:f>B189/$B$17*100</x:f>
        <x:v>202.38718116415959</x:v>
      </x:c>
      <x:c r="G189" s="983" t="n">
        <x:f>C189/$C$17*100</x:f>
        <x:v>96.03887045545896</x:v>
      </x:c>
      <x:c r="H189" s="986" t="n">
        <x:f>835</x:f>
        <x:v>835</x:v>
      </x:c>
    </x:row>
    <x:row r="190">
      <x:c r="A190" s="971" t="n">
        <x:f>'Raw Beta Prices'!A840</x:f>
        <x:v>45618</x:v>
      </x:c>
      <x:c r="B190" s="974" t="n">
        <x:f>'Raw Beta Prices'!E840</x:f>
        <x:v>60.29</x:v>
      </x:c>
      <x:c r="C190" s="977" t="n">
        <x:f>'Raw Beta Prices'!J840</x:f>
        <x:v>1228.1</x:v>
      </x:c>
      <x:c r="D190" s="980" t="n">
        <x:f>B190/B189-1</x:f>
        <x:v>-0.025852318629827176</x:v>
      </x:c>
      <x:c r="E190" s="980" t="n">
        <x:f>C190/C189-1</x:f>
        <x:v>0.00782064222818546</x:v>
      </x:c>
      <x:c r="F190" s="983" t="n">
        <x:f>B190/$B$17*100</x:f>
        <x:v>197.1550032701112</x:v>
      </x:c>
      <x:c r="G190" s="983" t="n">
        <x:f>C190/$C$17*100</x:f>
        <x:v>96.78995610129016</x:v>
      </x:c>
      <x:c r="H190" s="986" t="n">
        <x:f>840</x:f>
        <x:v>840</x:v>
      </x:c>
    </x:row>
    <x:row r="191">
      <x:c r="A191" s="971" t="n">
        <x:f>'Raw Beta Prices'!A845</x:f>
        <x:v>45625</x:v>
      </x:c>
      <x:c r="B191" s="974" t="n">
        <x:f>'Raw Beta Prices'!E845</x:f>
        <x:v>60.85</x:v>
      </x:c>
      <x:c r="C191" s="977" t="n">
        <x:f>'Raw Beta Prices'!J845</x:f>
        <x:v>1250.46</x:v>
      </x:c>
      <x:c r="D191" s="980" t="n">
        <x:f>B191/B190-1</x:f>
        <x:v>0.009288439210482613</x:v>
      </x:c>
      <x:c r="E191" s="980" t="n">
        <x:f>C191/C190-1</x:f>
        <x:v>0.018206986401758884</x:v>
      </x:c>
      <x:c r="F191" s="983" t="n">
        <x:f>B191/$B$17*100</x:f>
        <x:v>198.98626553302813</x:v>
      </x:c>
      <x:c r="G191" s="983" t="n">
        <x:f>C191/$C$17*100</x:f>
        <x:v>98.55220951585319</x:v>
      </x:c>
      <x:c r="H191" s="986" t="n">
        <x:f>845</x:f>
        <x:v>845</x:v>
      </x:c>
    </x:row>
    <x:row r="192">
      <x:c r="A192" s="971" t="n">
        <x:f>'Raw Beta Prices'!A850</x:f>
        <x:v>45632</x:v>
      </x:c>
      <x:c r="B192" s="974" t="n">
        <x:f>'Raw Beta Prices'!E850</x:f>
        <x:v>63.39</x:v>
      </x:c>
      <x:c r="C192" s="977" t="n">
        <x:f>'Raw Beta Prices'!J850</x:f>
        <x:v>1270.14</x:v>
      </x:c>
      <x:c r="D192" s="980" t="n">
        <x:f>B192/B191-1</x:f>
        <x:v>0.041741988496302396</x:v>
      </x:c>
      <x:c r="E192" s="980" t="n">
        <x:f>C192/C191-1</x:f>
        <x:v>0.01573820833933115</x:v>
      </x:c>
      <x:c r="F192" s="983" t="n">
        <x:f>B192/$B$17*100</x:f>
        <x:v>207.29234793982997</x:v>
      </x:c>
      <x:c r="G192" s="983" t="n">
        <x:f>C192/$C$17*100</x:f>
        <x:v>100.10324472151511</x:v>
      </x:c>
      <x:c r="H192" s="986" t="n">
        <x:f>850</x:f>
        <x:v>850</x:v>
      </x:c>
    </x:row>
    <x:row r="193">
      <x:c r="A193" s="971" t="n">
        <x:f>'Raw Beta Prices'!A855</x:f>
        <x:v>45639</x:v>
      </x:c>
      <x:c r="B193" s="974" t="n">
        <x:f>'Raw Beta Prices'!E855</x:f>
        <x:v>61.98</x:v>
      </x:c>
      <x:c r="C193" s="977" t="n">
        <x:f>'Raw Beta Prices'!J855</x:f>
        <x:v>1262.57</x:v>
      </x:c>
      <x:c r="D193" s="980" t="n">
        <x:f>B193/B192-1</x:f>
        <x:v>-0.022243256034074843</x:v>
      </x:c>
      <x:c r="E193" s="980" t="n">
        <x:f>C193/C192-1</x:f>
        <x:v>-0.005959972916371514</x:v>
      </x:c>
      <x:c r="F193" s="983" t="n">
        <x:f>B193/$B$17*100</x:f>
        <x:v>202.68149117069981</x:v>
      </x:c>
      <x:c r="G193" s="983" t="n">
        <x:f>C193/$C$17*100</x:f>
        <x:v>99.50663209413396</x:v>
      </x:c>
      <x:c r="H193" s="986" t="n">
        <x:f>855</x:f>
        <x:v>855</x:v>
      </x:c>
    </x:row>
    <x:row r="194">
      <x:c r="A194" s="971" t="n">
        <x:f>'Raw Beta Prices'!A860</x:f>
        <x:v>45646</x:v>
      </x:c>
      <x:c r="B194" s="974" t="n">
        <x:f>'Raw Beta Prices'!E860</x:f>
        <x:v>61.13</x:v>
      </x:c>
      <x:c r="C194" s="977" t="n">
        <x:f>'Raw Beta Prices'!J860</x:f>
        <x:v>1257.5</x:v>
      </x:c>
      <x:c r="D194" s="980" t="n">
        <x:f>B194/B193-1</x:f>
        <x:v>-0.013714101323007322</x:v>
      </x:c>
      <x:c r="E194" s="980" t="n">
        <x:f>C194/C193-1</x:f>
        <x:v>-0.004015618935979792</x:v>
      </x:c>
      <x:c r="F194" s="983" t="n">
        <x:f>B194/$B$17*100</x:f>
        <x:v>199.9018966644866</x:v>
      </x:c>
      <x:c r="G194" s="983" t="n">
        <x:f>C194/$C$17*100</x:f>
        <x:v>99.10705137804119</x:v>
      </x:c>
      <x:c r="H194" s="986" t="n">
        <x:f>860</x:f>
        <x:v>860</x:v>
      </x:c>
    </x:row>
    <x:row r="195">
      <x:c r="A195" s="971" t="n">
        <x:f>'Raw Beta Prices'!A865</x:f>
        <x:v>45653</x:v>
      </x:c>
      <x:c r="B195" s="974" t="n">
        <x:f>'Raw Beta Prices'!E865</x:f>
        <x:v>62.54</x:v>
      </x:c>
      <x:c r="C195" s="977" t="n">
        <x:f>'Raw Beta Prices'!J865</x:f>
        <x:v>1275.14</x:v>
      </x:c>
      <x:c r="D195" s="980" t="n">
        <x:f>B195/B194-1</x:f>
        <x:v>0.02306559790610163</x:v>
      </x:c>
      <x:c r="E195" s="980" t="n">
        <x:f>C195/C194-1</x:f>
        <x:v>0.014027833001988066</x:v>
      </x:c>
      <x:c r="F195" s="983" t="n">
        <x:f>B195/$B$17*100</x:f>
        <x:v>204.51275343361678</x:v>
      </x:c>
      <x:c r="G195" s="983" t="n">
        <x:f>C195/$C$17*100</x:f>
        <x:v>100.49730854409182</x:v>
      </x:c>
      <x:c r="H195" s="986" t="n">
        <x:f>865</x:f>
        <x:v>865</x:v>
      </x:c>
    </x:row>
    <x:row r="196">
      <x:c r="A196" s="971" t="n">
        <x:f>'Raw Beta Prices'!A869</x:f>
        <x:v>45660</x:v>
      </x:c>
      <x:c r="B196" s="974" t="n">
        <x:f>'Raw Beta Prices'!E869</x:f>
        <x:v>61.89</x:v>
      </x:c>
      <x:c r="C196" s="977" t="n">
        <x:f>'Raw Beta Prices'!J869</x:f>
        <x:v>1254.59</x:v>
      </x:c>
      <x:c r="D196" s="980" t="n">
        <x:f>B196/B195-1</x:f>
        <x:v>-0.010393348257115465</x:v>
      </x:c>
      <x:c r="E196" s="980" t="n">
        <x:f>C196/C195-1</x:f>
        <x:v>-0.016115877472277718</x:v>
      </x:c>
      <x:c r="F196" s="983" t="n">
        <x:f>B196/$B$17*100</x:f>
        <x:v>202.38718116415959</x:v>
      </x:c>
      <x:c r="G196" s="983" t="n">
        <x:f>C196/$C$17*100</x:f>
        <x:v>98.87770623330154</x:v>
      </x:c>
      <x:c r="H196" s="986" t="n">
        <x:f>869</x:f>
        <x:v>869</x:v>
      </x:c>
    </x:row>
    <x:row r="197">
      <x:c r="A197" s="971" t="n">
        <x:f>'Raw Beta Prices'!A874</x:f>
        <x:v>45667</x:v>
      </x:c>
      <x:c r="B197" s="974" t="n">
        <x:f>'Raw Beta Prices'!E874</x:f>
        <x:v>58.31</x:v>
      </x:c>
      <x:c r="C197" s="977" t="n">
        <x:f>'Raw Beta Prices'!J874</x:f>
        <x:v>1230.48</x:v>
      </x:c>
      <x:c r="D197" s="980" t="n">
        <x:f>B197/B196-1</x:f>
        <x:v>-0.05784456293423812</x:v>
      </x:c>
      <x:c r="E197" s="980" t="n">
        <x:f>C197/C196-1</x:f>
        <x:v>-0.01921743358387995</x:v>
      </x:c>
      <x:c r="F197" s="983" t="n">
        <x:f>B197/$B$17*100</x:f>
        <x:v>190.6801831262263</x:v>
      </x:c>
      <x:c r="G197" s="983" t="n">
        <x:f>C197/$C$17*100</x:f>
        <x:v>96.97753048083668</x:v>
      </x:c>
      <x:c r="H197" s="986" t="n">
        <x:f>874</x:f>
        <x:v>874</x:v>
      </x:c>
    </x:row>
    <x:row r="198">
      <x:c r="A198" s="971" t="n">
        <x:f>'Raw Beta Prices'!A879</x:f>
        <x:v>45674</x:v>
      </x:c>
      <x:c r="B198" s="974" t="n">
        <x:f>'Raw Beta Prices'!E879</x:f>
        <x:v>58.31</x:v>
      </x:c>
      <x:c r="C198" s="977" t="n">
        <x:f>'Raw Beta Prices'!J879</x:f>
        <x:v>1249.11</x:v>
      </x:c>
      <x:c r="D198" s="980" t="n">
        <x:f>B198/B197-1</x:f>
        <x:v>0</x:v>
      </x:c>
      <x:c r="E198" s="980" t="n">
        <x:f>C198/C197-1</x:f>
        <x:v>0.015140433001755271</x:v>
      </x:c>
      <x:c r="F198" s="983" t="n">
        <x:f>B198/$B$17*100</x:f>
        <x:v>190.6801831262263</x:v>
      </x:c>
      <x:c r="G198" s="983" t="n">
        <x:f>C198/$C$17*100</x:f>
        <x:v>98.44581228375748</x:v>
      </x:c>
      <x:c r="H198" s="986" t="n">
        <x:f>879</x:f>
        <x:v>879</x:v>
      </x:c>
    </x:row>
    <x:row r="199">
      <x:c r="A199" s="971" t="n">
        <x:f>'Raw Beta Prices'!A884</x:f>
        <x:v>45681</x:v>
      </x:c>
      <x:c r="B199" s="974" t="n">
        <x:f>'Raw Beta Prices'!E884</x:f>
        <x:v>60.1</x:v>
      </x:c>
      <x:c r="C199" s="977" t="n">
        <x:f>'Raw Beta Prices'!J884</x:f>
        <x:v>1265.05</x:v>
      </x:c>
      <x:c r="D199" s="980" t="n">
        <x:f>B199/B198-1</x:f>
        <x:v>0.030697993483107533</x:v>
      </x:c>
      <x:c r="E199" s="980" t="n">
        <x:f>C199/C198-1</x:f>
        <x:v>0.012761085893155943</x:v>
      </x:c>
      <x:c r="F199" s="983" t="n">
        <x:f>B199/$B$17*100</x:f>
        <x:v>196.53368214519296</x:v>
      </x:c>
      <x:c r="G199" s="983" t="n">
        <x:f>C199/$C$17*100</x:f>
        <x:v>99.70208775013202</x:v>
      </x:c>
      <x:c r="H199" s="986" t="n">
        <x:f>884</x:f>
        <x:v>884</x:v>
      </x:c>
    </x:row>
    <x:row r="200">
      <x:c r="A200" s="971" t="n">
        <x:f>'Raw Beta Prices'!A889</x:f>
        <x:v>45695</x:v>
      </x:c>
      <x:c r="B200" s="974" t="n">
        <x:f>'Raw Beta Prices'!E889</x:f>
        <x:v>58.88</x:v>
      </x:c>
      <x:c r="C200" s="977" t="n">
        <x:f>'Raw Beta Prices'!J889</x:f>
        <x:v>1275.2</x:v>
      </x:c>
      <x:c r="D200" s="980" t="n">
        <x:f>B200/B199-1</x:f>
        <x:v>-0.02029950083194676</x:v>
      </x:c>
      <x:c r="E200" s="980" t="n">
        <x:f>C200/C199-1</x:f>
        <x:v>0.008023398284652927</x:v>
      </x:c>
      <x:c r="F200" s="983" t="n">
        <x:f>B200/$B$17*100</x:f>
        <x:v>192.54414650098107</x:v>
      </x:c>
      <x:c r="G200" s="983" t="n">
        <x:f>C200/$C$17*100</x:f>
        <x:v>100.50203730996272</x:v>
      </x:c>
      <x:c r="H200" s="986" t="n">
        <x:f>889</x:f>
        <x:v>889</x:v>
      </x:c>
    </x:row>
    <x:row r="201">
      <x:c r="A201" s="971" t="n">
        <x:f>'Raw Beta Prices'!A894</x:f>
        <x:v>45702</x:v>
      </x:c>
      <x:c r="B201" s="974" t="n">
        <x:f>'Raw Beta Prices'!E894</x:f>
        <x:v>58.03</x:v>
      </x:c>
      <x:c r="C201" s="977" t="n">
        <x:f>'Raw Beta Prices'!J894</x:f>
        <x:v>1276.08</x:v>
      </x:c>
      <x:c r="D201" s="980" t="n">
        <x:f>B201/B200-1</x:f>
        <x:v>-0.014436141304347894</x:v>
      </x:c>
      <x:c r="E201" s="980" t="n">
        <x:f>C201/C200-1</x:f>
        <x:v>0.0006900878293600865</x:v>
      </x:c>
      <x:c r="F201" s="983" t="n">
        <x:f>B201/$B$17*100</x:f>
        <x:v>189.76455199476783</x:v>
      </x:c>
      <x:c r="G201" s="983" t="n">
        <x:f>C201/$C$17*100</x:f>
        <x:v>100.57139254273622</x:v>
      </x:c>
      <x:c r="H201" s="986" t="n">
        <x:f>894</x:f>
        <x:v>894</x:v>
      </x:c>
    </x:row>
    <x:row r="202">
      <x:c r="A202" s="971" t="n">
        <x:f>'Raw Beta Prices'!A899</x:f>
        <x:v>45709</x:v>
      </x:c>
      <x:c r="B202" s="974" t="n">
        <x:f>'Raw Beta Prices'!E899</x:f>
        <x:v>58.31</x:v>
      </x:c>
      <x:c r="C202" s="977" t="n">
        <x:f>'Raw Beta Prices'!J899</x:f>
        <x:v>1296.75</x:v>
      </x:c>
      <x:c r="D202" s="980" t="n">
        <x:f>B202/B201-1</x:f>
        <x:v>0.004825090470446325</x:v>
      </x:c>
      <x:c r="E202" s="980" t="n">
        <x:f>C202/C201-1</x:f>
        <x:v>0.016198044009779977</x:v>
      </x:c>
      <x:c r="F202" s="983" t="n">
        <x:f>B202/$B$17*100</x:f>
        <x:v>190.6801831262263</x:v>
      </x:c>
      <x:c r="G202" s="983" t="n">
        <x:f>C202/$C$17*100</x:f>
        <x:v>102.20045238526832</x:v>
      </x:c>
      <x:c r="H202" s="986" t="n">
        <x:f>899</x:f>
        <x:v>899</x:v>
      </x:c>
    </x:row>
    <x:row r="203">
      <x:c r="A203" s="971" t="n">
        <x:f>'Raw Beta Prices'!A904</x:f>
        <x:v>45716</x:v>
      </x:c>
      <x:c r="B203" s="974" t="n">
        <x:f>'Raw Beta Prices'!E904</x:f>
        <x:v>57.09</x:v>
      </x:c>
      <x:c r="C203" s="977" t="n">
        <x:f>'Raw Beta Prices'!J904</x:f>
        <x:v>1305.36</x:v>
      </x:c>
      <x:c r="D203" s="980" t="n">
        <x:f>B203/B202-1</x:f>
        <x:v>-0.020922654776196148</x:v>
      </x:c>
      <x:c r="E203" s="980" t="n">
        <x:f>C203/C202-1</x:f>
        <x:v>0.006639676113360249</x:v>
      </x:c>
      <x:c r="F203" s="983" t="n">
        <x:f>B203/$B$17*100</x:f>
        <x:v>186.6906474820144</x:v>
      </x:c>
      <x:c r="G203" s="983" t="n">
        <x:f>C203/$C$17*100</x:f>
        <x:v>102.87903028774541</x:v>
      </x:c>
      <x:c r="H203" s="986" t="n">
        <x:f>904</x:f>
        <x:v>904</x:v>
      </x:c>
    </x:row>
    <x:row r="204">
      <x:c r="A204" s="971" t="n">
        <x:f>'Raw Beta Prices'!A909</x:f>
        <x:v>45723</x:v>
      </x:c>
      <x:c r="B204" s="974" t="n">
        <x:f>'Raw Beta Prices'!E909</x:f>
        <x:v>57.84</x:v>
      </x:c>
      <x:c r="C204" s="977" t="n">
        <x:f>'Raw Beta Prices'!J909</x:f>
        <x:v>1326.05</x:v>
      </x:c>
      <x:c r="D204" s="980" t="n">
        <x:f>B204/B203-1</x:f>
        <x:v>0.013137151865475483</x:v>
      </x:c>
      <x:c r="E204" s="980" t="n">
        <x:f>C204/C203-1</x:f>
        <x:v>0.015850033707176525</x:v>
      </x:c>
      <x:c r="F204" s="983" t="n">
        <x:f>B204/$B$17*100</x:f>
        <x:v>189.1432308698496</x:v>
      </x:c>
      <x:c r="G204" s="983" t="n">
        <x:f>C204/$C$17*100</x:f>
        <x:v>104.5096663855678</x:v>
      </x:c>
      <x:c r="H204" s="986" t="n">
        <x:f>909</x:f>
        <x:v>909</x:v>
      </x:c>
    </x:row>
    <x:row r="205">
      <x:c r="A205" s="971" t="n">
        <x:f>'Raw Beta Prices'!A914</x:f>
        <x:v>45730</x:v>
      </x:c>
      <x:c r="B205" s="974" t="n">
        <x:f>'Raw Beta Prices'!E914</x:f>
        <x:v>54.64</x:v>
      </x:c>
      <x:c r="C205" s="977" t="n">
        <x:f>'Raw Beta Prices'!J914</x:f>
        <x:v>1326.15</x:v>
      </x:c>
      <x:c r="D205" s="980" t="n">
        <x:f>B205/B204-1</x:f>
        <x:v>-0.05532503457814664</x:v>
      </x:c>
      <x:c r="E205" s="980" t="n">
        <x:f>C205/C204-1</x:f>
        <x:v>0.0000754119377097684</x:v>
      </x:c>
      <x:c r="F205" s="983" t="n">
        <x:f>B205/$B$17*100</x:f>
        <x:v>178.6788750817528</x:v>
      </x:c>
      <x:c r="G205" s="983" t="n">
        <x:f>C205/$C$17*100</x:f>
        <x:v>104.51754766201935</x:v>
      </x:c>
      <x:c r="H205" s="986" t="n">
        <x:f>914</x:f>
        <x:v>914</x:v>
      </x:c>
    </x:row>
    <x:row r="206">
      <x:c r="A206" s="971" t="n">
        <x:f>'Raw Beta Prices'!A919</x:f>
        <x:v>45737</x:v>
      </x:c>
      <x:c r="B206" s="974" t="n">
        <x:f>'Raw Beta Prices'!E919</x:f>
        <x:v>55.87</x:v>
      </x:c>
      <x:c r="C206" s="977" t="n">
        <x:f>'Raw Beta Prices'!J919</x:f>
        <x:v>1321.88</x:v>
      </x:c>
      <x:c r="D206" s="980" t="n">
        <x:f>B206/B205-1</x:f>
        <x:v>0.02251098096632509</x:v>
      </x:c>
      <x:c r="E206" s="980" t="n">
        <x:f>C206/C205-1</x:f>
        <x:v>-0.003219846925310077</x:v>
      </x:c>
      <x:c r="F206" s="983" t="n">
        <x:f>B206/$B$17*100</x:f>
        <x:v>182.7011118378025</x:v>
      </x:c>
      <x:c r="G206" s="983" t="n">
        <x:f>C206/$C$17*100</x:f>
        <x:v>104.18101715753885</x:v>
      </x:c>
      <x:c r="H206" s="986" t="n">
        <x:f>919</x:f>
        <x:v>919</x:v>
      </x:c>
    </x:row>
    <x:row r="207">
      <x:c r="A207" s="971" t="n">
        <x:f>'Raw Beta Prices'!A924</x:f>
        <x:v>45744</x:v>
      </x:c>
      <x:c r="B207" s="974" t="n">
        <x:f>'Raw Beta Prices'!E924</x:f>
        <x:v>54.55</x:v>
      </x:c>
      <x:c r="C207" s="977" t="n">
        <x:f>'Raw Beta Prices'!J924</x:f>
        <x:v>1317.46</x:v>
      </x:c>
      <x:c r="D207" s="980" t="n">
        <x:f>B207/B206-1</x:f>
        <x:v>-0.02362627528190442</x:v>
      </x:c>
      <x:c r="E207" s="980" t="n">
        <x:f>C207/C206-1</x:f>
        <x:v>-0.003343722576935937</x:v>
      </x:c>
      <x:c r="F207" s="983" t="n">
        <x:f>B207/$B$17*100</x:f>
        <x:v>178.38456507521258</x:v>
      </x:c>
      <x:c r="G207" s="983" t="n">
        <x:f>C207/$C$17*100</x:f>
        <x:v>103.83266473838104</x:v>
      </x:c>
      <x:c r="H207" s="986" t="n">
        <x:f>924</x:f>
        <x:v>924</x:v>
      </x:c>
    </x:row>
    <x:row r="208">
      <x:c r="A208" s="971" t="n">
        <x:f>'Raw Beta Prices'!A929</x:f>
        <x:v>45751</x:v>
      </x:c>
      <x:c r="B208" s="974" t="n">
        <x:f>'Raw Beta Prices'!E929</x:f>
        <x:v>45.85</x:v>
      </x:c>
      <x:c r="C208" s="977" t="n">
        <x:f>'Raw Beta Prices'!J929</x:f>
        <x:v>1210.67</x:v>
      </x:c>
      <x:c r="D208" s="980" t="n">
        <x:f>B208/B207-1</x:f>
        <x:v>-0.15948670944087984</x:v>
      </x:c>
      <x:c r="E208" s="980" t="n">
        <x:f>C208/C207-1</x:f>
        <x:v>-0.0810574894114432</x:v>
      </x:c>
      <x:c r="F208" s="983" t="n">
        <x:f>B208/$B$17*100</x:f>
        <x:v>149.9345977763244</x:v>
      </x:c>
      <x:c r="G208" s="983" t="n">
        <x:f>C208/$C$17*100</x:f>
        <x:v>95.41624961578779</x:v>
      </x:c>
      <x:c r="H208" s="986" t="n">
        <x:f>929</x:f>
        <x:v>929</x:v>
      </x:c>
    </x:row>
    <x:row r="209">
      <x:c r="A209" s="971" t="n">
        <x:f>'Raw Beta Prices'!A933</x:f>
        <x:v>45758</x:v>
      </x:c>
      <x:c r="B209" s="974" t="n">
        <x:f>'Raw Beta Prices'!E933</x:f>
        <x:v>43.26</x:v>
      </x:c>
      <x:c r="C209" s="977" t="n">
        <x:f>'Raw Beta Prices'!J933</x:f>
        <x:v>1222.46</x:v>
      </x:c>
      <x:c r="D209" s="980" t="n">
        <x:f>B209/B208-1</x:f>
        <x:v>-0.05648854961832073</x:v>
      </x:c>
      <x:c r="E209" s="980" t="n">
        <x:f>C209/C208-1</x:f>
        <x:v>0.009738409310547036</x:v>
      </x:c>
      <x:c r="F209" s="983" t="n">
        <x:f>B209/$B$17*100</x:f>
        <x:v>141.46500981033356</x:v>
      </x:c>
      <x:c r="G209" s="983" t="n">
        <x:f>C209/$C$17*100</x:f>
        <x:v>96.34545210942365</x:v>
      </x:c>
      <x:c r="H209" s="986" t="n">
        <x:f>933</x:f>
        <x:v>933</x:v>
      </x:c>
    </x:row>
    <x:row r="210">
      <x:c r="A210" s="971" t="n">
        <x:f>'Raw Beta Prices'!A938</x:f>
        <x:v>45765</x:v>
      </x:c>
      <x:c r="B210" s="974" t="n">
        <x:f>'Raw Beta Prices'!E938</x:f>
        <x:v>45.76</x:v>
      </x:c>
      <x:c r="C210" s="977" t="n">
        <x:f>'Raw Beta Prices'!J938</x:f>
        <x:v>1219.12</x:v>
      </x:c>
      <x:c r="D210" s="980" t="n">
        <x:f>B210/B209-1</x:f>
        <x:v>0.057790106333795555</x:v>
      </x:c>
      <x:c r="E210" s="980" t="n">
        <x:f>C210/C209-1</x:f>
        <x:v>-0.002732195736465881</x:v>
      </x:c>
      <x:c r="F210" s="983" t="n">
        <x:f>B210/$B$17*100</x:f>
        <x:v>149.64028776978418</x:v>
      </x:c>
      <x:c r="G210" s="983" t="n">
        <x:f>C210/$C$17*100</x:f>
        <x:v>96.0822174759424</x:v>
      </x:c>
      <x:c r="H210" s="986" t="n">
        <x:f>938</x:f>
        <x:v>938</x:v>
      </x:c>
    </x:row>
    <x:row r="211">
      <x:c r="A211" s="971" t="n">
        <x:f>'Raw Beta Prices'!A943</x:f>
        <x:v>45772</x:v>
      </x:c>
      <x:c r="B211" s="974" t="n">
        <x:f>'Raw Beta Prices'!E943</x:f>
        <x:v>47.97</x:v>
      </x:c>
      <x:c r="C211" s="977" t="n">
        <x:f>'Raw Beta Prices'!J943</x:f>
        <x:v>1229.23</x:v>
      </x:c>
      <x:c r="D211" s="980" t="n">
        <x:f>B211/B210-1</x:f>
        <x:v>0.048295454545454586</x:v>
      </x:c>
      <x:c r="E211" s="980" t="n">
        <x:f>C211/C210-1</x:f>
        <x:v>0.008292866986022718</x:v>
      </x:c>
      <x:c r="F211" s="983" t="n">
        <x:f>B211/$B$17*100</x:f>
        <x:v>156.86723348593853</x:v>
      </x:c>
      <x:c r="G211" s="983" t="n">
        <x:f>C211/$C$17*100</x:f>
        <x:v>96.8790145251925</x:v>
      </x:c>
      <x:c r="H211" s="986" t="n">
        <x:f>943</x:f>
        <x:v>943</x:v>
      </x:c>
    </x:row>
    <x:row r="212">
      <x:c r="A212" s="971" t="n">
        <x:f>'Raw Beta Prices'!A945</x:f>
        <x:v>45776</x:v>
      </x:c>
      <x:c r="B212" s="974" t="n">
        <x:f>'Raw Beta Prices'!E945</x:f>
        <x:v>49.85</x:v>
      </x:c>
      <x:c r="C212" s="977" t="n">
        <x:f>'Raw Beta Prices'!J945</x:f>
        <x:v>1226.3</x:v>
      </x:c>
      <x:c r="D212" s="980" t="n">
        <x:f>B212/B211-1</x:f>
        <x:v>0.03919116114238075</x:v>
      </x:c>
      <x:c r="E212" s="980" t="n">
        <x:f>C212/C211-1</x:f>
        <x:v>-0.0023836059972504042</x:v>
      </x:c>
      <x:c r="F212" s="983" t="n">
        <x:f>B212/$B$17*100</x:f>
        <x:v>163.01504251144542</x:v>
      </x:c>
      <x:c r="G212" s="983" t="n">
        <x:f>C212/$C$17*100</x:f>
        <x:v>96.64809312516255</x:v>
      </x:c>
      <x:c r="H212" s="986" t="n">
        <x:f>945</x:f>
        <x:v>945</x:v>
      </x:c>
    </x:row>
    <x:row r="213">
      <x:c r="A213" s="971" t="n">
        <x:f>'Raw Beta Prices'!A950</x:f>
        <x:v>45786</x:v>
      </x:c>
      <x:c r="B213" s="974" t="n">
        <x:f>'Raw Beta Prices'!E950</x:f>
        <x:v>49.85</x:v>
      </x:c>
      <x:c r="C213" s="977" t="n">
        <x:f>'Raw Beta Prices'!J950</x:f>
        <x:v>1267.3</x:v>
      </x:c>
      <x:c r="D213" s="980" t="n">
        <x:f>B213/B212-1</x:f>
        <x:v>0</x:v>
      </x:c>
      <x:c r="E213" s="980" t="n">
        <x:f>C213/C212-1</x:f>
        <x:v>0.03343390687433745</x:v>
      </x:c>
      <x:c r="F213" s="983" t="n">
        <x:f>B213/$B$17*100</x:f>
        <x:v>163.01504251144542</x:v>
      </x:c>
      <x:c r="G213" s="983" t="n">
        <x:f>C213/$C$17*100</x:f>
        <x:v>99.87941647029153</x:v>
      </x:c>
      <x:c r="H213" s="986" t="n">
        <x:f>950</x:f>
        <x:v>950</x:v>
      </x:c>
    </x:row>
    <x:row r="214">
      <x:c r="A214" s="971" t="n">
        <x:f>'Raw Beta Prices'!A955</x:f>
        <x:v>45793</x:v>
      </x:c>
      <x:c r="B214" s="974" t="n">
        <x:f>'Raw Beta Prices'!E955</x:f>
        <x:v>50.69</x:v>
      </x:c>
      <x:c r="C214" s="977" t="n">
        <x:f>'Raw Beta Prices'!J955</x:f>
        <x:v>1301.39</x:v>
      </x:c>
      <x:c r="D214" s="980" t="n">
        <x:f>B214/B213-1</x:f>
        <x:v>0.01685055165496485</x:v>
      </x:c>
      <x:c r="E214" s="980" t="n">
        <x:f>C214/C213-1</x:f>
        <x:v>0.026899708040716508</x:v>
      </x:c>
      <x:c r="F214" s="983" t="n">
        <x:f>B214/$B$17*100</x:f>
        <x:v>165.7619359058208</x:v>
      </x:c>
      <x:c r="G214" s="983" t="n">
        <x:f>C214/$C$17*100</x:f>
        <x:v>102.56614361261951</x:v>
      </x:c>
      <x:c r="H214" s="986" t="n">
        <x:f>955</x:f>
        <x:v>955</x:v>
      </x:c>
    </x:row>
    <x:row r="215">
      <x:c r="A215" s="971" t="n">
        <x:f>'Raw Beta Prices'!A960</x:f>
        <x:v>45800</x:v>
      </x:c>
      <x:c r="B215" s="974" t="n">
        <x:f>'Raw Beta Prices'!E960</x:f>
        <x:v>50.13</x:v>
      </x:c>
      <x:c r="C215" s="977" t="n">
        <x:f>'Raw Beta Prices'!J960</x:f>
        <x:v>1314.46</x:v>
      </x:c>
      <x:c r="D215" s="980" t="n">
        <x:f>B215/B214-1</x:f>
        <x:v>-0.011047543894259104</x:v>
      </x:c>
      <x:c r="E215" s="980" t="n">
        <x:f>C215/C214-1</x:f>
        <x:v>0.010043107754016845</x:v>
      </x:c>
      <x:c r="F215" s="983" t="n">
        <x:f>B215/$B$17*100</x:f>
        <x:v>163.93067364290388</x:v>
      </x:c>
      <x:c r="G215" s="983" t="n">
        <x:f>C215/$C$17*100</x:f>
        <x:v>103.59622644483501</x:v>
      </x:c>
      <x:c r="H215" s="986" t="n">
        <x:f>960</x:f>
        <x:v>960</x:v>
      </x:c>
    </x:row>
    <x:row r="216">
      <x:c r="A216" s="971" t="n">
        <x:f>'Raw Beta Prices'!A965</x:f>
        <x:v>45807</x:v>
      </x:c>
      <x:c r="B216" s="974" t="n">
        <x:f>'Raw Beta Prices'!E965</x:f>
        <x:v>56.24</x:v>
      </x:c>
      <x:c r="C216" s="977" t="n">
        <x:f>'Raw Beta Prices'!J965</x:f>
        <x:v>1332.6</x:v>
      </x:c>
      <x:c r="D216" s="980" t="n">
        <x:f>B216/B215-1</x:f>
        <x:v>0.12188310392978252</x:v>
      </x:c>
      <x:c r="E216" s="980" t="n">
        <x:f>C216/C215-1</x:f>
        <x:v>0.013800343867443665</x:v>
      </x:c>
      <x:c r="F216" s="983" t="n">
        <x:f>B216/$B$17*100</x:f>
        <x:v>183.9110529758012</x:v>
      </x:c>
      <x:c r="G216" s="983" t="n">
        <x:f>C216/$C$17*100</x:f>
        <x:v>105.02588999314328</x:v>
      </x:c>
      <x:c r="H216" s="986" t="n">
        <x:f>965</x:f>
        <x:v>965</x:v>
      </x:c>
    </x:row>
    <x:row r="217">
      <x:c r="A217" s="971" t="n">
        <x:f>'Raw Beta Prices'!A970</x:f>
        <x:v>45814</x:v>
      </x:c>
      <x:c r="B217" s="974" t="n">
        <x:f>'Raw Beta Prices'!E970</x:f>
        <x:v>54.08</x:v>
      </x:c>
      <x:c r="C217" s="977" t="n">
        <x:f>'Raw Beta Prices'!J970</x:f>
        <x:v>1329.89</x:v>
      </x:c>
      <x:c r="D217" s="980" t="n">
        <x:f>B217/B216-1</x:f>
        <x:v>-0.038406827880512195</x:v>
      </x:c>
      <x:c r="E217" s="980" t="n">
        <x:f>C217/C216-1</x:f>
        <x:v>-0.0020336184901694754</x:v>
      </x:c>
      <x:c r="F217" s="983" t="n">
        <x:f>B217/$B$17*100</x:f>
        <x:v>176.84761281883584</x:v>
      </x:c>
      <x:c r="G217" s="983" t="n">
        <x:f>C217/$C$17*100</x:f>
        <x:v>104.81230740130674</x:v>
      </x:c>
      <x:c r="H217" s="986" t="n">
        <x:f>970</x:f>
        <x:v>970</x:v>
      </x:c>
    </x:row>
    <x:row r="218">
      <x:c r="A218" s="971" t="n">
        <x:f>'Raw Beta Prices'!A975</x:f>
        <x:v>45821</x:v>
      </x:c>
      <x:c r="B218" s="974" t="n">
        <x:f>'Raw Beta Prices'!E975</x:f>
        <x:v>52.29</x:v>
      </x:c>
      <x:c r="C218" s="977" t="n">
        <x:f>'Raw Beta Prices'!J975</x:f>
        <x:v>1315.49</x:v>
      </x:c>
      <x:c r="D218" s="980" t="n">
        <x:f>B218/B217-1</x:f>
        <x:v>-0.03309911242603547</x:v>
      </x:c>
      <x:c r="E218" s="980" t="n">
        <x:f>C218/C217-1</x:f>
        <x:v>-0.01082796321500279</x:v>
      </x:c>
      <x:c r="F218" s="983" t="n">
        <x:f>B218/$B$17*100</x:f>
        <x:v>170.99411379986918</x:v>
      </x:c>
      <x:c r="G218" s="983" t="n">
        <x:f>C218/$C$17*100</x:f>
        <x:v>103.67740359228581</x:v>
      </x:c>
      <x:c r="H218" s="986" t="n">
        <x:f>975</x:f>
        <x:v>975</x:v>
      </x:c>
    </x:row>
    <x:row r="219">
      <x:c r="A219" s="971" t="n">
        <x:f>'Raw Beta Prices'!A980</x:f>
        <x:v>45828</x:v>
      </x:c>
      <x:c r="B219" s="974" t="n">
        <x:f>'Raw Beta Prices'!E980</x:f>
        <x:v>52.57</x:v>
      </x:c>
      <x:c r="C219" s="977" t="n">
        <x:f>'Raw Beta Prices'!J980</x:f>
        <x:v>1349.35</x:v>
      </x:c>
      <x:c r="D219" s="980" t="n">
        <x:f>B219/B218-1</x:f>
        <x:v>0.0053547523427042165</x:v>
      </x:c>
      <x:c r="E219" s="980" t="n">
        <x:f>C219/C218-1</x:f>
        <x:v>0.025739458300709117</x:v>
      </x:c>
      <x:c r="F219" s="983" t="n">
        <x:f>B219/$B$17*100</x:f>
        <x:v>171.90974493132768</x:v>
      </x:c>
      <x:c r="G219" s="983" t="n">
        <x:f>C219/$C$17*100</x:f>
        <x:v>106.34600379877526</x:v>
      </x:c>
      <x:c r="H219" s="986" t="n">
        <x:f>980</x:f>
        <x:v>980</x:v>
      </x:c>
    </x:row>
    <x:row r="220">
      <x:c r="A220" s="971" t="n">
        <x:f>'Raw Beta Prices'!A985</x:f>
        <x:v>45835</x:v>
      </x:c>
      <x:c r="B220" s="974" t="n">
        <x:f>'Raw Beta Prices'!E985</x:f>
        <x:v>52.1</x:v>
      </x:c>
      <x:c r="C220" s="977" t="n">
        <x:f>'Raw Beta Prices'!J985</x:f>
        <x:v>1371.44</x:v>
      </x:c>
      <x:c r="D220" s="980" t="n">
        <x:f>B220/B219-1</x:f>
        <x:v>-0.00894046033859619</x:v>
      </x:c>
      <x:c r="E220" s="980" t="n">
        <x:f>C220/C219-1</x:f>
        <x:v>0.016370845221773456</x:v>
      </x:c>
      <x:c r="F220" s="983" t="n">
        <x:f>B220/$B$17*100</x:f>
        <x:v>170.37279267495094</x:v>
      </x:c>
      <x:c r="G220" s="983" t="n">
        <x:f>C220/$C$17*100</x:f>
        <x:v>108.08697776691913</x:v>
      </x:c>
      <x:c r="H220" s="986" t="n">
        <x:f>985</x:f>
        <x:v>985</x:v>
      </x:c>
    </x:row>
    <x:row r="221">
      <x:c r="A221" s="971" t="n">
        <x:f>'Raw Beta Prices'!A990</x:f>
        <x:v>45842</x:v>
      </x:c>
      <x:c r="B221" s="974" t="n">
        <x:f>'Raw Beta Prices'!E990</x:f>
        <x:v>56.9</x:v>
      </x:c>
      <x:c r="C221" s="977" t="n">
        <x:f>'Raw Beta Prices'!J990</x:f>
        <x:v>1386.97</x:v>
      </x:c>
      <x:c r="D221" s="980" t="n">
        <x:f>B221/B220-1</x:f>
        <x:v>0.09213051823416496</x:v>
      </x:c>
      <x:c r="E221" s="980" t="n">
        <x:f>C221/C220-1</x:f>
        <x:v>0.011323863967800163</x:v>
      </x:c>
      <x:c r="F221" s="983" t="n">
        <x:f>B221/$B$17*100</x:f>
        <x:v>186.06932635709614</x:v>
      </x:c>
      <x:c r="G221" s="983" t="n">
        <x:f>C221/$C$17*100</x:f>
        <x:v>109.31093999984239</x:v>
      </x:c>
      <x:c r="H221" s="986" t="n">
        <x:f>990</x:f>
        <x:v>990</x:v>
      </x:c>
    </x:row>
    <x:row r="222">
      <x:c r="A222" s="971" t="n">
        <x:f>'Raw Beta Prices'!A995</x:f>
        <x:v>45849</x:v>
      </x:c>
      <x:c r="B222" s="974" t="n">
        <x:f>'Raw Beta Prices'!E995</x:f>
        <x:v>58.5</x:v>
      </x:c>
      <x:c r="C222" s="977" t="n">
        <x:f>'Raw Beta Prices'!J995</x:f>
        <x:v>1457.76</x:v>
      </x:c>
      <x:c r="D222" s="980" t="n">
        <x:f>B222/B221-1</x:f>
        <x:v>0.02811950790861162</x:v>
      </x:c>
      <x:c r="E222" s="980" t="n">
        <x:f>C222/C221-1</x:f>
        <x:v>0.05103931591887356</x:v>
      </x:c>
      <x:c r="F222" s="983" t="n">
        <x:f>B222/$B$17*100</x:f>
        <x:v>191.30150425114454</x:v>
      </x:c>
      <x:c r="G222" s="983" t="n">
        <x:f>C222/$C$17*100</x:f>
        <x:v>114.89009559988337</x:v>
      </x:c>
      <x:c r="H222" s="986" t="n">
        <x:f>995</x:f>
        <x:v>995</x:v>
      </x:c>
    </x:row>
    <x:row r="223">
      <x:c r="A223" s="971" t="n">
        <x:f>'Raw Beta Prices'!A1000</x:f>
        <x:v>45856</x:v>
      </x:c>
      <x:c r="B223" s="974" t="n">
        <x:f>'Raw Beta Prices'!E1000</x:f>
        <x:v>55.59</x:v>
      </x:c>
      <x:c r="C223" s="977" t="n">
        <x:f>'Raw Beta Prices'!J1000</x:f>
        <x:v>1497.28</x:v>
      </x:c>
      <x:c r="D223" s="980" t="n">
        <x:f>B223/B222-1</x:f>
        <x:v>-0.04974358974358972</x:v>
      </x:c>
      <x:c r="E223" s="980" t="n">
        <x:f>C223/C222-1</x:f>
        <x:v>0.027110086708374448</x:v>
      </x:c>
      <x:c r="F223" s="983" t="n">
        <x:f>B223/$B$17*100</x:f>
        <x:v>181.78548070634403</x:v>
      </x:c>
      <x:c r="G223" s="983" t="n">
        <x:f>C223/$C$17*100</x:f>
        <x:v>118.00477605352964</x:v>
      </x:c>
      <x:c r="H223" s="986" t="n">
        <x:f>1000</x:f>
        <x:v>1000</x:v>
      </x:c>
    </x:row>
    <x:row r="224">
      <x:c r="A224" s="971" t="n">
        <x:f>'Raw Beta Prices'!A1005</x:f>
        <x:v>45863</x:v>
      </x:c>
      <x:c r="B224" s="974" t="n">
        <x:f>'Raw Beta Prices'!E1005</x:f>
        <x:v>56.75</x:v>
      </x:c>
      <x:c r="C224" s="977" t="n">
        <x:f>'Raw Beta Prices'!J1005</x:f>
        <x:v>1531.13</x:v>
      </x:c>
      <x:c r="D224" s="980" t="n">
        <x:f>B224/B223-1</x:f>
        <x:v>0.020867062421298765</x:v>
      </x:c>
      <x:c r="E224" s="980" t="n">
        <x:f>C224/C223-1</x:f>
        <x:v>0.02260766189356711</x:v>
      </x:c>
      <x:c r="F224" s="983" t="n">
        <x:f>B224/$B$17*100</x:f>
        <x:v>185.57880967952912</x:v>
      </x:c>
      <x:c r="G224" s="983" t="n">
        <x:f>C224/$C$17*100</x:f>
        <x:v>120.67258813237393</x:v>
      </x:c>
      <x:c r="H224" s="986" t="n">
        <x:f>1005</x:f>
        <x:v>1005</x:v>
      </x:c>
    </x:row>
    <x:row r="225">
      <x:c r="A225" s="971" t="n">
        <x:f>'Raw Beta Prices'!A1010</x:f>
        <x:v>45870</x:v>
      </x:c>
      <x:c r="B225" s="974" t="n">
        <x:f>'Raw Beta Prices'!E1010</x:f>
        <x:v>54.42</x:v>
      </x:c>
      <x:c r="C225" s="977" t="n">
        <x:f>'Raw Beta Prices'!J1010</x:f>
        <x:v>1495.21</x:v>
      </x:c>
      <x:c r="D225" s="980" t="n">
        <x:f>B225/B224-1</x:f>
        <x:v>-0.041057268722466955</x:v>
      </x:c>
      <x:c r="E225" s="980" t="n">
        <x:f>C225/C224-1</x:f>
        <x:v>-0.023459797665776327</x:v>
      </x:c>
      <x:c r="F225" s="983" t="n">
        <x:f>B225/$B$17*100</x:f>
        <x:v>177.95945062132114</x:v>
      </x:c>
      <x:c r="G225" s="983" t="n">
        <x:f>C225/$C$17*100</x:f>
        <x:v>117.84163363098288</x:v>
      </x:c>
      <x:c r="H225" s="986" t="n">
        <x:f>1010</x:f>
        <x:v>1010</x:v>
      </x:c>
    </x:row>
    <x:row r="226">
      <x:c r="A226" s="971" t="n">
        <x:f>'Raw Beta Prices'!A1015</x:f>
        <x:v>45877</x:v>
      </x:c>
      <x:c r="B226" s="974" t="n">
        <x:f>'Raw Beta Prices'!E1015</x:f>
        <x:v>57.34</x:v>
      </x:c>
      <x:c r="C226" s="977" t="n">
        <x:f>'Raw Beta Prices'!J1015</x:f>
        <x:v>1584.95</x:v>
      </x:c>
      <x:c r="D226" s="980" t="n">
        <x:f>B226/B225-1</x:f>
        <x:v>0.05365674384417507</x:v>
      </x:c>
      <x:c r="E226" s="980" t="n">
        <x:f>C226/C225-1</x:f>
        <x:v>0.06001832518509098</x:v>
      </x:c>
      <x:c r="F226" s="983" t="n">
        <x:f>B226/$B$17*100</x:f>
        <x:v>187.50817527795945</x:v>
      </x:c>
      <x:c r="G226" s="983" t="n">
        <x:f>C226/$C$17*100</x:f>
        <x:v>124.91429111858959</x:v>
      </x:c>
      <x:c r="H226" s="986" t="n">
        <x:f>1015</x:f>
        <x:v>1015</x:v>
      </x:c>
    </x:row>
    <x:row r="227">
      <x:c r="A227" s="971" t="n">
        <x:f>'Raw Beta Prices'!A1020</x:f>
        <x:v>45884</x:v>
      </x:c>
      <x:c r="B227" s="974" t="n">
        <x:f>'Raw Beta Prices'!E1020</x:f>
        <x:v>58.02</x:v>
      </x:c>
      <x:c r="C227" s="977" t="n">
        <x:f>'Raw Beta Prices'!J1020</x:f>
        <x:v>1630</x:v>
      </x:c>
      <x:c r="D227" s="980" t="n">
        <x:f>B227/B226-1</x:f>
        <x:v>0.01185908615277298</x:v>
      </x:c>
      <x:c r="E227" s="980" t="n">
        <x:f>C227/C226-1</x:f>
        <x:v>0.02842360957758916</x:v>
      </x:c>
      <x:c r="F227" s="983" t="n">
        <x:f>B227/$B$17*100</x:f>
        <x:v>189.73185088293002</x:v>
      </x:c>
      <x:c r="G227" s="983" t="n">
        <x:f>C227/$C$17*100</x:f>
        <x:v>128.46480616000568</x:v>
      </x:c>
      <x:c r="H227" s="986" t="n">
        <x:f>1020</x:f>
        <x:v>1020</x:v>
      </x:c>
    </x:row>
    <x:row r="228">
      <x:c r="A228" s="971" t="n">
        <x:f>'Raw Beta Prices'!A1025</x:f>
        <x:v>45891</x:v>
      </x:c>
      <x:c r="B228" s="974" t="n">
        <x:f>'Raw Beta Prices'!E1025</x:f>
        <x:v>59.96</x:v>
      </x:c>
      <x:c r="C228" s="977" t="n">
        <x:f>'Raw Beta Prices'!J1025</x:f>
        <x:v>1645.47</x:v>
      </x:c>
      <x:c r="D228" s="980" t="n">
        <x:f>B228/B227-1</x:f>
        <x:v>0.0334367459496725</x:v>
      </x:c>
      <x:c r="E228" s="980" t="n">
        <x:f>C228/C227-1</x:f>
        <x:v>0.009490797546012342</x:v>
      </x:c>
      <x:c r="F228" s="983" t="n">
        <x:f>B228/$B$17*100</x:f>
        <x:v>196.0758665794637</x:v>
      </x:c>
      <x:c r="G228" s="983" t="n">
        <x:f>C228/$C$17*100</x:f>
        <x:v>129.684039627058</x:v>
      </x:c>
      <x:c r="H228" s="986" t="n">
        <x:f>1025</x:f>
        <x:v>1025</x:v>
      </x:c>
    </x:row>
    <x:row r="229">
      <x:c r="A229" s="971" t="n">
        <x:f>'Raw Beta Prices'!A1030</x:f>
        <x:v>45898</x:v>
      </x:c>
      <x:c r="B229" s="974" t="n">
        <x:f>'Raw Beta Prices'!E1030</x:f>
        <x:v>67.15</x:v>
      </x:c>
      <x:c r="C229" s="977" t="n">
        <x:f>'Raw Beta Prices'!J1030</x:f>
        <x:v>1682.21</x:v>
      </x:c>
      <x:c r="D229" s="980" t="n">
        <x:f>B229/B228-1</x:f>
        <x:v>0.11991327551701136</x:v>
      </x:c>
      <x:c r="E229" s="980" t="n">
        <x:f>C229/C228-1</x:f>
        <x:v>0.022327967085391975</x:v>
      </x:c>
      <x:c r="F229" s="983" t="n">
        <x:f>B229/$B$17*100</x:f>
        <x:v>219.58796599084374</x:v>
      </x:c>
      <x:c r="G229" s="983" t="n">
        <x:f>C229/$C$17*100</x:f>
        <x:v>132.57962059535166</x:v>
      </x:c>
      <x:c r="H229" s="986" t="n">
        <x:f>1030</x:f>
        <x:v>1030</x:v>
      </x:c>
    </x:row>
    <x:row r="230">
      <x:c r="A230" s="971" t="n">
        <x:f>'Raw Beta Prices'!A1033</x:f>
        <x:v>45905</x:v>
      </x:c>
      <x:c r="B230" s="974" t="n">
        <x:f>'Raw Beta Prices'!E1033</x:f>
        <x:v>64.62</x:v>
      </x:c>
      <x:c r="C230" s="977" t="n">
        <x:f>'Raw Beta Prices'!J1033</x:f>
        <x:v>1666.97</x:v>
      </x:c>
      <x:c r="D230" s="980" t="n">
        <x:f>B230/B229-1</x:f>
        <x:v>-0.037676842889054374</x:v>
      </x:c>
      <x:c r="E230" s="980" t="n">
        <x:f>C230/C229-1</x:f>
        <x:v>-0.009059511000410136</x:v>
      </x:c>
      <x:c r="F230" s="983" t="n">
        <x:f>B230/$B$17*100</x:f>
        <x:v>211.31458469587966</x:v>
      </x:c>
      <x:c r="G230" s="983" t="n">
        <x:f>C230/$C$17*100</x:f>
        <x:v>131.37851406413782</x:v>
      </x:c>
      <x:c r="H230" s="986" t="n">
        <x:f>1033</x:f>
        <x:v>1033</x:v>
      </x:c>
    </x:row>
    <x:row r="231">
      <x:c r="A231" s="971" t="n">
        <x:f>'Raw Beta Prices'!A1038</x:f>
        <x:v>45912</x:v>
      </x:c>
      <x:c r="B231" s="974" t="n">
        <x:f>'Raw Beta Prices'!E1038</x:f>
        <x:v>67.25</x:v>
      </x:c>
      <x:c r="C231" s="977" t="n">
        <x:f>'Raw Beta Prices'!J1038</x:f>
        <x:v>1667.26</x:v>
      </x:c>
      <x:c r="D231" s="980" t="n">
        <x:f>B231/B230-1</x:f>
        <x:v>0.04069947384710604</x:v>
      </x:c>
      <x:c r="E231" s="980" t="n">
        <x:f>C231/C230-1</x:f>
        <x:v>0.00017396833776239795</x:v>
      </x:c>
      <x:c r="F231" s="983" t="n">
        <x:f>B231/$B$17*100</x:f>
        <x:v>219.91497710922175</x:v>
      </x:c>
      <x:c r="G231" s="983" t="n">
        <x:f>C231/$C$17*100</x:f>
        <x:v>131.40136976584728</x:v>
      </x:c>
      <x:c r="H231" s="986" t="n">
        <x:f>1038</x:f>
        <x:v>1038</x:v>
      </x:c>
    </x:row>
    <x:row r="232">
      <x:c r="A232" s="971" t="n">
        <x:f>'Raw Beta Prices'!A1043</x:f>
        <x:v>45919</x:v>
      </x:c>
      <x:c r="B232" s="974" t="n">
        <x:f>'Raw Beta Prices'!E1043</x:f>
        <x:v>70.84</x:v>
      </x:c>
      <x:c r="C232" s="977" t="n">
        <x:f>'Raw Beta Prices'!J1043</x:f>
        <x:v>1658.62</x:v>
      </x:c>
      <x:c r="D232" s="980" t="n">
        <x:f>B232/B231-1</x:f>
        <x:v>0.05338289962825282</x:v>
      </x:c>
      <x:c r="E232" s="980" t="n">
        <x:f>C232/C231-1</x:f>
        <x:v>-0.005182155152765655</x:v>
      </x:c>
      <x:c r="F232" s="983" t="n">
        <x:f>B232/$B$17*100</x:f>
        <x:v>231.65467625899282</x:v>
      </x:c>
      <x:c r="G232" s="983" t="n">
        <x:f>C232/$C$17*100</x:f>
        <x:v>130.72042748043472</x:v>
      </x:c>
      <x:c r="H232" s="986" t="n">
        <x:f>1043</x:f>
        <x:v>1043</x:v>
      </x:c>
    </x:row>
    <x:row r="233">
      <x:c r="A233" s="971" t="n">
        <x:f>'Raw Beta Prices'!A1048</x:f>
        <x:v>45926</x:v>
      </x:c>
      <x:c r="B233" s="974" t="n">
        <x:f>'Raw Beta Prices'!E1048</x:f>
        <x:v>68.03</x:v>
      </x:c>
      <x:c r="C233" s="977" t="n">
        <x:f>'Raw Beta Prices'!J1048</x:f>
        <x:v>1660.7</x:v>
      </x:c>
      <x:c r="D233" s="980" t="n">
        <x:f>B233/B232-1</x:f>
        <x:v>-0.03966685488424626</x:v>
      </x:c>
      <x:c r="E233" s="980" t="n">
        <x:f>C233/C232-1</x:f>
        <x:v>0.0012540545754906596</x:v>
      </x:c>
      <x:c r="F233" s="983" t="n">
        <x:f>B233/$B$17*100</x:f>
        <x:v>222.46566383257033</x:v>
      </x:c>
      <x:c r="G233" s="983" t="n">
        <x:f>C233/$C$17*100</x:f>
        <x:v>130.88435803062666</x:v>
      </x:c>
      <x:c r="H233" s="986" t="n">
        <x:f>1048</x:f>
        <x:v>1048</x:v>
      </x:c>
    </x:row>
    <x:row r="234">
      <x:c r="A234" s="971" t="n">
        <x:f>'Raw Beta Prices'!A1053</x:f>
        <x:v>45933</x:v>
      </x:c>
      <x:c r="B234" s="974" t="n">
        <x:f>'Raw Beta Prices'!E1053</x:f>
        <x:v>64.04</x:v>
      </x:c>
      <x:c r="C234" s="977" t="n">
        <x:f>'Raw Beta Prices'!J1053</x:f>
        <x:v>1645.82</x:v>
      </x:c>
      <x:c r="D234" s="980" t="n">
        <x:f>B234/B233-1</x:f>
        <x:v>-0.05865059532559158</x:v>
      </x:c>
      <x:c r="E234" s="980" t="n">
        <x:f>C234/C233-1</x:f>
        <x:v>-0.008960077075931938</x:v>
      </x:c>
      <x:c r="F234" s="983" t="n">
        <x:f>B234/$B$17*100</x:f>
        <x:v>209.41792020928713</x:v>
      </x:c>
      <x:c r="G234" s="983" t="n">
        <x:f>C234/$C$17*100</x:f>
        <x:v>129.71162409463835</x:v>
      </x:c>
      <x:c r="H234" s="986" t="n">
        <x:f>1053</x:f>
        <x:v>1053</x:v>
      </x:c>
    </x:row>
    <x:row r="235">
      <x:c r="A235" s="971" t="n">
        <x:f>'Raw Beta Prices'!A1058</x:f>
        <x:v>45940</x:v>
      </x:c>
      <x:c r="B235" s="974" t="n">
        <x:f>'Raw Beta Prices'!E1058</x:f>
        <x:v>66.57</x:v>
      </x:c>
      <x:c r="C235" s="977" t="n">
        <x:f>'Raw Beta Prices'!J1058</x:f>
        <x:v>1747.55</x:v>
      </x:c>
      <x:c r="D235" s="980" t="n">
        <x:f>B235/B234-1</x:f>
        <x:v>0.03950655840099926</x:v>
      </x:c>
      <x:c r="E235" s="980" t="n">
        <x:f>C235/C234-1</x:f>
        <x:v>0.06181113365981705</x:v>
      </x:c>
      <x:c r="F235" s="983" t="n">
        <x:f>B235/$B$17*100</x:f>
        <x:v>217.69130150425116</x:v>
      </x:c>
      <x:c r="G235" s="983" t="n">
        <x:f>C235/$C$17*100</x:f>
        <x:v>137.729246628784</x:v>
      </x:c>
      <x:c r="H235" s="986" t="n">
        <x:f>1058</x:f>
        <x:v>1058</x:v>
      </x:c>
    </x:row>
    <x:row r="236">
      <x:c r="A236" s="971" t="n">
        <x:f>'Raw Beta Prices'!A1063</x:f>
        <x:v>45947</x:v>
      </x:c>
      <x:c r="B236" s="974" t="n">
        <x:f>'Raw Beta Prices'!E1063</x:f>
        <x:v>66.08</x:v>
      </x:c>
      <x:c r="C236" s="977" t="n">
        <x:f>'Raw Beta Prices'!J1063</x:f>
        <x:v>1731.19</x:v>
      </x:c>
      <x:c r="D236" s="980" t="n">
        <x:f>B236/B235-1</x:f>
        <x:v>-0.007360672975814886</x:v>
      </x:c>
      <x:c r="E236" s="980" t="n">
        <x:f>C236/C235-1</x:f>
        <x:v>-0.009361677777459776</x:v>
      </x:c>
      <x:c r="F236" s="983" t="n">
        <x:f>B236/$B$17*100</x:f>
        <x:v>216.0889470241988</x:v>
      </x:c>
      <x:c r="G236" s="983" t="n">
        <x:f>C236/$C$17*100</x:f>
        <x:v>136.43986980131305</x:v>
      </x:c>
      <x:c r="H236" s="986" t="n">
        <x:f>1063</x:f>
        <x:v>1063</x:v>
      </x:c>
    </x:row>
    <x:row r="237">
      <x:c r="A237" s="971" t="n">
        <x:f>'Raw Beta Prices'!A1068</x:f>
        <x:v>45954</x:v>
      </x:c>
      <x:c r="B237" s="974" t="n">
        <x:f>'Raw Beta Prices'!E1068</x:f>
        <x:v>64.92</x:v>
      </x:c>
      <x:c r="C237" s="977" t="n">
        <x:f>'Raw Beta Prices'!J1068</x:f>
        <x:v>1683.18</x:v>
      </x:c>
      <x:c r="D237" s="980" t="n">
        <x:f>B237/B236-1</x:f>
        <x:v>-0.017554479418886104</x:v>
      </x:c>
      <x:c r="E237" s="980" t="n">
        <x:f>C237/C236-1</x:f>
        <x:v>-0.027732369064054185</x:v>
      </x:c>
      <x:c r="F237" s="983" t="n">
        <x:f>B237/$B$17*100</x:f>
        <x:v>212.29561805101375</x:v>
      </x:c>
      <x:c r="G237" s="983" t="n">
        <x:f>C237/$C$17*100</x:f>
        <x:v>132.65606897693152</x:v>
      </x:c>
      <x:c r="H237" s="986" t="n">
        <x:f>1068</x:f>
        <x:v>1068</x:v>
      </x:c>
    </x:row>
    <x:row r="238">
      <x:c r="A238" s="971" t="n">
        <x:f>'Raw Beta Prices'!A1073</x:f>
        <x:v>45961</x:v>
      </x:c>
      <x:c r="B238" s="974" t="n">
        <x:f>'Raw Beta Prices'!E1073</x:f>
        <x:v>66.18</x:v>
      </x:c>
      <x:c r="C238" s="977" t="n">
        <x:f>'Raw Beta Prices'!J1073</x:f>
        <x:v>1639.65</x:v>
      </x:c>
      <x:c r="D238" s="980" t="n">
        <x:f>B238/B237-1</x:f>
        <x:v>0.019408502772643388</x:v>
      </x:c>
      <x:c r="E238" s="980" t="n">
        <x:f>C238/C237-1</x:f>
        <x:v>-0.02586176166541898</x:v>
      </x:c>
      <x:c r="F238" s="983" t="n">
        <x:f>B238/$B$17*100</x:f>
        <x:v>216.4159581425769</x:v>
      </x:c>
      <x:c r="G238" s="983" t="n">
        <x:f>C238/$C$17*100</x:f>
        <x:v>129.22534933757873</x:v>
      </x:c>
      <x:c r="H238" s="986" t="n">
        <x:f>1073</x:f>
        <x:v>1073</x:v>
      </x:c>
    </x:row>
    <x:row r="239">
      <x:c r="A239" s="971" t="n">
        <x:f>'Raw Beta Prices'!A1078</x:f>
        <x:v>45968</x:v>
      </x:c>
      <x:c r="B239" s="974" t="n">
        <x:f>'Raw Beta Prices'!E1078</x:f>
        <x:v>61.61</x:v>
      </x:c>
      <x:c r="C239" s="977" t="n">
        <x:f>'Raw Beta Prices'!J1078</x:f>
        <x:v>1599.1</x:v>
      </x:c>
      <x:c r="D239" s="980" t="n">
        <x:f>B239/B238-1</x:f>
        <x:v>-0.06905409489271697</x:v>
      </x:c>
      <x:c r="E239" s="980" t="n">
        <x:f>C239/C238-1</x:f>
        <x:v>-0.02473088768944598</x:v>
      </x:c>
      <x:c r="F239" s="983" t="n">
        <x:f>B239/$B$17*100</x:f>
        <x:v>201.47155003270112</x:v>
      </x:c>
      <x:c r="G239" s="983" t="n">
        <x:f>C239/$C$17*100</x:f>
        <x:v>126.02949173648163</x:v>
      </x:c>
      <x:c r="H239" s="986" t="n">
        <x:f>1078</x:f>
        <x:v>1078</x:v>
      </x:c>
    </x:row>
    <x:row r="240">
      <x:c r="A240" s="971" t="n">
        <x:f>'Raw Beta Prices'!A1083</x:f>
        <x:v>45975</x:v>
      </x:c>
      <x:c r="B240" s="974" t="n">
        <x:f>'Raw Beta Prices'!E1083</x:f>
        <x:v>60.74</x:v>
      </x:c>
      <x:c r="C240" s="977" t="n">
        <x:f>'Raw Beta Prices'!J1083</x:f>
        <x:v>1635.46</x:v>
      </x:c>
      <x:c r="D240" s="980" t="n">
        <x:f>B240/B239-1</x:f>
        <x:v>-0.01412108423957148</x:v>
      </x:c>
      <x:c r="E240" s="980" t="n">
        <x:f>C240/C239-1</x:f>
        <x:v>0.022737790006879033</x:v>
      </x:c>
      <x:c r="F240" s="983" t="n">
        <x:f>B240/$B$17*100</x:f>
        <x:v>198.6265533028123</x:v>
      </x:c>
      <x:c r="G240" s="983" t="n">
        <x:f>C240/$C$17*100</x:f>
        <x:v>128.89512385425945</x:v>
      </x:c>
      <x:c r="H240" s="986" t="n">
        <x:f>1083</x:f>
        <x:v>1083</x:v>
      </x:c>
    </x:row>
    <x:row r="241">
      <x:c r="A241" s="971" t="n">
        <x:f>'Raw Beta Prices'!A1088</x:f>
        <x:v>45982</x:v>
      </x:c>
      <x:c r="B241" s="974" t="n">
        <x:f>'Raw Beta Prices'!E1088</x:f>
        <x:v>61.42</x:v>
      </x:c>
      <x:c r="C241" s="977" t="n">
        <x:f>'Raw Beta Prices'!J1088</x:f>
        <x:v>1654.93</x:v>
      </x:c>
      <x:c r="D241" s="980" t="n">
        <x:f>B241/B240-1</x:f>
        <x:v>0.011195258478762016</x:v>
      </x:c>
      <x:c r="E241" s="980" t="n">
        <x:f>C241/C240-1</x:f>
        <x:v>0.011904907487801708</x:v>
      </x:c>
      <x:c r="F241" s="983" t="n">
        <x:f>B241/$B$17*100</x:f>
        <x:v>200.85022890778288</x:v>
      </x:c>
      <x:c r="G241" s="983" t="n">
        <x:f>C241/$C$17*100</x:f>
        <x:v>130.42960837937315</x:v>
      </x:c>
      <x:c r="H241" s="986" t="n">
        <x:f>1088</x:f>
        <x:v>1088</x:v>
      </x:c>
    </x:row>
    <x:row r="242">
      <x:c r="A242" s="971" t="n">
        <x:f>'Raw Beta Prices'!A1093</x:f>
        <x:v>45989</x:v>
      </x:c>
      <x:c r="B242" s="974" t="n">
        <x:f>'Raw Beta Prices'!E1093</x:f>
        <x:v>62.2</x:v>
      </x:c>
      <x:c r="C242" s="977" t="n">
        <x:f>'Raw Beta Prices'!J1093</x:f>
        <x:v>1690.99</x:v>
      </x:c>
      <x:c r="D242" s="980" t="n">
        <x:f>B242/B241-1</x:f>
        <x:v>0.012699446434386141</x:v>
      </x:c>
      <x:c r="E242" s="980" t="n">
        <x:f>C242/C241-1</x:f>
        <x:v>0.021789441245249064</x:v>
      </x:c>
      <x:c r="F242" s="983" t="n">
        <x:f>B242/$B$17*100</x:f>
        <x:v>203.40091563113148</x:v>
      </x:c>
      <x:c r="G242" s="983" t="n">
        <x:f>C242/$C$17*100</x:f>
        <x:v>133.27159666779633</x:v>
      </x:c>
      <x:c r="H242" s="986" t="n">
        <x:f>1093</x:f>
        <x:v>1093</x:v>
      </x:c>
    </x:row>
    <x:row r="243">
      <x:c r="A243" s="971" t="n">
        <x:f>'Raw Beta Prices'!A1098</x:f>
        <x:v>45996</x:v>
      </x:c>
      <x:c r="B243" s="974" t="n">
        <x:f>'Raw Beta Prices'!E1098</x:f>
        <x:v>59.28</x:v>
      </x:c>
      <x:c r="C243" s="977" t="n">
        <x:f>'Raw Beta Prices'!J1098</x:f>
        <x:v>1741.32</x:v>
      </x:c>
      <x:c r="D243" s="980" t="n">
        <x:f>B243/B242-1</x:f>
        <x:v>-0.04694533762057884</x:v>
      </x:c>
      <x:c r="E243" s="980" t="n">
        <x:f>C243/C242-1</x:f>
        <x:v>0.02976362958976697</x:v>
      </x:c>
      <x:c r="F243" s="983" t="n">
        <x:f>B243/$B$17*100</x:f>
        <x:v>193.85219097449317</x:v>
      </x:c>
      <x:c r="G243" s="983" t="n">
        <x:f>C243/$C$17*100</x:f>
        <x:v>137.23824310585343</x:v>
      </x:c>
      <x:c r="H243" s="986" t="n">
        <x:f>1098</x:f>
        <x:v>1098</x:v>
      </x:c>
    </x:row>
    <x:row r="244">
      <x:c r="A244" s="971" t="n">
        <x:f>'Raw Beta Prices'!A1103</x:f>
        <x:v>46003</x:v>
      </x:c>
      <x:c r="B244" s="974" t="n">
        <x:f>'Raw Beta Prices'!E1103</x:f>
        <x:v>55.78</x:v>
      </x:c>
      <x:c r="C244" s="977" t="n">
        <x:f>'Raw Beta Prices'!J1103</x:f>
        <x:v>1646.89</x:v>
      </x:c>
      <x:c r="D244" s="980" t="n">
        <x:f>B244/B243-1</x:f>
        <x:v>-0.05904183535762486</x:v>
      </x:c>
      <x:c r="E244" s="980" t="n">
        <x:f>C244/C243-1</x:f>
        <x:v>-0.05422897571956897</x:v>
      </x:c>
      <x:c r="F244" s="983" t="n">
        <x:f>B244/$B$17*100</x:f>
        <x:v>182.40680183126227</x:v>
      </x:c>
      <x:c r="G244" s="983" t="n">
        <x:f>C244/$C$17*100</x:f>
        <x:v>129.7959537526698</x:v>
      </x:c>
      <x:c r="H244" s="986" t="n">
        <x:f>1103</x:f>
        <x:v>1103</x:v>
      </x:c>
    </x:row>
    <x:row r="245">
      <x:c r="A245" s="971" t="n">
        <x:f>'Raw Beta Prices'!A1108</x:f>
        <x:v>46010</x:v>
      </x:c>
      <x:c r="B245" s="974" t="n">
        <x:f>'Raw Beta Prices'!E1108</x:f>
        <x:v>57.82</x:v>
      </x:c>
      <x:c r="C245" s="977" t="n">
        <x:f>'Raw Beta Prices'!J1108</x:f>
        <x:v>1704.31</x:v>
      </x:c>
      <x:c r="D245" s="980" t="n">
        <x:f>B245/B244-1</x:f>
        <x:v>0.036572248117604955</x:v>
      </x:c>
      <x:c r="E245" s="980" t="n">
        <x:f>C245/C244-1</x:f>
        <x:v>0.034865716593093454</x:v>
      </x:c>
      <x:c r="F245" s="983" t="n">
        <x:f>B245/$B$17*100</x:f>
        <x:v>189.07782864617397</x:v>
      </x:c>
      <x:c r="G245" s="983" t="n">
        <x:f>C245/$C$17*100</x:f>
        <x:v>134.32138269114066</x:v>
      </x:c>
      <x:c r="H245" s="986" t="n">
        <x:f>1108</x:f>
        <x:v>1108</x:v>
      </x:c>
    </x:row>
    <x:row r="246">
      <x:c r="A246" s="971" t="n">
        <x:f>'Raw Beta Prices'!A1113</x:f>
        <x:v>46017</x:v>
      </x:c>
      <x:c r="B246" s="974" t="n">
        <x:f>'Raw Beta Prices'!E1113</x:f>
        <x:v>57.82</x:v>
      </x:c>
      <x:c r="C246" s="977" t="n">
        <x:f>'Raw Beta Prices'!J1113</x:f>
        <x:v>1729.8</x:v>
      </x:c>
      <x:c r="D246" s="980" t="n">
        <x:f>B246/B245-1</x:f>
        <x:v>0</x:v>
      </x:c>
      <x:c r="E246" s="980" t="n">
        <x:f>C246/C245-1</x:f>
        <x:v>0.014956199282994298</x:v>
      </x:c>
      <x:c r="F246" s="983" t="n">
        <x:f>B246/$B$17*100</x:f>
        <x:v>189.07782864617397</x:v>
      </x:c>
      <x:c r="G246" s="983" t="n">
        <x:f>C246/$C$17*100</x:f>
        <x:v>136.3303200586367</x:v>
      </x:c>
      <x:c r="H246" s="986" t="n">
        <x:f>1113</x:f>
        <x:v>1113</x:v>
      </x:c>
    </x:row>
    <x:row r="247">
      <x:c r="A247" s="971" t="n">
        <x:f>'Raw Beta Prices'!A1116</x:f>
        <x:v>46022</x:v>
      </x:c>
      <x:c r="B247" s="974" t="n">
        <x:f>'Raw Beta Prices'!E1116</x:f>
        <x:v>59.28</x:v>
      </x:c>
      <x:c r="C247" s="977" t="n">
        <x:f>'Raw Beta Prices'!J1116</x:f>
        <x:v>1784.49</x:v>
      </x:c>
      <x:c r="D247" s="980" t="n">
        <x:f>B247/B246-1</x:f>
        <x:v>0.025250778277412733</x:v>
      </x:c>
      <x:c r="E247" s="980" t="n">
        <x:f>C247/C246-1</x:f>
        <x:v>0.0316163718348943</x:v>
      </x:c>
      <x:c r="F247" s="983" t="n">
        <x:f>B247/$B$17*100</x:f>
        <x:v>193.85219097449317</x:v>
      </x:c>
      <x:c r="G247" s="983" t="n">
        <x:f>C247/$C$17*100</x:f>
        <x:v>140.64059014998068</x:v>
      </x:c>
      <x:c r="H247" s="986" t="n">
        <x:f>1116</x:f>
        <x:v>1116</x:v>
      </x:c>
    </x:row>
    <x:row r="248">
      <x:c r="A248" s="971" t="n">
        <x:f>'Raw Beta Prices'!A1121</x:f>
        <x:v>46031</x:v>
      </x:c>
      <x:c r="B248" s="974" t="n">
        <x:f>'Raw Beta Prices'!E1121</x:f>
        <x:v>60.25</x:v>
      </x:c>
      <x:c r="C248" s="977" t="n">
        <x:f>'Raw Beta Prices'!J1121</x:f>
        <x:v>1867.9</x:v>
      </x:c>
      <x:c r="D248" s="980" t="n">
        <x:f>B248/B247-1</x:f>
        <x:v>0.01636302294197023</x:v>
      </x:c>
      <x:c r="E248" s="980" t="n">
        <x:f>C248/C247-1</x:f>
        <x:v>0.04674164607254738</x:v>
      </x:c>
      <x:c r="F248" s="983" t="n">
        <x:f>B248/$B$17*100</x:f>
        <x:v>197.02419882275998</x:v>
      </x:c>
      <x:c r="G248" s="983" t="n">
        <x:f>C248/$C$17*100</x:f>
        <x:v>147.2143628382053</x:v>
      </x:c>
      <x:c r="H248" s="986" t="n">
        <x:f>1121</x:f>
        <x:v>1121</x:v>
      </x:c>
    </x:row>
    <x:row r="249">
      <x:c r="A249" s="971" t="n">
        <x:f>'Raw Beta Prices'!A1126</x:f>
        <x:v>46038</x:v>
      </x:c>
      <x:c r="B249" s="974" t="n">
        <x:f>'Raw Beta Prices'!E1126</x:f>
        <x:v>62.1</x:v>
      </x:c>
      <x:c r="C249" s="977" t="n">
        <x:f>'Raw Beta Prices'!J1126</x:f>
        <x:v>1879.13</x:v>
      </x:c>
      <x:c r="D249" s="980" t="n">
        <x:f>B249/B248-1</x:f>
        <x:v>0.030705394190871482</x:v>
      </x:c>
      <x:c r="E249" s="980" t="n">
        <x:f>C249/C248-1</x:f>
        <x:v>0.006012099148776651</x:v>
      </x:c>
      <x:c r="F249" s="983" t="n">
        <x:f>B249/$B$17*100</x:f>
        <x:v>203.07390451275347</x:v>
      </x:c>
      <x:c r="G249" s="983" t="n">
        <x:f>C249/$C$17*100</x:f>
        <x:v>148.09943018371257</x:v>
      </x:c>
      <x:c r="H249" s="986" t="n">
        <x:f>1126</x:f>
        <x:v>1126</x:v>
      </x:c>
    </x:row>
    <x:row r="250">
      <x:c r="A250" s="971" t="n">
        <x:f>'Raw Beta Prices'!A1131</x:f>
        <x:v>46045</x:v>
      </x:c>
      <x:c r="B250" s="974" t="n">
        <x:f>'Raw Beta Prices'!E1131</x:f>
        <x:v>66.57</x:v>
      </x:c>
      <x:c r="C250" s="977" t="n">
        <x:f>'Raw Beta Prices'!J1131</x:f>
        <x:v>1870.79</x:v>
      </x:c>
      <x:c r="D250" s="980" t="n">
        <x:f>B250/B249-1</x:f>
        <x:v>0.07198067632850225</x:v>
      </x:c>
      <x:c r="E250" s="980" t="n">
        <x:f>C250/C249-1</x:f>
        <x:v>-0.004438224071777963</x:v>
      </x:c>
      <x:c r="F250" s="983" t="n">
        <x:f>B250/$B$17*100</x:f>
        <x:v>217.69130150425116</x:v>
      </x:c>
      <x:c r="G250" s="983" t="n">
        <x:f>C250/$C$17*100</x:f>
        <x:v>147.4421317276546</x:v>
      </x:c>
      <x:c r="H250" s="986" t="n">
        <x:f>1131</x:f>
        <x:v>1131</x:v>
      </x:c>
    </x:row>
    <x:row r="251">
      <x:c r="A251" s="971" t="n">
        <x:f>'Raw Beta Prices'!A1136</x:f>
        <x:v>46052</x:v>
      </x:c>
      <x:c r="B251" s="974" t="n">
        <x:f>'Raw Beta Prices'!E1136</x:f>
        <x:v>66.57</x:v>
      </x:c>
      <x:c r="C251" s="977" t="n">
        <x:f>'Raw Beta Prices'!J1136</x:f>
        <x:v>1829.04</x:v>
      </x:c>
      <x:c r="D251" s="980" t="n">
        <x:f>B251/B250-1</x:f>
        <x:v>0</x:v>
      </x:c>
      <x:c r="E251" s="980" t="n">
        <x:f>C251/C250-1</x:f>
        <x:v>-0.022316775266064015</x:v>
      </x:c>
      <x:c r="F251" s="983" t="n">
        <x:f>B251/$B$17*100</x:f>
        <x:v>217.69130150425116</x:v>
      </x:c>
      <x:c r="G251" s="983" t="n">
        <x:f>C251/$C$17*100</x:f>
        <x:v>144.15169880913913</x:v>
      </x:c>
      <x:c r="H251" s="986" t="n">
        <x:f>1136</x:f>
        <x:v>1136</x:v>
      </x:c>
    </x:row>
    <x:row r="252">
      <x:c r="A252" s="971" t="n">
        <x:f>'Raw Beta Prices'!A1141</x:f>
        <x:v>46059</x:v>
      </x:c>
      <x:c r="B252" s="974" t="n">
        <x:f>'Raw Beta Prices'!E1141</x:f>
        <x:v>69.48</x:v>
      </x:c>
      <x:c r="C252" s="977" t="n">
        <x:f>'Raw Beta Prices'!J1141</x:f>
        <x:v>1755.49</x:v>
      </x:c>
      <x:c r="D252" s="980" t="n">
        <x:f>B252/B251-1</x:f>
        <x:v>0.04371338440739092</x:v>
      </x:c>
      <x:c r="E252" s="980" t="n">
        <x:f>C252/C251-1</x:f>
        <x:v>-0.040212351834842286</x:v>
      </x:c>
      <x:c r="F252" s="983" t="n">
        <x:f>B252/$B$17*100</x:f>
        <x:v>227.2073250490517</x:v>
      </x:c>
      <x:c r="G252" s="983" t="n">
        <x:f>C252/$C$17*100</x:f>
        <x:v>138.3550199790358</x:v>
      </x:c>
      <x:c r="H252" s="986" t="n">
        <x:f>1141</x:f>
        <x:v>1141</x:v>
      </x:c>
    </x:row>
    <x:row r="253">
      <x:c r="A253" s="971" t="n">
        <x:f>'Raw Beta Prices'!A1146</x:f>
        <x:v>46066</x:v>
      </x:c>
      <x:c r="B253" s="974" t="n">
        <x:f>'Raw Beta Prices'!E1146</x:f>
        <x:v>72.89</x:v>
      </x:c>
      <x:c r="C253" s="977" t="n">
        <x:f>'Raw Beta Prices'!J1146</x:f>
        <x:v>1824.09</x:v>
      </x:c>
      <x:c r="D253" s="980" t="n">
        <x:f>B253/B252-1</x:f>
        <x:v>0.04907887161773172</x:v>
      </x:c>
      <x:c r="E253" s="980" t="n">
        <x:f>C253/C252-1</x:f>
        <x:v>0.03907740858677622</x:v>
      </x:c>
      <x:c r="F253" s="983" t="n">
        <x:f>B253/$B$17*100</x:f>
        <x:v>238.35840418574233</x:v>
      </x:c>
      <x:c r="G253" s="983" t="n">
        <x:f>C253/$C$17*100</x:f>
        <x:v>143.7615756247882</x:v>
      </x:c>
      <x:c r="H253" s="986" t="n">
        <x:f>1146</x:f>
        <x:v>1146</x:v>
      </x:c>
    </x:row>
    <x:row r="254">
      <x:c r="A254" s="971" t="n">
        <x:f>'Raw Beta Prices'!A1151</x:f>
        <x:v>46080</x:v>
      </x:c>
      <x:c r="B254" s="974" t="n">
        <x:f>'Raw Beta Prices'!E1151</x:f>
        <x:v>82.02</x:v>
      </x:c>
      <x:c r="C254" s="977" t="n">
        <x:f>'Raw Beta Prices'!J1151</x:f>
        <x:v>1880.33</x:v>
      </x:c>
      <x:c r="D254" s="980" t="n">
        <x:f>B254/B253-1</x:f>
        <x:v>0.12525723693236368</x:v>
      </x:c>
      <x:c r="E254" s="980" t="n">
        <x:f>C254/C253-1</x:f>
        <x:v>0.03083181202681895</x:v>
      </x:c>
      <x:c r="F254" s="983" t="n">
        <x:f>B254/$B$17*100</x:f>
        <x:v>268.214519293656</x:v>
      </x:c>
      <x:c r="G254" s="983" t="n">
        <x:f>C254/$C$17*100</x:f>
        <x:v>148.194005501131</x:v>
      </x:c>
      <x:c r="H254" s="986" t="n">
        <x:f>1151</x:f>
        <x:v>1151</x:v>
      </x:c>
    </x:row>
    <x:row r="255">
      <x:c r="A255" s="971" t="n">
        <x:f>'Raw Beta Prices'!A1156</x:f>
        <x:v>46087</x:v>
      </x:c>
      <x:c r="B255" s="974" t="n">
        <x:f>'Raw Beta Prices'!E1156</x:f>
        <x:v>75.8</x:v>
      </x:c>
      <x:c r="C255" s="977" t="n">
        <x:f>'Raw Beta Prices'!J1156</x:f>
        <x:v>1767.84</x:v>
      </x:c>
      <x:c r="D255" s="980" t="n">
        <x:f>B255/B254-1</x:f>
        <x:v>-0.07583516215557184</x:v>
      </x:c>
      <x:c r="E255" s="980" t="n">
        <x:f>C255/C254-1</x:f>
        <x:v>-0.05982460525546052</x:v>
      </x:c>
      <x:c r="F255" s="983" t="n">
        <x:f>B255/$B$17*100</x:f>
        <x:v>247.87442773054283</x:v>
      </x:c>
      <x:c r="G255" s="983" t="n">
        <x:f>C255/$C$17*100</x:f>
        <x:v>139.32835762080026</x:v>
      </x:c>
      <x:c r="H255" s="986" t="n">
        <x:f>1156</x:f>
        <x:v>1156</x:v>
      </x:c>
    </x:row>
    <x:row r="256">
      <x:c r="A256" s="971" t="n">
        <x:f>'Raw Beta Prices'!A1161</x:f>
        <x:v>46094</x:v>
      </x:c>
      <x:c r="B256" s="974" t="n">
        <x:f>'Raw Beta Prices'!E1161</x:f>
        <x:v>73.76</x:v>
      </x:c>
      <x:c r="C256" s="977" t="n">
        <x:f>'Raw Beta Prices'!J1161</x:f>
        <x:v>1696.24</x:v>
      </x:c>
      <x:c r="D256" s="980" t="n">
        <x:f>B256/B255-1</x:f>
        <x:v>-0.026912928759894372</x:v>
      </x:c>
      <x:c r="E256" s="980" t="n">
        <x:f>C256/C255-1</x:f>
        <x:v>-0.04050140284188608</x:v>
      </x:c>
      <x:c r="F256" s="983" t="n">
        <x:f>B256/$B$17*100</x:f>
        <x:v>241.20340091563116</x:v>
      </x:c>
      <x:c r="G256" s="983" t="n">
        <x:f>C256/$C$17*100</x:f>
        <x:v>133.68536368150185</x:v>
      </x:c>
      <x:c r="H256" s="986" t="n">
        <x:f>1161</x:f>
        <x:v>1161</x:v>
      </x:c>
    </x:row>
    <x:row r="257">
      <x:c r="A257" s="971" t="n">
        <x:f>'Raw Beta Prices'!A1166</x:f>
        <x:v>46101</x:v>
      </x:c>
      <x:c r="B257" s="974" t="n">
        <x:f>'Raw Beta Prices'!E1166</x:f>
        <x:v>75.02</x:v>
      </x:c>
      <x:c r="C257" s="977" t="n">
        <x:f>'Raw Beta Prices'!J1166</x:f>
        <x:v>1647.81</x:v>
      </x:c>
      <x:c r="D257" s="980" t="n">
        <x:f>B257/B256-1</x:f>
        <x:v>0.017082429501084517</x:v>
      </x:c>
      <x:c r="E257" s="980" t="n">
        <x:f>C257/C256-1</x:f>
        <x:v>-0.02855138423807957</x:v>
      </x:c>
      <x:c r="F257" s="983" t="n">
        <x:f>B257/$B$17*100</x:f>
        <x:v>245.32374100719423</x:v>
      </x:c>
      <x:c r="G257" s="983" t="n">
        <x:f>C257/$C$17*100</x:f>
        <x:v>129.86846149602388</x:v>
      </x:c>
      <x:c r="H257" s="986" t="n">
        <x:f>1166</x:f>
        <x:v>1166</x:v>
      </x:c>
    </x:row>
    <x:row r="258">
      <x:c r="A258" s="971" t="n">
        <x:f>'Raw Beta Prices'!A1171</x:f>
        <x:v>46108</x:v>
      </x:c>
      <x:c r="B258" s="974" t="n">
        <x:f>'Raw Beta Prices'!E1171</x:f>
        <x:v>76.29</x:v>
      </x:c>
      <x:c r="C258" s="977" t="n">
        <x:f>'Raw Beta Prices'!J1171</x:f>
        <x:v>1672.8</x:v>
      </x:c>
      <x:c r="D258" s="980" t="n">
        <x:f>B258/B257-1</x:f>
        <x:v>0.01692881898160503</x:v>
      </x:c>
      <x:c r="E258" s="980" t="n">
        <x:f>C258/C257-1</x:f>
        <x:v>0.015165583410708727</x:v>
      </x:c>
      <x:c r="F258" s="983" t="n">
        <x:f>B258/$B$17*100</x:f>
        <x:v>249.47678221059522</x:v>
      </x:c>
      <x:c r="G258" s="983" t="n">
        <x:f>C258/$C$17*100</x:f>
        <x:v>131.83799248126226</x:v>
      </x:c>
      <x:c r="H258" s="986" t="n">
        <x:f>1171</x:f>
        <x:v>1171</x:v>
      </x:c>
    </x:row>
    <x:row r="259">
      <x:c r="A259" s="971" t="n">
        <x:f>'Raw Beta Prices'!A1176</x:f>
        <x:v>46115</x:v>
      </x:c>
      <x:c r="B259" s="974" t="n">
        <x:f>'Raw Beta Prices'!E1176</x:f>
        <x:v>68.71</x:v>
      </x:c>
      <x:c r="C259" s="977" t="n">
        <x:f>'Raw Beta Prices'!J1176</x:f>
        <x:v>1684.04</x:v>
      </x:c>
      <x:c r="D259" s="980" t="n">
        <x:f>B259/B258-1</x:f>
        <x:v>-0.09935771398610582</x:v>
      </x:c>
      <x:c r="E259" s="980" t="n">
        <x:f>C259/C258-1</x:f>
        <x:v>0.006719273075083798</x:v>
      </x:c>
      <x:c r="F259" s="983" t="n">
        <x:f>B259/$B$17*100</x:f>
        <x:v>224.68933943754087</x:v>
      </x:c>
      <x:c r="G259" s="983" t="n">
        <x:f>C259/$C$17*100</x:f>
        <x:v>132.7238479544147</x:v>
      </x:c>
      <x:c r="H259" s="986" t="n">
        <x:f>1176</x:f>
        <x:v>1176</x:v>
      </x:c>
    </x:row>
    <x:row r="260">
      <x:c r="A260" s="971" t="n">
        <x:f>'Raw Beta Prices'!A1181</x:f>
        <x:v>46122</x:v>
      </x:c>
      <x:c r="B260" s="974" t="n">
        <x:f>'Raw Beta Prices'!E1181</x:f>
        <x:v>70.55</x:v>
      </x:c>
      <x:c r="C260" s="977" t="n">
        <x:f>'Raw Beta Prices'!J1181</x:f>
        <x:v>1750</x:v>
      </x:c>
      <x:c r="D260" s="980" t="n">
        <x:f>B260/B259-1</x:f>
        <x:v>0.026779216998981337</x:v>
      </x:c>
      <x:c r="E260" s="980" t="n">
        <x:f>C260/C259-1</x:f>
        <x:v>0.0391677157312178</x:v>
      </x:c>
      <x:c r="F260" s="983" t="n">
        <x:f>B260/$B$17*100</x:f>
        <x:v>230.70634401569654</x:v>
      </x:c>
      <x:c r="G260" s="983" t="n">
        <x:f>C260/$C$17*100</x:f>
        <x:v>137.9223379018466</x:v>
      </x:c>
      <x:c r="H260" s="986" t="n">
        <x:f>1181</x:f>
        <x:v>1181</x:v>
      </x:c>
    </x:row>
    <x:row r="261">
      <x:c r="A261" s="971" t="n">
        <x:f>'Raw Beta Prices'!A1186</x:f>
        <x:v>46129</x:v>
      </x:c>
      <x:c r="B261" s="974" t="n">
        <x:f>'Raw Beta Prices'!E1186</x:f>
        <x:v>72.5</x:v>
      </x:c>
      <x:c r="C261" s="977" t="n">
        <x:f>'Raw Beta Prices'!J1186</x:f>
        <x:v>1817.17</x:v>
      </x:c>
      <x:c r="D261" s="980" t="n">
        <x:f>B261/B260-1</x:f>
        <x:v>0.027639971651311157</x:v>
      </x:c>
      <x:c r="E261" s="980" t="n">
        <x:f>C261/C260-1</x:f>
        <x:v>0.038382857142857274</x:v>
      </x:c>
      <x:c r="F261" s="983" t="n">
        <x:f>B261/$B$17*100</x:f>
        <x:v>237.083060824068</x:v>
      </x:c>
      <x:c r="G261" s="983" t="n">
        <x:f>C261/$C$17*100</x:f>
        <x:v>143.21619129434205</x:v>
      </x:c>
      <x:c r="H261" s="986" t="n">
        <x:f>1186</x:f>
        <x:v>1186</x:v>
      </x:c>
    </x:row>
    <x:row r="262">
      <x:c r="A262" s="971" t="n">
        <x:f>'Raw Beta Prices'!A1191</x:f>
        <x:v>46136</x:v>
      </x:c>
      <x:c r="B262" s="974" t="n">
        <x:f>'Raw Beta Prices'!E1191</x:f>
        <x:v>72.89</x:v>
      </x:c>
      <x:c r="C262" s="977" t="n">
        <x:f>'Raw Beta Prices'!J1191</x:f>
        <x:v>1853.29</x:v>
      </x:c>
      <x:c r="D262" s="980" t="n">
        <x:f>B262/B261-1</x:f>
        <x:v>0.005379310344827637</x:v>
      </x:c>
      <x:c r="E262" s="980" t="n">
        <x:f>C262/C261-1</x:f>
        <x:v>0.01987706158477187</x:v>
      </x:c>
      <x:c r="F262" s="983" t="n">
        <x:f>B262/$B$17*100</x:f>
        <x:v>238.35840418574233</x:v>
      </x:c>
      <x:c r="G262" s="983" t="n">
        <x:f>C262/$C$17*100</x:f>
        <x:v>146.06290834863614</x:v>
      </x:c>
      <x:c r="H262" s="986" t="n">
        <x:f>1191</x:f>
        <x:v>1191</x:v>
      </x:c>
    </x:row>
    <x:row r="263">
      <x:c r="A263" s="971" t="n">
        <x:f>'Raw Beta Prices'!A1193</x:f>
        <x:v>46141</x:v>
      </x:c>
      <x:c r="B263" s="974" t="n">
        <x:f>'Raw Beta Prices'!E1193</x:f>
        <x:v>73.18</x:v>
      </x:c>
      <x:c r="C263" s="977" t="n">
        <x:f>'Raw Beta Prices'!J1193</x:f>
        <x:v>1854.1</x:v>
      </x:c>
      <x:c r="D263" s="980" t="n">
        <x:f>B263/B262-1</x:f>
        <x:v>0.00397859788722732</x:v>
      </x:c>
      <x:c r="E263" s="980" t="n">
        <x:f>C263/C262-1</x:f>
        <x:v>0.0004370605787544779</x:v>
      </x:c>
      <x:c r="F263" s="983" t="n">
        <x:f>B263/$B$17*100</x:f>
        <x:v>239.3067364290386</x:v>
      </x:c>
      <x:c r="G263" s="983" t="n">
        <x:f>C263/$C$17*100</x:f>
        <x:v>146.1267466878936</x:v>
      </x:c>
      <x:c r="H263" s="986" t="n">
        <x:f>1193</x:f>
        <x:v>1193</x:v>
      </x:c>
    </x:row>
    <x:row r="264">
      <x:c r="A264" s="971" t="n">
        <x:f>'Raw Beta Prices'!A1198</x:f>
        <x:v>46150</x:v>
      </x:c>
      <x:c r="B264" s="974" t="n">
        <x:f>'Raw Beta Prices'!E1198</x:f>
        <x:v>78.42</x:v>
      </x:c>
      <x:c r="C264" s="977" t="n">
        <x:f>'Raw Beta Prices'!J1198</x:f>
        <x:v>1915.37</x:v>
      </x:c>
      <x:c r="D264" s="980" t="n">
        <x:f>B264/B263-1</x:f>
        <x:v>0.07160426345996163</x:v>
      </x:c>
      <x:c r="E264" s="980" t="n">
        <x:f>C264/C263-1</x:f>
        <x:v>0.03304568254139473</x:v>
      </x:c>
      <x:c r="F264" s="983" t="n">
        <x:f>B264/$B$17*100</x:f>
        <x:v>256.4421190320471</x:v>
      </x:c>
      <x:c r="G264" s="983" t="n">
        <x:f>C264/$C$17*100</x:f>
        <x:v>150.95560476974853</x:v>
      </x:c>
      <x:c r="H264" s="986" t="n">
        <x:f>1198</x:f>
        <x:v>1198</x:v>
      </x:c>
    </x:row>
    <x:row r="265">
      <x:c r="A265" s="971" t="n">
        <x:f>'Raw Beta Prices'!A1203</x:f>
        <x:v>46157</x:v>
      </x:c>
      <x:c r="B265" s="974" t="n">
        <x:f>'Raw Beta Prices'!E1203</x:f>
        <x:v>77.65</x:v>
      </x:c>
      <x:c r="C265" s="977" t="n">
        <x:f>'Raw Beta Prices'!J1203</x:f>
        <x:v>1921.6</x:v>
      </x:c>
      <x:c r="D265" s="980" t="n">
        <x:f>B265/B264-1</x:f>
        <x:v>-0.009818923743942776</x:v>
      </x:c>
      <x:c r="E265" s="980" t="n">
        <x:f>C265/C264-1</x:f>
        <x:v>0.003252635261072223</x:v>
      </x:c>
      <x:c r="F265" s="983" t="n">
        <x:f>B265/$B$17*100</x:f>
        <x:v>253.92413342053635</x:v>
      </x:c>
      <x:c r="G265" s="983" t="n">
        <x:f>C265/$C$17*100</x:f>
        <x:v>151.4466082926791</x:v>
      </x:c>
      <x:c r="H265" s="986" t="n">
        <x:f>1203</x:f>
        <x:v>1203</x:v>
      </x:c>
    </x:row>
    <x:row r="266">
      <x:c r="A266" s="971" t="n">
        <x:f>'Raw Beta Prices'!A1208</x:f>
        <x:v>46164</x:v>
      </x:c>
      <x:c r="B266" s="974" t="n">
        <x:f>'Raw Beta Prices'!E1208</x:f>
        <x:v>73.6</x:v>
      </x:c>
      <x:c r="C266" s="977" t="n">
        <x:f>'Raw Beta Prices'!J1208</x:f>
        <x:v>1877.13</x:v>
      </x:c>
      <x:c r="D266" s="980" t="n">
        <x:f>B266/B265-1</x:f>
        <x:v>-0.0521571152607857</x:v>
      </x:c>
      <x:c r="E266" s="980" t="n">
        <x:f>C266/C265-1</x:f>
        <x:v>-0.02314217318900902</x:v>
      </x:c>
      <x:c r="F266" s="983" t="n">
        <x:f>B266/$B$17*100</x:f>
        <x:v>240.68018312622627</x:v>
      </x:c>
      <x:c r="G266" s="983" t="n">
        <x:f>C266/$C$17*100</x:f>
        <x:v>147.9418046546819</x:v>
      </x:c>
      <x:c r="H266" s="986" t="n">
        <x:f>1208</x:f>
        <x:v>1208</x:v>
      </x:c>
    </x:row>
    <x:row r="267">
      <x:c r="A267" s="971" t="n">
        <x:f>'Raw Beta Prices'!A1213</x:f>
        <x:v>46171</x:v>
      </x:c>
      <x:c r="B267" s="974" t="n">
        <x:f>'Raw Beta Prices'!E1213</x:f>
        <x:v>72.3</x:v>
      </x:c>
      <x:c r="C267" s="977" t="n">
        <x:f>'Raw Beta Prices'!J1213</x:f>
        <x:v>1863.49</x:v>
      </x:c>
      <x:c r="D267" s="980" t="n">
        <x:f>B267/B266-1</x:f>
        <x:v>-0.017663043478260865</x:v>
      </x:c>
      <x:c r="E267" s="980" t="n">
        <x:f>C267/C266-1</x:f>
        <x:v>-0.007266412022609026</x:v>
      </x:c>
      <x:c r="F267" s="983" t="n">
        <x:f>B267/$B$17*100</x:f>
        <x:v>236.42903858731196</x:v>
      </x:c>
      <x:c r="G267" s="983" t="n">
        <x:f>C267/$C$17*100</x:f>
        <x:v>146.86679854669262</x:v>
      </x:c>
      <x:c r="H267" s="986" t="n">
        <x:f>1213</x:f>
        <x:v>1213</x:v>
      </x:c>
    </x:row>
    <x:row r="268">
      <x:c r="A268" s="971" t="n">
        <x:f>'Raw Beta Prices'!A1218</x:f>
        <x:v>46178</x:v>
      </x:c>
      <x:c r="B268" s="974" t="n">
        <x:f>'Raw Beta Prices'!E1218</x:f>
        <x:v>76.2</x:v>
      </x:c>
      <x:c r="C268" s="977" t="n">
        <x:f>'Raw Beta Prices'!J1218</x:f>
        <x:v>1838.9</x:v>
      </x:c>
      <x:c r="D268" s="980" t="n">
        <x:f>B268/B267-1</x:f>
        <x:v>0.053941908713692976</x:v>
      </x:c>
      <x:c r="E268" s="980" t="n">
        <x:f>C268/C267-1</x:f>
        <x:v>-0.013195670489243305</x:v>
      </x:c>
      <x:c r="F268" s="983" t="n">
        <x:f>B268/$B$17*100</x:f>
        <x:v>249.18247220405493</x:v>
      </x:c>
      <x:c r="G268" s="983" t="n">
        <x:f>C268/$C$17*100</x:f>
        <x:v>144.9287926672604</x:v>
      </x:c>
      <x:c r="H268" s="986" t="n">
        <x:f>1218</x:f>
        <x:v>1218</x:v>
      </x:c>
    </x:row>
    <x:row r="269">
      <x:c r="A269" s="971" t="n">
        <x:f>'Raw Beta Prices'!A1223</x:f>
        <x:v>46185</x:v>
      </x:c>
      <x:c r="B269" s="974" t="n">
        <x:f>'Raw Beta Prices'!E1223</x:f>
        <x:v>76</x:v>
      </x:c>
      <x:c r="C269" s="977" t="n">
        <x:f>'Raw Beta Prices'!J1223</x:f>
        <x:v>1791.65</x:v>
      </x:c>
      <x:c r="D269" s="980" t="n">
        <x:f>B269/B268-1</x:f>
        <x:v>-0.002624671916010568</x:v>
      </x:c>
      <x:c r="E269" s="980" t="n">
        <x:f>C269/C268-1</x:f>
        <x:v>-0.02569470879330038</x:v>
      </x:c>
      <x:c r="F269" s="983" t="n">
        <x:f>B269/$B$17*100</x:f>
        <x:v>248.52844996729888</x:v>
      </x:c>
      <x:c r="G269" s="983" t="n">
        <x:f>C269/$C$17*100</x:f>
        <x:v>141.20488954391055</x:v>
      </x:c>
      <x:c r="H269" s="986" t="n">
        <x:f>1223</x:f>
        <x:v>1223</x:v>
      </x:c>
    </x:row>
    <x:row r="270">
      <x:c r="A270" s="971" t="n">
        <x:f>'Raw Beta Prices'!A1228</x:f>
        <x:v>46192</x:v>
      </x:c>
      <x:c r="B270" s="974" t="n">
        <x:f>'Raw Beta Prices'!E1228</x:f>
        <x:v>77</x:v>
      </x:c>
      <x:c r="C270" s="977" t="n">
        <x:f>'Raw Beta Prices'!J1228</x:f>
        <x:v>1824.53</x:v>
      </x:c>
      <x:c r="D270" s="980" t="n">
        <x:f>B270/B269-1</x:f>
        <x:v>0.013157894736842035</x:v>
      </x:c>
      <x:c r="E270" s="980" t="n">
        <x:f>C270/C269-1</x:f>
        <x:v>0.018351798621382365</x:v>
      </x:c>
      <x:c r="F270" s="983" t="n">
        <x:f>B270/$B$17*100</x:f>
        <x:v>251.79856115107918</x:v>
      </x:c>
      <x:c r="G270" s="983" t="n">
        <x:f>C270/$C$17*100</x:f>
        <x:v>143.79625324117495</x:v>
      </x:c>
      <x:c r="H270" s="986" t="n">
        <x:f>1228</x:f>
        <x:v>1228</x:v>
      </x:c>
    </x:row>
    <x:row r="271">
      <x:c r="A271" s="971" t="n">
        <x:f>'Raw Beta Prices'!A1233</x:f>
        <x:v>46199</x:v>
      </x:c>
      <x:c r="B271" s="974" t="n">
        <x:f>'Raw Beta Prices'!E1233</x:f>
        <x:v>73</x:v>
      </x:c>
      <x:c r="C271" s="977" t="n">
        <x:f>'Raw Beta Prices'!J1233</x:f>
        <x:v>1871.91</x:v>
      </x:c>
      <x:c r="D271" s="980" t="n">
        <x:f>B271/B270-1</x:f>
        <x:v>-0.051948051948051965</x:v>
      </x:c>
      <x:c r="E271" s="980" t="n">
        <x:f>C271/C270-1</x:f>
        <x:v>0.0259683315703223</x:v>
      </x:c>
      <x:c r="F271" s="983" t="n">
        <x:f>B271/$B$17*100</x:f>
        <x:v>238.71811641595815</x:v>
      </x:c>
      <x:c r="G271" s="983" t="n">
        <x:f>C271/$C$17*100</x:f>
        <x:v>147.53040202391182</x:v>
      </x:c>
      <x:c r="H271" s="986" t="n">
        <x:f>1233</x:f>
        <x:v>1233</x:v>
      </x:c>
    </x:row>
    <x:row r="272">
      <x:c r="A272" s="971" t="n">
        <x:f>'Raw Beta Prices'!A1238</x:f>
        <x:v>46206</x:v>
      </x:c>
      <x:c r="B272" s="974" t="n">
        <x:f>'Raw Beta Prices'!E1238</x:f>
        <x:v>76.4</x:v>
      </x:c>
      <x:c r="C272" s="977" t="n">
        <x:f>'Raw Beta Prices'!J1238</x:f>
        <x:v>1862.08</x:v>
      </x:c>
      <x:c r="D272" s="980" t="n">
        <x:f>B272/B271-1</x:f>
        <x:v>0.046575342465753566</x:v>
      </x:c>
      <x:c r="E272" s="980" t="n">
        <x:f>C272/C271-1</x:f>
        <x:v>-0.005251320843416729</x:v>
      </x:c>
      <x:c r="F272" s="983" t="n">
        <x:f>B272/$B$17*100</x:f>
        <x:v>249.83649444081104</x:v>
      </x:c>
      <x:c r="G272" s="983" t="n">
        <x:f>C272/$C$17*100</x:f>
        <x:v>146.75567254872598</x:v>
      </x:c>
      <x:c r="H272" s="986" t="n">
        <x:f>1238</x:f>
        <x:v>1238</x:v>
      </x:c>
    </x:row>
    <x:row r="273">
      <x:c r="A273" s="971" t="n">
        <x:f>'Raw Beta Prices'!A1243</x:f>
        <x:v>46213</x:v>
      </x:c>
      <x:c r="B273" s="974" t="n">
        <x:f>'Raw Beta Prices'!E1243</x:f>
        <x:v>75.3</x:v>
      </x:c>
      <x:c r="C273" s="977" t="n">
        <x:f>'Raw Beta Prices'!J1243</x:f>
        <x:v>1828.34</x:v>
      </x:c>
      <x:c r="D273" s="980" t="n">
        <x:f>B273/B272-1</x:f>
        <x:v>-0.014397905759162444</x:v>
      </x:c>
      <x:c r="E273" s="980" t="n">
        <x:f>C273/C272-1</x:f>
        <x:v>-0.01811952225468294</x:v>
      </x:c>
      <x:c r="F273" s="983" t="n">
        <x:f>B273/$B$17*100</x:f>
        <x:v>246.2393721386527</x:v>
      </x:c>
      <x:c r="G273" s="983" t="n">
        <x:f>C273/$C$17*100</x:f>
        <x:v>144.0965298739784</x:v>
      </x:c>
      <x:c r="H273" s="986" t="n">
        <x:f>1243</x:f>
        <x:v>1243</x:v>
      </x:c>
    </x:row>
    <x:row r="274">
      <x:c r="A274" s="971" t="n">
        <x:f>'Raw Beta Prices'!A1248</x:f>
        <x:v>46220</x:v>
      </x:c>
      <x:c r="B274" s="974" t="n">
        <x:f>'Raw Beta Prices'!E1248</x:f>
        <x:v>77.5</x:v>
      </x:c>
      <x:c r="C274" s="977" t="n">
        <x:f>'Raw Beta Prices'!J1248</x:f>
        <x:v>1787.45</x:v>
      </x:c>
      <x:c r="D274" s="980" t="n">
        <x:f>B274/B273-1</x:f>
        <x:v>0.02921646746347939</x:v>
      </x:c>
      <x:c r="E274" s="980" t="n">
        <x:f>C274/C273-1</x:f>
        <x:v>-0.02236454926326603</x:v>
      </x:c>
      <x:c r="F274" s="983" t="n">
        <x:f>B274/$B$17*100</x:f>
        <x:v>253.4336167429693</x:v>
      </x:c>
      <x:c r="G274" s="983" t="n">
        <x:f>C274/$C$17*100</x:f>
        <x:v>140.8738759329461</x:v>
      </x:c>
      <x:c r="H274" s="986" t="n">
        <x:f>1248</x:f>
        <x:v>1248</x:v>
      </x:c>
    </x:row>
    <x:row r="275">
      <x:c r="A275" s="972" t="n">
        <x:f>'Raw Beta Prices'!A1253</x:f>
        <x:v>46227</x:v>
      </x:c>
      <x:c r="B275" s="975" t="n">
        <x:f>'Raw Beta Prices'!E1253</x:f>
        <x:v>73.2</x:v>
      </x:c>
      <x:c r="C275" s="978" t="n">
        <x:f>'Raw Beta Prices'!J1253</x:f>
        <x:v>1686.11</x:v>
      </x:c>
      <x:c r="D275" s="981" t="n">
        <x:f>B275/B274-1</x:f>
        <x:v>-0.05548387096774188</x:v>
      </x:c>
      <x:c r="E275" s="981" t="n">
        <x:f>C275/C274-1</x:f>
        <x:v>-0.056695292176005</x:v>
      </x:c>
      <x:c r="F275" s="984" t="n">
        <x:f>B275/$B$17*100</x:f>
        <x:v>239.3721386527142</x:v>
      </x:c>
      <x:c r="G275" s="984" t="n">
        <x:f>C275/$C$17*100</x:f>
        <x:v>132.88699037696145</x:v>
      </x:c>
      <x:c r="H275" s="987" t="n">
        <x:f>1253</x:f>
        <x:v>1253</x:v>
      </x:c>
    </x:row>
  </x:sheetData>
  <x:mergeCells>
    <x:mergeCell ref="A1:Q1"/>
    <x:mergeCell ref="A2:Q2"/>
    <x:mergeCell ref="A4:D4"/>
    <x:mergeCell ref="E4:G4"/>
    <x:mergeCell ref="I4:Q4"/>
    <x:mergeCell ref="I5:Q12"/>
    <x:mergeCell ref="A15:G15"/>
    <x:mergeCell ref="I35:Q38"/>
  </x:mergeCells>
  <x:pageMargins left="0.7" right="0.7" top="0.75" bottom="0.75" header="0.3" footer="0.3"/>
  <x:drawing xmlns:r="http://schemas.openxmlformats.org/officeDocument/2006/relationships" r:id="Rcc9c3beaf8024585"/>
</x:worksheet>
</file>